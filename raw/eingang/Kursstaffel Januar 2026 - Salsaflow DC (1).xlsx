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.shortcut-targets-by-id\1uYLUDLsW5VEhRKiacIcTkN-o-laTu3nN\Salsaflow DC\02 - Anmeldungen\01 - Januar 2026\"/>
    </mc:Choice>
  </mc:AlternateContent>
  <xr:revisionPtr revIDLastSave="0" documentId="13_ncr:1_{727B1C41-E3FC-4504-8E2F-D82F5A4FC522}" xr6:coauthVersionLast="47" xr6:coauthVersionMax="47" xr10:uidLastSave="{00000000-0000-0000-0000-000000000000}"/>
  <bookViews>
    <workbookView xWindow="-28920" yWindow="1830" windowWidth="29040" windowHeight="15720" firstSheet="30" activeTab="31" xr2:uid="{00000000-000D-0000-FFFF-FFFF00000000}"/>
  </bookViews>
  <sheets>
    <sheet name="Master Data" sheetId="1" r:id="rId1"/>
    <sheet name="Mo_Salsa Intermediate Stufe 11" sheetId="2" r:id="rId2"/>
    <sheet name="Mo_Salsa Intermediate Stufe 8" sheetId="3" r:id="rId3"/>
    <sheet name="Mo_Salsa Beginner Stufe 3" sheetId="4" r:id="rId4"/>
    <sheet name="Mo_Salsa Advanced Stufe 17" sheetId="5" r:id="rId5"/>
    <sheet name="Mo_Salsa Intermediate Flow" sheetId="6" r:id="rId6"/>
    <sheet name="Mo_Salsa Beginner Stufe 2" sheetId="7" r:id="rId7"/>
    <sheet name="Mo_Salsa Advanced 15" sheetId="8" r:id="rId8"/>
    <sheet name="Mo_Salsa Intermediate Stufe 10" sheetId="9" r:id="rId9"/>
    <sheet name="Mo_Salsa Beginner Stufe 1" sheetId="10" r:id="rId10"/>
    <sheet name="Di_Salsa Beginner Stufe 2" sheetId="11" r:id="rId11"/>
    <sheet name="Di_Salsa Intermediate Stufe 9" sheetId="12" r:id="rId12"/>
    <sheet name="Di_Basics &amp; Fundamentals" sheetId="13" r:id="rId13"/>
    <sheet name="Di_Salsa Advanced Stufe 16" sheetId="14" r:id="rId14"/>
    <sheet name="Di_Salsa Beginner Stufe 3" sheetId="15" r:id="rId15"/>
    <sheet name="Di_Cha cha cha" sheetId="16" r:id="rId16"/>
    <sheet name="Di_Salsa Advanced Stufe 13" sheetId="17" r:id="rId17"/>
    <sheet name="Di_Salsa Beginner Stufe 1" sheetId="18" r:id="rId18"/>
    <sheet name="Mi_Salsa Beginner Stufe 1" sheetId="19" r:id="rId19"/>
    <sheet name="Mi_Bodymovement &amp; Ladystyle" sheetId="20" r:id="rId20"/>
    <sheet name="Mi_Bachata Beginner Stufe 4" sheetId="21" r:id="rId21"/>
    <sheet name="Mi_Salsa Advanced On2 Flow" sheetId="22" r:id="rId22"/>
    <sheet name="Mi_Bachata Beginner Stufe 1" sheetId="23" r:id="rId23"/>
    <sheet name="Mi_Salsa Beginner Stufe 5" sheetId="24" r:id="rId24"/>
    <sheet name="Mi_Salsa Intermediate Stufe 8" sheetId="25" r:id="rId25"/>
    <sheet name="Do_Heels Class Intermediate" sheetId="26" r:id="rId26"/>
    <sheet name="Do_Salsa Advanced Stufe 16" sheetId="27" r:id="rId27"/>
    <sheet name="Do_Bachata Beginner Stufe 5" sheetId="28" r:id="rId28"/>
    <sheet name="Do_Heels Class Beginner" sheetId="29" r:id="rId29"/>
    <sheet name="Do_Salsa Advanced On2 Flow" sheetId="30" r:id="rId30"/>
    <sheet name="Do_Bachata Beginner Stufe 2" sheetId="31" r:id="rId31"/>
    <sheet name="Do_Bodymovement &amp; Ladystyle Int" sheetId="32" r:id="rId32"/>
    <sheet name="Do_Salsa Beginner Stufe 3" sheetId="33" r:id="rId33"/>
    <sheet name="Do_Contemporary" sheetId="34" r:id="rId34"/>
    <sheet name="20.10. Workshop" sheetId="35" state="hidden" r:id="rId35"/>
    <sheet name="Fr_Salsa Beginner Stufe 1" sheetId="36" r:id="rId36"/>
    <sheet name="Fr_Salsa Beginner Flow" sheetId="37" r:id="rId37"/>
    <sheet name="Fr_Salsa Beginner Stufe 5" sheetId="38" r:id="rId38"/>
    <sheet name="16.01. Workshop" sheetId="39" r:id="rId39"/>
    <sheet name="06.02. Workshop" sheetId="43" r:id="rId40"/>
    <sheet name="20.02. Workshop" sheetId="40" r:id="rId41"/>
    <sheet name="Sa_SFIT" sheetId="41" r:id="rId42"/>
    <sheet name="Einnahmen Kurse" sheetId="42" r:id="rId43"/>
  </sheets>
  <definedNames>
    <definedName name="_xlnm._FilterDatabase" localSheetId="0" hidden="1">'Master Data'!$A$3:$I$574</definedName>
    <definedName name="_xlnm.Print_Area" localSheetId="12">'Di_Basics &amp; Fundamentals'!$A$1:$P$31</definedName>
    <definedName name="_xlnm.Print_Area" localSheetId="15">'Di_Cha cha cha'!$A$1:$P$31</definedName>
    <definedName name="_xlnm.Print_Area" localSheetId="16">'Di_Salsa Advanced Stufe 13'!$A$1:$P$31</definedName>
    <definedName name="_xlnm.Print_Area" localSheetId="13">'Di_Salsa Advanced Stufe 16'!$A$1:$P$31</definedName>
    <definedName name="_xlnm.Print_Area" localSheetId="17">'Di_Salsa Beginner Stufe 1'!$A$1:$P$31</definedName>
    <definedName name="_xlnm.Print_Area" localSheetId="10">'Di_Salsa Beginner Stufe 2'!$A$1:$P$31</definedName>
    <definedName name="_xlnm.Print_Area" localSheetId="14">'Di_Salsa Beginner Stufe 3'!$A$1:$P$31</definedName>
    <definedName name="_xlnm.Print_Area" localSheetId="11">'Di_Salsa Intermediate Stufe 9'!$A$1:$P$31</definedName>
    <definedName name="_xlnm.Print_Area" localSheetId="27">'Do_Bachata Beginner Stufe 5'!$A$1:$P$32</definedName>
    <definedName name="_xlnm.Print_Area" localSheetId="31">'Do_Bodymovement &amp; Ladystyle Int'!$A$1:$P$31</definedName>
    <definedName name="_xlnm.Print_Area" localSheetId="28">'Do_Heels Class Beginner'!$A$1:$P$31</definedName>
    <definedName name="_xlnm.Print_Area" localSheetId="25">'Do_Heels Class Intermediate'!$A$1:$P$31</definedName>
    <definedName name="_xlnm.Print_Area" localSheetId="29">'Do_Salsa Advanced On2 Flow'!$A$1:$P$31</definedName>
    <definedName name="_xlnm.Print_Area" localSheetId="26">'Do_Salsa Advanced Stufe 16'!$A$1:$P$31</definedName>
    <definedName name="_xlnm.Print_Area" localSheetId="32">'Do_Salsa Beginner Stufe 3'!$A$1:$P$31</definedName>
    <definedName name="_xlnm.Print_Area" localSheetId="35">'Fr_Salsa Beginner Stufe 1'!$A$1:$P$31</definedName>
    <definedName name="_xlnm.Print_Area" localSheetId="37">'Fr_Salsa Beginner Stufe 5'!$A$1:$P$31</definedName>
    <definedName name="_xlnm.Print_Area" localSheetId="22">'Mi_Bachata Beginner Stufe 1'!$A$1:$P$31</definedName>
    <definedName name="_xlnm.Print_Area" localSheetId="20">'Mi_Bachata Beginner Stufe 4'!$A$1:$P$31</definedName>
    <definedName name="_xlnm.Print_Area" localSheetId="19">'Mi_Bodymovement &amp; Ladystyle'!$A$1:$P$31</definedName>
    <definedName name="_xlnm.Print_Area" localSheetId="21">'Mi_Salsa Advanced On2 Flow'!$A$1:$P$31</definedName>
    <definedName name="_xlnm.Print_Area" localSheetId="18">'Mi_Salsa Beginner Stufe 1'!$A$1:$P$32</definedName>
    <definedName name="_xlnm.Print_Area" localSheetId="23">'Mi_Salsa Beginner Stufe 5'!$A$1:$P$31</definedName>
    <definedName name="_xlnm.Print_Area" localSheetId="7">'Mo_Salsa Advanced 15'!$A$1:$P$31</definedName>
    <definedName name="_xlnm.Print_Area" localSheetId="4">'Mo_Salsa Advanced Stufe 17'!$A$1:$P$31</definedName>
    <definedName name="_xlnm.Print_Area" localSheetId="9">'Mo_Salsa Beginner Stufe 1'!$A$1:$P$31</definedName>
    <definedName name="_xlnm.Print_Area" localSheetId="6">'Mo_Salsa Beginner Stufe 2'!$A$1:$P$31</definedName>
    <definedName name="_xlnm.Print_Area" localSheetId="3">'Mo_Salsa Beginner Stufe 3'!$A$1:$P$31</definedName>
    <definedName name="_xlnm.Print_Area" localSheetId="5">'Mo_Salsa Intermediate Flow'!$A$1:$P$33</definedName>
    <definedName name="_xlnm.Print_Area" localSheetId="8">'Mo_Salsa Intermediate Stufe 10'!$A$1:$P$31</definedName>
    <definedName name="_xlnm.Print_Area" localSheetId="1">'Mo_Salsa Intermediate Stufe 11'!$A$1:$P$31</definedName>
    <definedName name="_xlnm.Print_Area" localSheetId="2">'Mo_Salsa Intermediate Stufe 8'!$A$1:$P$31</definedName>
    <definedName name="nilan">'Master Data'!$A$787</definedName>
    <definedName name="nolan">'Master Data'!$B$788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0" l="1"/>
  <c r="H32" i="40"/>
  <c r="H32" i="38"/>
  <c r="A29" i="38"/>
  <c r="B29" i="38"/>
  <c r="C29" i="38"/>
  <c r="F29" i="38"/>
  <c r="G29" i="38"/>
  <c r="A27" i="22"/>
  <c r="B27" i="22"/>
  <c r="C27" i="22"/>
  <c r="F27" i="22"/>
  <c r="G27" i="22"/>
  <c r="H34" i="6"/>
  <c r="B50" i="42"/>
  <c r="B28" i="42"/>
  <c r="H32" i="43"/>
  <c r="A28" i="24"/>
  <c r="B28" i="24"/>
  <c r="C28" i="24"/>
  <c r="F28" i="24"/>
  <c r="G28" i="24"/>
  <c r="A29" i="24"/>
  <c r="B29" i="24"/>
  <c r="C29" i="24"/>
  <c r="F29" i="24"/>
  <c r="G29" i="24"/>
  <c r="A30" i="24"/>
  <c r="B30" i="24"/>
  <c r="C30" i="24"/>
  <c r="F30" i="24"/>
  <c r="G30" i="24"/>
  <c r="A31" i="24"/>
  <c r="B31" i="24"/>
  <c r="C31" i="24"/>
  <c r="F31" i="24"/>
  <c r="G31" i="24"/>
  <c r="F32" i="19"/>
  <c r="C26" i="43"/>
  <c r="F31" i="19"/>
  <c r="G31" i="19"/>
  <c r="A31" i="19"/>
  <c r="B31" i="19"/>
  <c r="C31" i="19"/>
  <c r="H32" i="4" l="1"/>
  <c r="A29" i="19"/>
  <c r="B29" i="19"/>
  <c r="C29" i="19"/>
  <c r="G29" i="19"/>
  <c r="F28" i="38"/>
  <c r="G28" i="38"/>
  <c r="H32" i="36"/>
  <c r="H32" i="33"/>
  <c r="H32" i="32"/>
  <c r="H32" i="30"/>
  <c r="H32" i="29"/>
  <c r="H32" i="27"/>
  <c r="A29" i="26"/>
  <c r="B29" i="26"/>
  <c r="C29" i="26"/>
  <c r="F29" i="26"/>
  <c r="G29" i="26"/>
  <c r="H32" i="26"/>
  <c r="H32" i="25"/>
  <c r="H32" i="24"/>
  <c r="H32" i="23"/>
  <c r="A25" i="23"/>
  <c r="B25" i="23"/>
  <c r="C25" i="23"/>
  <c r="F25" i="23"/>
  <c r="G25" i="23"/>
  <c r="A26" i="23"/>
  <c r="B26" i="23"/>
  <c r="C26" i="23"/>
  <c r="F26" i="23"/>
  <c r="G26" i="23"/>
  <c r="H32" i="22"/>
  <c r="H32" i="21"/>
  <c r="H32" i="20"/>
  <c r="H33" i="19"/>
  <c r="H32" i="17"/>
  <c r="H32" i="16"/>
  <c r="H32" i="15"/>
  <c r="A26" i="15"/>
  <c r="B26" i="15"/>
  <c r="C26" i="15"/>
  <c r="F26" i="15"/>
  <c r="G26" i="15"/>
  <c r="A27" i="15"/>
  <c r="B27" i="15"/>
  <c r="C27" i="15"/>
  <c r="F27" i="15"/>
  <c r="G27" i="15"/>
  <c r="H32" i="14"/>
  <c r="H32" i="13"/>
  <c r="H32" i="12"/>
  <c r="H32" i="11"/>
  <c r="A27" i="11"/>
  <c r="B27" i="11"/>
  <c r="C27" i="11"/>
  <c r="F27" i="11"/>
  <c r="G27" i="11"/>
  <c r="A28" i="11"/>
  <c r="B28" i="11"/>
  <c r="C28" i="11"/>
  <c r="F28" i="11"/>
  <c r="G28" i="11"/>
  <c r="A29" i="11"/>
  <c r="B29" i="11"/>
  <c r="C29" i="11"/>
  <c r="F29" i="11"/>
  <c r="G29" i="11"/>
  <c r="H32" i="10"/>
  <c r="H32" i="9"/>
  <c r="H32" i="8"/>
  <c r="H32" i="7"/>
  <c r="H32" i="5"/>
  <c r="A27" i="5"/>
  <c r="B27" i="5"/>
  <c r="C27" i="5"/>
  <c r="F27" i="5"/>
  <c r="G27" i="5"/>
  <c r="A28" i="5"/>
  <c r="B28" i="5"/>
  <c r="C28" i="5"/>
  <c r="F28" i="5"/>
  <c r="G28" i="5"/>
  <c r="H32" i="3"/>
  <c r="H32" i="2"/>
  <c r="F20" i="39"/>
  <c r="G20" i="39"/>
  <c r="A20" i="39"/>
  <c r="B20" i="39"/>
  <c r="C20" i="39"/>
  <c r="A26" i="36"/>
  <c r="B26" i="36"/>
  <c r="C26" i="36"/>
  <c r="F26" i="36"/>
  <c r="G26" i="36"/>
  <c r="A27" i="36"/>
  <c r="B27" i="36"/>
  <c r="C27" i="36"/>
  <c r="F27" i="36"/>
  <c r="G27" i="36"/>
  <c r="A28" i="36"/>
  <c r="B28" i="36"/>
  <c r="C28" i="36"/>
  <c r="F28" i="36"/>
  <c r="G28" i="36"/>
  <c r="A29" i="36"/>
  <c r="B29" i="36"/>
  <c r="C29" i="36"/>
  <c r="F29" i="36"/>
  <c r="G29" i="36"/>
  <c r="H32" i="31"/>
  <c r="H33" i="28"/>
  <c r="A28" i="27"/>
  <c r="B28" i="27"/>
  <c r="C28" i="27"/>
  <c r="F28" i="27"/>
  <c r="G28" i="27"/>
  <c r="A29" i="27"/>
  <c r="B29" i="27"/>
  <c r="C29" i="27"/>
  <c r="F29" i="27"/>
  <c r="G29" i="27"/>
  <c r="A29" i="7"/>
  <c r="B29" i="7"/>
  <c r="C29" i="7"/>
  <c r="F29" i="7"/>
  <c r="G29" i="7"/>
  <c r="A30" i="7"/>
  <c r="B30" i="7"/>
  <c r="C30" i="7"/>
  <c r="F30" i="7"/>
  <c r="G30" i="7"/>
  <c r="A28" i="3"/>
  <c r="B28" i="3"/>
  <c r="C28" i="3"/>
  <c r="F28" i="3"/>
  <c r="G28" i="3"/>
  <c r="A29" i="3"/>
  <c r="B29" i="3"/>
  <c r="C29" i="3"/>
  <c r="F29" i="3"/>
  <c r="G29" i="3"/>
  <c r="F8" i="30"/>
  <c r="A21" i="11"/>
  <c r="F26" i="6"/>
  <c r="F13" i="28" l="1"/>
  <c r="A20" i="20"/>
  <c r="B20" i="20"/>
  <c r="B26" i="42" l="1"/>
  <c r="B24" i="42"/>
  <c r="B21" i="42"/>
  <c r="A26" i="16"/>
  <c r="B26" i="16"/>
  <c r="C26" i="16"/>
  <c r="F26" i="16"/>
  <c r="G26" i="16"/>
  <c r="A27" i="16"/>
  <c r="B27" i="16"/>
  <c r="C27" i="16"/>
  <c r="F27" i="16"/>
  <c r="G27" i="16"/>
  <c r="A28" i="16"/>
  <c r="B28" i="16"/>
  <c r="C28" i="16"/>
  <c r="F28" i="16"/>
  <c r="G28" i="16"/>
  <c r="A24" i="11"/>
  <c r="B24" i="11"/>
  <c r="C24" i="11"/>
  <c r="F24" i="11"/>
  <c r="G24" i="11"/>
  <c r="A26" i="9"/>
  <c r="B26" i="9"/>
  <c r="C26" i="9"/>
  <c r="F26" i="9"/>
  <c r="G26" i="9"/>
  <c r="A27" i="9"/>
  <c r="B27" i="9"/>
  <c r="C27" i="9"/>
  <c r="F27" i="9"/>
  <c r="G27" i="9"/>
  <c r="A27" i="7"/>
  <c r="B27" i="7"/>
  <c r="C27" i="7"/>
  <c r="F27" i="7"/>
  <c r="G27" i="7"/>
  <c r="A28" i="7"/>
  <c r="B28" i="7"/>
  <c r="C28" i="7"/>
  <c r="F28" i="7"/>
  <c r="G28" i="7"/>
  <c r="A7" i="11"/>
  <c r="A29" i="22"/>
  <c r="B29" i="22"/>
  <c r="C29" i="22"/>
  <c r="F29" i="22"/>
  <c r="G29" i="22"/>
  <c r="A30" i="22"/>
  <c r="B30" i="22"/>
  <c r="C30" i="22"/>
  <c r="F30" i="22"/>
  <c r="G30" i="22"/>
  <c r="A23" i="15"/>
  <c r="F8" i="28"/>
  <c r="F9" i="28"/>
  <c r="F10" i="28"/>
  <c r="F11" i="28"/>
  <c r="F12" i="28"/>
  <c r="C25" i="32"/>
  <c r="C26" i="29"/>
  <c r="A26" i="6"/>
  <c r="B26" i="6"/>
  <c r="C26" i="6"/>
  <c r="G26" i="6"/>
  <c r="B33" i="42"/>
  <c r="B34" i="42"/>
  <c r="B37" i="42"/>
  <c r="B32" i="42"/>
  <c r="B46" i="42"/>
  <c r="B48" i="42"/>
  <c r="B43" i="42"/>
  <c r="B44" i="42"/>
  <c r="B47" i="42"/>
  <c r="B12" i="42"/>
  <c r="B17" i="42" s="1"/>
  <c r="B23" i="42"/>
  <c r="B25" i="42"/>
  <c r="B8" i="42"/>
  <c r="B15" i="42"/>
  <c r="B13" i="42"/>
  <c r="B11" i="42"/>
  <c r="B10" i="42"/>
  <c r="B9" i="42"/>
  <c r="A28" i="8"/>
  <c r="B28" i="8"/>
  <c r="C28" i="8"/>
  <c r="F28" i="8"/>
  <c r="G28" i="8"/>
  <c r="A25" i="7"/>
  <c r="B25" i="7"/>
  <c r="C25" i="7"/>
  <c r="F25" i="7"/>
  <c r="G25" i="7"/>
  <c r="A26" i="7"/>
  <c r="B26" i="7"/>
  <c r="C26" i="7"/>
  <c r="F26" i="7"/>
  <c r="G26" i="7"/>
  <c r="A28" i="4"/>
  <c r="B28" i="4"/>
  <c r="C28" i="4"/>
  <c r="F28" i="4"/>
  <c r="G28" i="4"/>
  <c r="C25" i="29"/>
  <c r="A21" i="36"/>
  <c r="B21" i="36"/>
  <c r="C21" i="36"/>
  <c r="F21" i="36"/>
  <c r="G21" i="36"/>
  <c r="A22" i="36"/>
  <c r="B22" i="36"/>
  <c r="C22" i="36"/>
  <c r="F22" i="36"/>
  <c r="G22" i="36"/>
  <c r="A27" i="29"/>
  <c r="B27" i="29"/>
  <c r="C27" i="29"/>
  <c r="F27" i="29"/>
  <c r="G27" i="29"/>
  <c r="A28" i="29"/>
  <c r="B28" i="29"/>
  <c r="C28" i="29"/>
  <c r="F28" i="29"/>
  <c r="G28" i="29"/>
  <c r="A29" i="29"/>
  <c r="B29" i="29"/>
  <c r="C29" i="29"/>
  <c r="F29" i="29"/>
  <c r="G29" i="29"/>
  <c r="A20" i="28"/>
  <c r="B20" i="28"/>
  <c r="C20" i="28"/>
  <c r="F20" i="28"/>
  <c r="G20" i="28"/>
  <c r="A21" i="28"/>
  <c r="B21" i="28"/>
  <c r="C21" i="28"/>
  <c r="F21" i="28"/>
  <c r="G21" i="28"/>
  <c r="A22" i="28"/>
  <c r="B22" i="28"/>
  <c r="C22" i="28"/>
  <c r="F22" i="28"/>
  <c r="G22" i="28"/>
  <c r="A23" i="28"/>
  <c r="B23" i="28"/>
  <c r="C23" i="28"/>
  <c r="F23" i="28"/>
  <c r="G23" i="28"/>
  <c r="A24" i="28"/>
  <c r="B24" i="28"/>
  <c r="C24" i="28"/>
  <c r="F24" i="28"/>
  <c r="G24" i="28"/>
  <c r="A25" i="28"/>
  <c r="B25" i="28"/>
  <c r="C25" i="28"/>
  <c r="F25" i="28"/>
  <c r="G25" i="28"/>
  <c r="A26" i="28"/>
  <c r="B26" i="28"/>
  <c r="C26" i="28"/>
  <c r="F26" i="28"/>
  <c r="G26" i="28"/>
  <c r="A27" i="28"/>
  <c r="B27" i="28"/>
  <c r="C27" i="28"/>
  <c r="F27" i="28"/>
  <c r="G27" i="28"/>
  <c r="A27" i="25"/>
  <c r="B27" i="25"/>
  <c r="C27" i="25"/>
  <c r="F27" i="25"/>
  <c r="G27" i="25"/>
  <c r="A28" i="25"/>
  <c r="B28" i="25"/>
  <c r="C28" i="25"/>
  <c r="F28" i="25"/>
  <c r="G28" i="25"/>
  <c r="A23" i="24"/>
  <c r="B23" i="24"/>
  <c r="C23" i="24"/>
  <c r="F23" i="24"/>
  <c r="G23" i="24"/>
  <c r="A24" i="24"/>
  <c r="B24" i="24"/>
  <c r="C24" i="24"/>
  <c r="F24" i="24"/>
  <c r="G24" i="24"/>
  <c r="A25" i="24"/>
  <c r="B25" i="24"/>
  <c r="C25" i="24"/>
  <c r="F25" i="24"/>
  <c r="G25" i="24"/>
  <c r="A26" i="24"/>
  <c r="B26" i="24"/>
  <c r="C26" i="24"/>
  <c r="F26" i="24"/>
  <c r="G26" i="24"/>
  <c r="A25" i="8"/>
  <c r="B25" i="8"/>
  <c r="C25" i="8"/>
  <c r="F25" i="8"/>
  <c r="G25" i="8"/>
  <c r="A26" i="8"/>
  <c r="B26" i="8"/>
  <c r="C26" i="8"/>
  <c r="F26" i="8"/>
  <c r="G26" i="8"/>
  <c r="A27" i="8"/>
  <c r="B27" i="8"/>
  <c r="C27" i="8"/>
  <c r="F27" i="8"/>
  <c r="G27" i="8"/>
  <c r="A29" i="8"/>
  <c r="B29" i="8"/>
  <c r="C29" i="8"/>
  <c r="F29" i="8"/>
  <c r="G29" i="8"/>
  <c r="A27" i="4"/>
  <c r="B27" i="4"/>
  <c r="C27" i="4"/>
  <c r="F27" i="4"/>
  <c r="G27" i="4"/>
  <c r="A21" i="9"/>
  <c r="B21" i="9"/>
  <c r="C21" i="9"/>
  <c r="F21" i="9"/>
  <c r="G21" i="9"/>
  <c r="A22" i="9"/>
  <c r="B22" i="9"/>
  <c r="C22" i="9"/>
  <c r="F22" i="9"/>
  <c r="G22" i="9"/>
  <c r="A23" i="9"/>
  <c r="B23" i="9"/>
  <c r="C23" i="9"/>
  <c r="F23" i="9"/>
  <c r="G23" i="9"/>
  <c r="A22" i="25"/>
  <c r="B22" i="25"/>
  <c r="C22" i="25"/>
  <c r="F22" i="25"/>
  <c r="G22" i="25"/>
  <c r="A23" i="25"/>
  <c r="B23" i="25"/>
  <c r="C23" i="25"/>
  <c r="F23" i="25"/>
  <c r="G23" i="25"/>
  <c r="A24" i="25"/>
  <c r="B24" i="25"/>
  <c r="C24" i="25"/>
  <c r="F24" i="25"/>
  <c r="G24" i="25"/>
  <c r="C21" i="32"/>
  <c r="C22" i="32"/>
  <c r="C23" i="32"/>
  <c r="C24" i="32"/>
  <c r="C20" i="32"/>
  <c r="C24" i="29"/>
  <c r="C23" i="29"/>
  <c r="C19" i="32"/>
  <c r="A15" i="14"/>
  <c r="C22" i="29"/>
  <c r="B16" i="42"/>
  <c r="A16" i="42"/>
  <c r="A13" i="42"/>
  <c r="A25" i="34"/>
  <c r="B25" i="34"/>
  <c r="C25" i="34"/>
  <c r="F25" i="34"/>
  <c r="G25" i="34"/>
  <c r="A26" i="34"/>
  <c r="B26" i="34"/>
  <c r="C26" i="34"/>
  <c r="F26" i="34"/>
  <c r="G26" i="34"/>
  <c r="A27" i="34"/>
  <c r="B27" i="34"/>
  <c r="C27" i="34"/>
  <c r="F27" i="34"/>
  <c r="G27" i="34"/>
  <c r="A28" i="34"/>
  <c r="B28" i="34"/>
  <c r="C28" i="34"/>
  <c r="F28" i="34"/>
  <c r="G28" i="34"/>
  <c r="A29" i="34"/>
  <c r="B29" i="34"/>
  <c r="C29" i="34"/>
  <c r="F29" i="34"/>
  <c r="G29" i="34"/>
  <c r="A29" i="31"/>
  <c r="B29" i="31"/>
  <c r="C29" i="31"/>
  <c r="F29" i="31"/>
  <c r="G29" i="31"/>
  <c r="A30" i="31"/>
  <c r="B30" i="31"/>
  <c r="C30" i="31"/>
  <c r="F30" i="31"/>
  <c r="G30" i="31"/>
  <c r="A26" i="29"/>
  <c r="B26" i="29"/>
  <c r="F26" i="29"/>
  <c r="G26" i="29"/>
  <c r="A26" i="27"/>
  <c r="B26" i="27"/>
  <c r="C26" i="27"/>
  <c r="F26" i="27"/>
  <c r="G26" i="27"/>
  <c r="A27" i="27"/>
  <c r="B27" i="27"/>
  <c r="C27" i="27"/>
  <c r="F27" i="27"/>
  <c r="G27" i="27"/>
  <c r="A29" i="20"/>
  <c r="B29" i="20"/>
  <c r="C29" i="20"/>
  <c r="F29" i="20"/>
  <c r="G29" i="20"/>
  <c r="A30" i="20"/>
  <c r="B30" i="20"/>
  <c r="C30" i="20"/>
  <c r="F30" i="20"/>
  <c r="G30" i="20"/>
  <c r="A31" i="20"/>
  <c r="B31" i="20"/>
  <c r="C31" i="20"/>
  <c r="F31" i="20"/>
  <c r="G31" i="20"/>
  <c r="A27" i="19"/>
  <c r="B27" i="19"/>
  <c r="C27" i="19"/>
  <c r="F27" i="19"/>
  <c r="G27" i="19"/>
  <c r="A28" i="19"/>
  <c r="B28" i="19"/>
  <c r="C28" i="19"/>
  <c r="G28" i="19"/>
  <c r="A25" i="15"/>
  <c r="B25" i="15"/>
  <c r="C25" i="15"/>
  <c r="F25" i="15"/>
  <c r="G25" i="15"/>
  <c r="A20" i="15"/>
  <c r="B20" i="15"/>
  <c r="C20" i="15"/>
  <c r="F20" i="15"/>
  <c r="G20" i="15"/>
  <c r="A21" i="15"/>
  <c r="B21" i="15"/>
  <c r="C21" i="15"/>
  <c r="G21" i="15"/>
  <c r="A22" i="15"/>
  <c r="B22" i="15"/>
  <c r="C22" i="15"/>
  <c r="G22" i="15"/>
  <c r="A29" i="14"/>
  <c r="B29" i="14"/>
  <c r="C29" i="14"/>
  <c r="F29" i="14"/>
  <c r="G29" i="14"/>
  <c r="A28" i="12"/>
  <c r="B28" i="12"/>
  <c r="C28" i="12"/>
  <c r="F28" i="12"/>
  <c r="G28" i="12"/>
  <c r="A27" i="24"/>
  <c r="B27" i="24"/>
  <c r="C27" i="24"/>
  <c r="F27" i="24"/>
  <c r="G27" i="24"/>
  <c r="A28" i="21"/>
  <c r="B28" i="21"/>
  <c r="C28" i="21"/>
  <c r="F28" i="21"/>
  <c r="G28" i="21"/>
  <c r="A23" i="7"/>
  <c r="B23" i="7"/>
  <c r="C23" i="7"/>
  <c r="F23" i="7"/>
  <c r="G23" i="7"/>
  <c r="A24" i="7"/>
  <c r="B24" i="7"/>
  <c r="C24" i="7"/>
  <c r="F24" i="7"/>
  <c r="G24" i="7"/>
  <c r="A31" i="7"/>
  <c r="B31" i="7"/>
  <c r="C31" i="7"/>
  <c r="F31" i="7"/>
  <c r="G31" i="7"/>
  <c r="A11" i="36"/>
  <c r="A12" i="36"/>
  <c r="F11" i="36"/>
  <c r="F12" i="36"/>
  <c r="A22" i="24"/>
  <c r="B22" i="24"/>
  <c r="C22" i="24"/>
  <c r="F22" i="24"/>
  <c r="G22" i="24"/>
  <c r="F21" i="11"/>
  <c r="G21" i="11"/>
  <c r="B21" i="11"/>
  <c r="C21" i="11"/>
  <c r="A22" i="11"/>
  <c r="B22" i="11"/>
  <c r="C22" i="11"/>
  <c r="F22" i="11"/>
  <c r="G22" i="11"/>
  <c r="A21" i="7"/>
  <c r="B21" i="7"/>
  <c r="F20" i="11"/>
  <c r="G20" i="11"/>
  <c r="A20" i="11"/>
  <c r="B20" i="11"/>
  <c r="C20" i="11"/>
  <c r="G19" i="15"/>
  <c r="F19" i="15"/>
  <c r="G18" i="15"/>
  <c r="F18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1" i="15"/>
  <c r="F11" i="15"/>
  <c r="G10" i="15"/>
  <c r="F10" i="15"/>
  <c r="B55" i="42"/>
  <c r="B56" i="42" s="1"/>
  <c r="H32" i="37"/>
  <c r="B45" i="42"/>
  <c r="B36" i="42"/>
  <c r="B22" i="42"/>
  <c r="C25" i="20"/>
  <c r="C26" i="20"/>
  <c r="A22" i="12"/>
  <c r="B22" i="12"/>
  <c r="A23" i="12"/>
  <c r="B23" i="12"/>
  <c r="A25" i="9"/>
  <c r="B25" i="9"/>
  <c r="C25" i="9"/>
  <c r="F25" i="9"/>
  <c r="G25" i="9"/>
  <c r="A23" i="36"/>
  <c r="B23" i="36"/>
  <c r="C23" i="36"/>
  <c r="F23" i="36"/>
  <c r="G23" i="36"/>
  <c r="A24" i="36"/>
  <c r="B24" i="36"/>
  <c r="C24" i="36"/>
  <c r="F24" i="36"/>
  <c r="G24" i="36"/>
  <c r="A25" i="36"/>
  <c r="B25" i="36"/>
  <c r="C25" i="36"/>
  <c r="F25" i="36"/>
  <c r="G25" i="36"/>
  <c r="F10" i="37"/>
  <c r="F14" i="37"/>
  <c r="A27" i="30"/>
  <c r="A20" i="36"/>
  <c r="B20" i="36"/>
  <c r="C20" i="36"/>
  <c r="F20" i="36"/>
  <c r="G20" i="36"/>
  <c r="A30" i="36"/>
  <c r="B30" i="36"/>
  <c r="C30" i="36"/>
  <c r="F30" i="36"/>
  <c r="G30" i="36"/>
  <c r="B23" i="15"/>
  <c r="C23" i="15"/>
  <c r="C18" i="32"/>
  <c r="A27" i="12"/>
  <c r="B27" i="12"/>
  <c r="C27" i="12"/>
  <c r="F27" i="12"/>
  <c r="G27" i="12"/>
  <c r="A29" i="12"/>
  <c r="B29" i="12"/>
  <c r="C29" i="12"/>
  <c r="F29" i="12"/>
  <c r="G29" i="12"/>
  <c r="C24" i="20"/>
  <c r="A12" i="11"/>
  <c r="B12" i="11"/>
  <c r="C12" i="11"/>
  <c r="A11" i="31"/>
  <c r="B11" i="31"/>
  <c r="C11" i="31"/>
  <c r="A22" i="32"/>
  <c r="B22" i="32"/>
  <c r="F22" i="32"/>
  <c r="G22" i="32"/>
  <c r="A23" i="32"/>
  <c r="B23" i="32"/>
  <c r="F23" i="32"/>
  <c r="G23" i="32"/>
  <c r="A24" i="32"/>
  <c r="B24" i="32"/>
  <c r="F24" i="32"/>
  <c r="G24" i="32"/>
  <c r="A25" i="32"/>
  <c r="B25" i="32"/>
  <c r="F25" i="32"/>
  <c r="G25" i="32"/>
  <c r="A26" i="32"/>
  <c r="B26" i="32"/>
  <c r="C26" i="32"/>
  <c r="F26" i="32"/>
  <c r="G26" i="32"/>
  <c r="A27" i="32"/>
  <c r="B27" i="32"/>
  <c r="C27" i="32"/>
  <c r="F27" i="32"/>
  <c r="G27" i="32"/>
  <c r="A28" i="32"/>
  <c r="B28" i="32"/>
  <c r="C28" i="32"/>
  <c r="F28" i="32"/>
  <c r="G28" i="32"/>
  <c r="A19" i="28"/>
  <c r="B19" i="28"/>
  <c r="C19" i="28"/>
  <c r="F19" i="28"/>
  <c r="G19" i="28"/>
  <c r="A28" i="28"/>
  <c r="B28" i="28"/>
  <c r="C28" i="28"/>
  <c r="F28" i="28"/>
  <c r="G28" i="28"/>
  <c r="A29" i="28"/>
  <c r="B29" i="28"/>
  <c r="C29" i="28"/>
  <c r="F29" i="28"/>
  <c r="G29" i="28"/>
  <c r="A26" i="17"/>
  <c r="B26" i="17"/>
  <c r="C26" i="17"/>
  <c r="F26" i="17"/>
  <c r="G26" i="17"/>
  <c r="A27" i="17"/>
  <c r="B27" i="17"/>
  <c r="C27" i="17"/>
  <c r="F27" i="17"/>
  <c r="G27" i="17"/>
  <c r="A23" i="13"/>
  <c r="B23" i="13"/>
  <c r="C23" i="13"/>
  <c r="F23" i="13"/>
  <c r="G23" i="13"/>
  <c r="A24" i="13"/>
  <c r="B24" i="13"/>
  <c r="C24" i="13"/>
  <c r="F24" i="13"/>
  <c r="G24" i="13"/>
  <c r="A25" i="13"/>
  <c r="B25" i="13"/>
  <c r="C25" i="13"/>
  <c r="F25" i="13"/>
  <c r="G25" i="13"/>
  <c r="A26" i="13"/>
  <c r="B26" i="13"/>
  <c r="C26" i="13"/>
  <c r="F26" i="13"/>
  <c r="G26" i="13"/>
  <c r="A27" i="13"/>
  <c r="B27" i="13"/>
  <c r="C27" i="13"/>
  <c r="F27" i="13"/>
  <c r="G27" i="13"/>
  <c r="A25" i="12"/>
  <c r="B25" i="12"/>
  <c r="C25" i="12"/>
  <c r="F25" i="12"/>
  <c r="G25" i="12"/>
  <c r="A26" i="12"/>
  <c r="B26" i="12"/>
  <c r="C26" i="12"/>
  <c r="F26" i="12"/>
  <c r="G26" i="12"/>
  <c r="A30" i="12"/>
  <c r="B30" i="12"/>
  <c r="C30" i="12"/>
  <c r="F30" i="12"/>
  <c r="G30" i="12"/>
  <c r="A34" i="6"/>
  <c r="B34" i="6"/>
  <c r="C34" i="6"/>
  <c r="A24" i="4"/>
  <c r="B24" i="4"/>
  <c r="C24" i="4"/>
  <c r="F24" i="4"/>
  <c r="G24" i="4"/>
  <c r="B25" i="4"/>
  <c r="C25" i="4"/>
  <c r="F25" i="4"/>
  <c r="G25" i="4"/>
  <c r="A26" i="4"/>
  <c r="B26" i="4"/>
  <c r="C26" i="4"/>
  <c r="F26" i="4"/>
  <c r="G26" i="4"/>
  <c r="F33" i="6"/>
  <c r="G33" i="6"/>
  <c r="A33" i="6"/>
  <c r="B33" i="6"/>
  <c r="C33" i="6"/>
  <c r="A21" i="43"/>
  <c r="A22" i="43"/>
  <c r="A23" i="43"/>
  <c r="A24" i="43"/>
  <c r="A25" i="43"/>
  <c r="A26" i="43"/>
  <c r="A27" i="43"/>
  <c r="A28" i="43"/>
  <c r="C32" i="43"/>
  <c r="B32" i="43"/>
  <c r="A32" i="43"/>
  <c r="G31" i="43"/>
  <c r="F31" i="43"/>
  <c r="C31" i="43"/>
  <c r="B31" i="43"/>
  <c r="A31" i="43"/>
  <c r="G30" i="43"/>
  <c r="F30" i="43"/>
  <c r="C30" i="43"/>
  <c r="B30" i="43"/>
  <c r="A30" i="43"/>
  <c r="G29" i="43"/>
  <c r="F29" i="43"/>
  <c r="C29" i="43"/>
  <c r="B29" i="43"/>
  <c r="A29" i="43"/>
  <c r="G28" i="43"/>
  <c r="F28" i="43"/>
  <c r="C28" i="43"/>
  <c r="B28" i="43"/>
  <c r="G27" i="43"/>
  <c r="F27" i="43"/>
  <c r="C27" i="43"/>
  <c r="B27" i="43"/>
  <c r="G26" i="43"/>
  <c r="F26" i="43"/>
  <c r="B26" i="43"/>
  <c r="G25" i="43"/>
  <c r="F25" i="43"/>
  <c r="C25" i="43"/>
  <c r="B25" i="43"/>
  <c r="G24" i="43"/>
  <c r="F24" i="43"/>
  <c r="C24" i="43"/>
  <c r="B24" i="43"/>
  <c r="G23" i="43"/>
  <c r="F23" i="43"/>
  <c r="C23" i="43"/>
  <c r="B23" i="43"/>
  <c r="G22" i="43"/>
  <c r="F22" i="43"/>
  <c r="C22" i="43"/>
  <c r="B22" i="43"/>
  <c r="G21" i="43"/>
  <c r="F21" i="43"/>
  <c r="C21" i="43"/>
  <c r="B21" i="43"/>
  <c r="G20" i="43"/>
  <c r="F20" i="43"/>
  <c r="C20" i="43"/>
  <c r="B20" i="43"/>
  <c r="A20" i="43"/>
  <c r="G19" i="43"/>
  <c r="F19" i="43"/>
  <c r="C19" i="43"/>
  <c r="B19" i="43"/>
  <c r="A19" i="43"/>
  <c r="G18" i="43"/>
  <c r="F18" i="43"/>
  <c r="C18" i="43"/>
  <c r="B18" i="43"/>
  <c r="A18" i="43"/>
  <c r="G17" i="43"/>
  <c r="F17" i="43"/>
  <c r="C17" i="43"/>
  <c r="B17" i="43"/>
  <c r="A17" i="43"/>
  <c r="G16" i="43"/>
  <c r="F16" i="43"/>
  <c r="C16" i="43"/>
  <c r="B16" i="43"/>
  <c r="A16" i="43"/>
  <c r="G15" i="43"/>
  <c r="F15" i="43"/>
  <c r="C15" i="43"/>
  <c r="B15" i="43"/>
  <c r="A15" i="43"/>
  <c r="G14" i="43"/>
  <c r="F14" i="43"/>
  <c r="C14" i="43"/>
  <c r="B14" i="43"/>
  <c r="A14" i="43"/>
  <c r="G13" i="43"/>
  <c r="F13" i="43"/>
  <c r="C13" i="43"/>
  <c r="B13" i="43"/>
  <c r="A13" i="43"/>
  <c r="G12" i="43"/>
  <c r="F12" i="43"/>
  <c r="C12" i="43"/>
  <c r="B12" i="43"/>
  <c r="A12" i="43"/>
  <c r="G11" i="43"/>
  <c r="F11" i="43"/>
  <c r="C11" i="43"/>
  <c r="B11" i="43"/>
  <c r="A11" i="43"/>
  <c r="G10" i="43"/>
  <c r="F10" i="43"/>
  <c r="C10" i="43"/>
  <c r="B10" i="43"/>
  <c r="A10" i="43"/>
  <c r="G9" i="43"/>
  <c r="F9" i="43"/>
  <c r="C9" i="43"/>
  <c r="B9" i="43"/>
  <c r="A9" i="43"/>
  <c r="G8" i="43"/>
  <c r="C8" i="43"/>
  <c r="B8" i="43"/>
  <c r="A8" i="43"/>
  <c r="G7" i="43"/>
  <c r="F7" i="43"/>
  <c r="C7" i="43"/>
  <c r="B7" i="43"/>
  <c r="A7" i="43"/>
  <c r="F10" i="7"/>
  <c r="B31" i="42"/>
  <c r="A26" i="25"/>
  <c r="B26" i="25"/>
  <c r="C26" i="25"/>
  <c r="F26" i="25"/>
  <c r="G26" i="25"/>
  <c r="A29" i="25"/>
  <c r="B29" i="25"/>
  <c r="C29" i="25"/>
  <c r="F29" i="25"/>
  <c r="G29" i="25"/>
  <c r="A21" i="24"/>
  <c r="B21" i="24"/>
  <c r="C21" i="24"/>
  <c r="F21" i="24"/>
  <c r="G21" i="24"/>
  <c r="A20" i="32"/>
  <c r="B20" i="32"/>
  <c r="F20" i="32"/>
  <c r="G20" i="32"/>
  <c r="A21" i="32"/>
  <c r="B21" i="32"/>
  <c r="F21" i="32"/>
  <c r="G21" i="32"/>
  <c r="A28" i="33"/>
  <c r="B28" i="33"/>
  <c r="C28" i="33"/>
  <c r="F28" i="33"/>
  <c r="G28" i="33"/>
  <c r="A29" i="33"/>
  <c r="B29" i="33"/>
  <c r="C29" i="33"/>
  <c r="F29" i="33"/>
  <c r="G29" i="33"/>
  <c r="A14" i="29"/>
  <c r="B14" i="29"/>
  <c r="A29" i="2"/>
  <c r="B29" i="2"/>
  <c r="C29" i="2"/>
  <c r="F29" i="2"/>
  <c r="G29" i="2"/>
  <c r="F28" i="15"/>
  <c r="A18" i="24"/>
  <c r="B18" i="24"/>
  <c r="C18" i="24"/>
  <c r="F18" i="24"/>
  <c r="G18" i="24"/>
  <c r="A19" i="24"/>
  <c r="B19" i="24"/>
  <c r="C19" i="24"/>
  <c r="F19" i="24"/>
  <c r="G19" i="24"/>
  <c r="A20" i="24"/>
  <c r="B20" i="24"/>
  <c r="C20" i="24"/>
  <c r="F20" i="24"/>
  <c r="G20" i="24"/>
  <c r="A22" i="38"/>
  <c r="B22" i="38"/>
  <c r="C22" i="38"/>
  <c r="F22" i="38"/>
  <c r="G22" i="38"/>
  <c r="A23" i="38"/>
  <c r="B23" i="38"/>
  <c r="C23" i="38"/>
  <c r="F23" i="38"/>
  <c r="G23" i="38"/>
  <c r="A24" i="38"/>
  <c r="B24" i="38"/>
  <c r="C24" i="38"/>
  <c r="F24" i="38"/>
  <c r="G24" i="38"/>
  <c r="A25" i="38"/>
  <c r="B25" i="38"/>
  <c r="C25" i="38"/>
  <c r="F25" i="38"/>
  <c r="G25" i="38"/>
  <c r="A26" i="38"/>
  <c r="B26" i="38"/>
  <c r="C26" i="38"/>
  <c r="F26" i="38"/>
  <c r="G26" i="38"/>
  <c r="A27" i="38"/>
  <c r="B27" i="38"/>
  <c r="C27" i="38"/>
  <c r="F27" i="38"/>
  <c r="G27" i="38"/>
  <c r="A28" i="38"/>
  <c r="B28" i="38"/>
  <c r="C28" i="38"/>
  <c r="A30" i="38"/>
  <c r="B30" i="38"/>
  <c r="C30" i="38"/>
  <c r="F30" i="38"/>
  <c r="G30" i="38"/>
  <c r="A31" i="38"/>
  <c r="B31" i="38"/>
  <c r="C31" i="38"/>
  <c r="F31" i="38"/>
  <c r="G31" i="38"/>
  <c r="A20" i="38"/>
  <c r="B20" i="38"/>
  <c r="C20" i="38"/>
  <c r="F20" i="38"/>
  <c r="G20" i="38"/>
  <c r="A21" i="38"/>
  <c r="B21" i="38"/>
  <c r="C21" i="38"/>
  <c r="F21" i="38"/>
  <c r="G21" i="38"/>
  <c r="A19" i="38"/>
  <c r="H36" i="41"/>
  <c r="B59" i="42" s="1"/>
  <c r="B60" i="42" s="1"/>
  <c r="A25" i="25"/>
  <c r="B25" i="25"/>
  <c r="C25" i="25"/>
  <c r="F25" i="25"/>
  <c r="G25" i="25"/>
  <c r="A24" i="19"/>
  <c r="B24" i="19"/>
  <c r="C24" i="19"/>
  <c r="F24" i="19"/>
  <c r="G24" i="19"/>
  <c r="A25" i="19"/>
  <c r="B25" i="19"/>
  <c r="C25" i="19"/>
  <c r="F25" i="19"/>
  <c r="G25" i="19"/>
  <c r="A26" i="19"/>
  <c r="B26" i="19"/>
  <c r="C26" i="19"/>
  <c r="F26" i="19"/>
  <c r="G26" i="19"/>
  <c r="A29" i="17"/>
  <c r="B29" i="17"/>
  <c r="C29" i="17"/>
  <c r="F29" i="17"/>
  <c r="G29" i="17"/>
  <c r="A30" i="17"/>
  <c r="B30" i="17"/>
  <c r="C30" i="17"/>
  <c r="F30" i="17"/>
  <c r="G30" i="17"/>
  <c r="A23" i="11"/>
  <c r="B23" i="11"/>
  <c r="C23" i="11"/>
  <c r="F23" i="11"/>
  <c r="G23" i="11"/>
  <c r="A25" i="11"/>
  <c r="B25" i="11"/>
  <c r="C25" i="11"/>
  <c r="F25" i="11"/>
  <c r="G25" i="11"/>
  <c r="A26" i="11"/>
  <c r="B26" i="11"/>
  <c r="C26" i="11"/>
  <c r="F26" i="11"/>
  <c r="G26" i="11"/>
  <c r="A29" i="9"/>
  <c r="B29" i="9"/>
  <c r="C29" i="9"/>
  <c r="F29" i="9"/>
  <c r="G29" i="9"/>
  <c r="A30" i="9"/>
  <c r="B30" i="9"/>
  <c r="C30" i="9"/>
  <c r="F30" i="9"/>
  <c r="G30" i="9"/>
  <c r="B14" i="42"/>
  <c r="A28" i="2"/>
  <c r="B28" i="2"/>
  <c r="C28" i="2"/>
  <c r="F28" i="2"/>
  <c r="G28" i="2"/>
  <c r="A30" i="2"/>
  <c r="B30" i="2"/>
  <c r="C30" i="2"/>
  <c r="F30" i="2"/>
  <c r="G30" i="2"/>
  <c r="A24" i="3"/>
  <c r="B24" i="3"/>
  <c r="C24" i="3"/>
  <c r="F24" i="3"/>
  <c r="G24" i="3"/>
  <c r="A23" i="3"/>
  <c r="B23" i="3"/>
  <c r="C23" i="3"/>
  <c r="F23" i="3"/>
  <c r="G23" i="3"/>
  <c r="A30" i="28"/>
  <c r="B30" i="28"/>
  <c r="C30" i="28"/>
  <c r="F30" i="28"/>
  <c r="G30" i="28"/>
  <c r="A23" i="21"/>
  <c r="B23" i="21"/>
  <c r="C23" i="21"/>
  <c r="F23" i="21"/>
  <c r="G23" i="21"/>
  <c r="A24" i="21"/>
  <c r="B24" i="21"/>
  <c r="C24" i="21"/>
  <c r="F24" i="21"/>
  <c r="G24" i="21"/>
  <c r="A25" i="21"/>
  <c r="B25" i="21"/>
  <c r="C25" i="21"/>
  <c r="F25" i="21"/>
  <c r="G25" i="21"/>
  <c r="A26" i="21"/>
  <c r="B26" i="21"/>
  <c r="C26" i="21"/>
  <c r="F26" i="21"/>
  <c r="G26" i="21"/>
  <c r="A27" i="21"/>
  <c r="B27" i="21"/>
  <c r="C27" i="21"/>
  <c r="F27" i="21"/>
  <c r="G27" i="21"/>
  <c r="C17" i="32"/>
  <c r="F19" i="17"/>
  <c r="G19" i="17"/>
  <c r="A19" i="17"/>
  <c r="B19" i="17"/>
  <c r="C19" i="17"/>
  <c r="F18" i="17"/>
  <c r="G18" i="17"/>
  <c r="A18" i="17"/>
  <c r="B18" i="17"/>
  <c r="C18" i="17"/>
  <c r="F16" i="32"/>
  <c r="G16" i="32"/>
  <c r="A16" i="32"/>
  <c r="B16" i="32"/>
  <c r="F35" i="41"/>
  <c r="G35" i="41"/>
  <c r="A23" i="8"/>
  <c r="B23" i="8"/>
  <c r="C23" i="8"/>
  <c r="F23" i="8"/>
  <c r="G23" i="8"/>
  <c r="A24" i="8"/>
  <c r="B24" i="8"/>
  <c r="C24" i="8"/>
  <c r="F24" i="8"/>
  <c r="G24" i="8"/>
  <c r="A30" i="8"/>
  <c r="B30" i="8"/>
  <c r="C30" i="8"/>
  <c r="F30" i="8"/>
  <c r="G30" i="8"/>
  <c r="A59" i="42"/>
  <c r="A55" i="42"/>
  <c r="A54" i="42"/>
  <c r="A53" i="42"/>
  <c r="A49" i="42"/>
  <c r="A48" i="42"/>
  <c r="A47" i="42"/>
  <c r="A46" i="42"/>
  <c r="A45" i="42"/>
  <c r="A44" i="42"/>
  <c r="A43" i="42"/>
  <c r="A42" i="42"/>
  <c r="A41" i="42"/>
  <c r="A37" i="42"/>
  <c r="A36" i="42"/>
  <c r="A35" i="42"/>
  <c r="A34" i="42"/>
  <c r="A33" i="42"/>
  <c r="A32" i="42"/>
  <c r="A31" i="42"/>
  <c r="A27" i="42"/>
  <c r="A26" i="42"/>
  <c r="A25" i="42"/>
  <c r="A24" i="42"/>
  <c r="A23" i="42"/>
  <c r="A22" i="42"/>
  <c r="A21" i="42"/>
  <c r="A20" i="42"/>
  <c r="A15" i="42"/>
  <c r="A14" i="42"/>
  <c r="A12" i="42"/>
  <c r="A11" i="42"/>
  <c r="A10" i="42"/>
  <c r="A9" i="42"/>
  <c r="A8" i="42"/>
  <c r="C35" i="41"/>
  <c r="B35" i="41"/>
  <c r="A35" i="41"/>
  <c r="G34" i="41"/>
  <c r="F34" i="41"/>
  <c r="C34" i="41"/>
  <c r="B34" i="41"/>
  <c r="A34" i="41"/>
  <c r="G33" i="41"/>
  <c r="F33" i="41"/>
  <c r="C33" i="41"/>
  <c r="B33" i="41"/>
  <c r="A33" i="41"/>
  <c r="G32" i="41"/>
  <c r="F32" i="41"/>
  <c r="C32" i="41"/>
  <c r="B32" i="41"/>
  <c r="A32" i="41"/>
  <c r="G31" i="41"/>
  <c r="F31" i="41"/>
  <c r="C31" i="41"/>
  <c r="B31" i="41"/>
  <c r="A31" i="41"/>
  <c r="G30" i="41"/>
  <c r="F30" i="41"/>
  <c r="C30" i="41"/>
  <c r="B30" i="41"/>
  <c r="A30" i="41"/>
  <c r="G29" i="41"/>
  <c r="F29" i="41"/>
  <c r="C29" i="41"/>
  <c r="B29" i="41"/>
  <c r="A29" i="41"/>
  <c r="G28" i="41"/>
  <c r="F28" i="41"/>
  <c r="C28" i="41"/>
  <c r="B28" i="41"/>
  <c r="A28" i="41"/>
  <c r="G27" i="41"/>
  <c r="F27" i="41"/>
  <c r="C27" i="41"/>
  <c r="B27" i="41"/>
  <c r="A27" i="41"/>
  <c r="G26" i="41"/>
  <c r="F26" i="41"/>
  <c r="C26" i="41"/>
  <c r="B26" i="41"/>
  <c r="A26" i="41"/>
  <c r="G25" i="41"/>
  <c r="F25" i="41"/>
  <c r="C25" i="41"/>
  <c r="B25" i="41"/>
  <c r="A25" i="41"/>
  <c r="G24" i="41"/>
  <c r="F24" i="41"/>
  <c r="C24" i="41"/>
  <c r="B24" i="41"/>
  <c r="A24" i="41"/>
  <c r="G23" i="41"/>
  <c r="F23" i="41"/>
  <c r="C23" i="41"/>
  <c r="B23" i="41"/>
  <c r="A23" i="41"/>
  <c r="G22" i="41"/>
  <c r="F22" i="41"/>
  <c r="C22" i="41"/>
  <c r="B22" i="41"/>
  <c r="A22" i="41"/>
  <c r="G21" i="41"/>
  <c r="F21" i="41"/>
  <c r="C21" i="41"/>
  <c r="B21" i="41"/>
  <c r="A21" i="41"/>
  <c r="G20" i="41"/>
  <c r="F20" i="41"/>
  <c r="C20" i="41"/>
  <c r="B20" i="41"/>
  <c r="A20" i="41"/>
  <c r="G19" i="41"/>
  <c r="F19" i="41"/>
  <c r="C19" i="41"/>
  <c r="B19" i="41"/>
  <c r="A19" i="41"/>
  <c r="G18" i="41"/>
  <c r="F18" i="41"/>
  <c r="C18" i="41"/>
  <c r="B18" i="41"/>
  <c r="A18" i="41"/>
  <c r="G11" i="41"/>
  <c r="F11" i="41"/>
  <c r="C11" i="41"/>
  <c r="B11" i="41"/>
  <c r="A11" i="41"/>
  <c r="G10" i="41"/>
  <c r="F10" i="41"/>
  <c r="C10" i="41"/>
  <c r="B10" i="41"/>
  <c r="A10" i="41"/>
  <c r="G9" i="41"/>
  <c r="F9" i="41"/>
  <c r="C9" i="41"/>
  <c r="B9" i="41"/>
  <c r="A9" i="41"/>
  <c r="G8" i="41"/>
  <c r="F8" i="41"/>
  <c r="C8" i="41"/>
  <c r="B8" i="41"/>
  <c r="A8" i="41"/>
  <c r="G7" i="41"/>
  <c r="F7" i="41"/>
  <c r="C7" i="41"/>
  <c r="B7" i="41"/>
  <c r="A7" i="41"/>
  <c r="C32" i="40"/>
  <c r="B32" i="40"/>
  <c r="A32" i="40"/>
  <c r="G31" i="40"/>
  <c r="F31" i="40"/>
  <c r="C31" i="40"/>
  <c r="B31" i="40"/>
  <c r="A31" i="40"/>
  <c r="G30" i="40"/>
  <c r="F30" i="40"/>
  <c r="C30" i="40"/>
  <c r="B30" i="40"/>
  <c r="A30" i="40"/>
  <c r="G29" i="40"/>
  <c r="F29" i="40"/>
  <c r="C29" i="40"/>
  <c r="B29" i="40"/>
  <c r="A29" i="40"/>
  <c r="G28" i="40"/>
  <c r="F28" i="40"/>
  <c r="C28" i="40"/>
  <c r="B28" i="40"/>
  <c r="A28" i="40"/>
  <c r="G27" i="40"/>
  <c r="F27" i="40"/>
  <c r="C27" i="40"/>
  <c r="B27" i="40"/>
  <c r="A27" i="40"/>
  <c r="G26" i="40"/>
  <c r="F26" i="40"/>
  <c r="C26" i="40"/>
  <c r="B26" i="40"/>
  <c r="A26" i="40"/>
  <c r="G25" i="40"/>
  <c r="F25" i="40"/>
  <c r="C25" i="40"/>
  <c r="B25" i="40"/>
  <c r="G24" i="40"/>
  <c r="F24" i="40"/>
  <c r="C24" i="40"/>
  <c r="B24" i="40"/>
  <c r="G23" i="40"/>
  <c r="F23" i="40"/>
  <c r="C23" i="40"/>
  <c r="B23" i="40"/>
  <c r="G22" i="40"/>
  <c r="F22" i="40"/>
  <c r="C22" i="40"/>
  <c r="G21" i="40"/>
  <c r="F21" i="40"/>
  <c r="C21" i="40"/>
  <c r="B21" i="40"/>
  <c r="A21" i="40"/>
  <c r="G20" i="40"/>
  <c r="F20" i="40"/>
  <c r="C20" i="40"/>
  <c r="B20" i="40"/>
  <c r="A20" i="40"/>
  <c r="G19" i="40"/>
  <c r="F19" i="40"/>
  <c r="C19" i="40"/>
  <c r="B19" i="40"/>
  <c r="A19" i="40"/>
  <c r="G18" i="40"/>
  <c r="F18" i="40"/>
  <c r="C18" i="40"/>
  <c r="B18" i="40"/>
  <c r="A18" i="40"/>
  <c r="G17" i="40"/>
  <c r="F17" i="40"/>
  <c r="C17" i="40"/>
  <c r="B17" i="40"/>
  <c r="A17" i="40"/>
  <c r="G16" i="40"/>
  <c r="F16" i="40"/>
  <c r="C16" i="40"/>
  <c r="B16" i="40"/>
  <c r="A16" i="40"/>
  <c r="G15" i="40"/>
  <c r="F15" i="40"/>
  <c r="C15" i="40"/>
  <c r="B15" i="40"/>
  <c r="A15" i="40"/>
  <c r="G14" i="40"/>
  <c r="C14" i="40"/>
  <c r="B14" i="40"/>
  <c r="A14" i="40"/>
  <c r="G13" i="40"/>
  <c r="F13" i="40"/>
  <c r="C13" i="40"/>
  <c r="B13" i="40"/>
  <c r="A13" i="40"/>
  <c r="G12" i="40"/>
  <c r="C12" i="40"/>
  <c r="G11" i="40"/>
  <c r="C11" i="40"/>
  <c r="G10" i="40"/>
  <c r="F10" i="40"/>
  <c r="C10" i="40"/>
  <c r="B10" i="40"/>
  <c r="A10" i="40"/>
  <c r="G9" i="40"/>
  <c r="F9" i="40"/>
  <c r="C9" i="40"/>
  <c r="B9" i="40"/>
  <c r="A9" i="40"/>
  <c r="G8" i="40"/>
  <c r="F8" i="40"/>
  <c r="C8" i="40"/>
  <c r="B8" i="40"/>
  <c r="A8" i="40"/>
  <c r="G7" i="40"/>
  <c r="F7" i="40"/>
  <c r="C7" i="40"/>
  <c r="B7" i="40"/>
  <c r="A7" i="40"/>
  <c r="H32" i="39"/>
  <c r="C32" i="39"/>
  <c r="B32" i="39"/>
  <c r="A32" i="39"/>
  <c r="G31" i="39"/>
  <c r="F31" i="39"/>
  <c r="C31" i="39"/>
  <c r="B31" i="39"/>
  <c r="A31" i="39"/>
  <c r="G30" i="39"/>
  <c r="F30" i="39"/>
  <c r="C30" i="39"/>
  <c r="B30" i="39"/>
  <c r="A30" i="39"/>
  <c r="G29" i="39"/>
  <c r="F29" i="39"/>
  <c r="C29" i="39"/>
  <c r="B29" i="39"/>
  <c r="A29" i="39"/>
  <c r="G28" i="39"/>
  <c r="F28" i="39"/>
  <c r="C28" i="39"/>
  <c r="B28" i="39"/>
  <c r="A28" i="39"/>
  <c r="G27" i="39"/>
  <c r="F27" i="39"/>
  <c r="C27" i="39"/>
  <c r="B27" i="39"/>
  <c r="A27" i="39"/>
  <c r="G26" i="39"/>
  <c r="F26" i="39"/>
  <c r="C26" i="39"/>
  <c r="B26" i="39"/>
  <c r="A26" i="39"/>
  <c r="G25" i="39"/>
  <c r="F25" i="39"/>
  <c r="C25" i="39"/>
  <c r="B25" i="39"/>
  <c r="A25" i="39"/>
  <c r="G24" i="39"/>
  <c r="F24" i="39"/>
  <c r="C24" i="39"/>
  <c r="B24" i="39"/>
  <c r="A24" i="39"/>
  <c r="G23" i="39"/>
  <c r="F23" i="39"/>
  <c r="C23" i="39"/>
  <c r="B23" i="39"/>
  <c r="A23" i="39"/>
  <c r="G22" i="39"/>
  <c r="F22" i="39"/>
  <c r="C22" i="39"/>
  <c r="B22" i="39"/>
  <c r="A22" i="39"/>
  <c r="G21" i="39"/>
  <c r="F21" i="39"/>
  <c r="C21" i="39"/>
  <c r="B21" i="39"/>
  <c r="A21" i="39"/>
  <c r="G19" i="39"/>
  <c r="F19" i="39"/>
  <c r="C19" i="39"/>
  <c r="B19" i="39"/>
  <c r="A19" i="39"/>
  <c r="G18" i="39"/>
  <c r="F18" i="39"/>
  <c r="C18" i="39"/>
  <c r="B18" i="39"/>
  <c r="A18" i="39"/>
  <c r="G17" i="39"/>
  <c r="F17" i="39"/>
  <c r="C17" i="39"/>
  <c r="B17" i="39"/>
  <c r="A17" i="39"/>
  <c r="G16" i="39"/>
  <c r="F16" i="39"/>
  <c r="C16" i="39"/>
  <c r="B16" i="39"/>
  <c r="A16" i="39"/>
  <c r="G15" i="39"/>
  <c r="F15" i="39"/>
  <c r="C15" i="39"/>
  <c r="B15" i="39"/>
  <c r="A15" i="39"/>
  <c r="G14" i="39"/>
  <c r="F14" i="39"/>
  <c r="C14" i="39"/>
  <c r="B14" i="39"/>
  <c r="A14" i="39"/>
  <c r="G13" i="39"/>
  <c r="F13" i="39"/>
  <c r="C13" i="39"/>
  <c r="B13" i="39"/>
  <c r="A13" i="39"/>
  <c r="G12" i="39"/>
  <c r="F12" i="39"/>
  <c r="C12" i="39"/>
  <c r="B12" i="39"/>
  <c r="A12" i="39"/>
  <c r="G11" i="39"/>
  <c r="F11" i="39"/>
  <c r="C11" i="39"/>
  <c r="B11" i="39"/>
  <c r="A11" i="39"/>
  <c r="G10" i="39"/>
  <c r="F10" i="39"/>
  <c r="C10" i="39"/>
  <c r="B10" i="39"/>
  <c r="A10" i="39"/>
  <c r="G9" i="39"/>
  <c r="F9" i="39"/>
  <c r="C9" i="39"/>
  <c r="B9" i="39"/>
  <c r="A9" i="39"/>
  <c r="G8" i="39"/>
  <c r="F8" i="39"/>
  <c r="C8" i="39"/>
  <c r="B8" i="39"/>
  <c r="A8" i="39"/>
  <c r="G7" i="39"/>
  <c r="F7" i="39"/>
  <c r="C7" i="39"/>
  <c r="B7" i="39"/>
  <c r="A7" i="39"/>
  <c r="C32" i="38"/>
  <c r="B32" i="38"/>
  <c r="A32" i="38"/>
  <c r="G19" i="38"/>
  <c r="F19" i="38"/>
  <c r="C19" i="38"/>
  <c r="B19" i="38"/>
  <c r="G18" i="38"/>
  <c r="F18" i="38"/>
  <c r="C18" i="38"/>
  <c r="B18" i="38"/>
  <c r="A18" i="38"/>
  <c r="G17" i="38"/>
  <c r="F17" i="38"/>
  <c r="C17" i="38"/>
  <c r="B17" i="38"/>
  <c r="A17" i="38"/>
  <c r="G16" i="38"/>
  <c r="F16" i="38"/>
  <c r="C16" i="38"/>
  <c r="B16" i="38"/>
  <c r="A16" i="38"/>
  <c r="G15" i="38"/>
  <c r="F15" i="38"/>
  <c r="C15" i="38"/>
  <c r="B15" i="38"/>
  <c r="A15" i="38"/>
  <c r="G14" i="38"/>
  <c r="F14" i="38"/>
  <c r="C14" i="38"/>
  <c r="B14" i="38"/>
  <c r="A14" i="38"/>
  <c r="G13" i="38"/>
  <c r="F13" i="38"/>
  <c r="C13" i="38"/>
  <c r="B13" i="38"/>
  <c r="A13" i="38"/>
  <c r="G12" i="38"/>
  <c r="F12" i="38"/>
  <c r="C12" i="38"/>
  <c r="B12" i="38"/>
  <c r="A12" i="38"/>
  <c r="G11" i="38"/>
  <c r="F11" i="38"/>
  <c r="C11" i="38"/>
  <c r="B11" i="38"/>
  <c r="A11" i="38"/>
  <c r="G10" i="38"/>
  <c r="F10" i="38"/>
  <c r="C10" i="38"/>
  <c r="B10" i="38"/>
  <c r="A10" i="38"/>
  <c r="G9" i="38"/>
  <c r="F9" i="38"/>
  <c r="C9" i="38"/>
  <c r="B9" i="38"/>
  <c r="A9" i="38"/>
  <c r="G8" i="38"/>
  <c r="F8" i="38"/>
  <c r="C8" i="38"/>
  <c r="B8" i="38"/>
  <c r="A8" i="38"/>
  <c r="G7" i="38"/>
  <c r="F7" i="38"/>
  <c r="C7" i="38"/>
  <c r="B7" i="38"/>
  <c r="A7" i="38"/>
  <c r="B54" i="42"/>
  <c r="C32" i="37"/>
  <c r="B32" i="37"/>
  <c r="A32" i="37"/>
  <c r="G31" i="37"/>
  <c r="F31" i="37"/>
  <c r="C31" i="37"/>
  <c r="B31" i="37"/>
  <c r="A31" i="37"/>
  <c r="G30" i="37"/>
  <c r="F30" i="37"/>
  <c r="C30" i="37"/>
  <c r="B30" i="37"/>
  <c r="A30" i="37"/>
  <c r="G29" i="37"/>
  <c r="F29" i="37"/>
  <c r="C29" i="37"/>
  <c r="B29" i="37"/>
  <c r="A29" i="37"/>
  <c r="G28" i="37"/>
  <c r="F28" i="37"/>
  <c r="C28" i="37"/>
  <c r="B28" i="37"/>
  <c r="A28" i="37"/>
  <c r="G27" i="37"/>
  <c r="F27" i="37"/>
  <c r="C27" i="37"/>
  <c r="B27" i="37"/>
  <c r="A27" i="37"/>
  <c r="G26" i="37"/>
  <c r="F26" i="37"/>
  <c r="C26" i="37"/>
  <c r="B26" i="37"/>
  <c r="A26" i="37"/>
  <c r="G25" i="37"/>
  <c r="F25" i="37"/>
  <c r="C25" i="37"/>
  <c r="B25" i="37"/>
  <c r="A25" i="37"/>
  <c r="G24" i="37"/>
  <c r="F24" i="37"/>
  <c r="C24" i="37"/>
  <c r="B24" i="37"/>
  <c r="A24" i="37"/>
  <c r="G23" i="37"/>
  <c r="F23" i="37"/>
  <c r="C23" i="37"/>
  <c r="B23" i="37"/>
  <c r="A23" i="37"/>
  <c r="G22" i="37"/>
  <c r="F22" i="37"/>
  <c r="C22" i="37"/>
  <c r="B22" i="37"/>
  <c r="A22" i="37"/>
  <c r="G21" i="37"/>
  <c r="F21" i="37"/>
  <c r="C21" i="37"/>
  <c r="B21" i="37"/>
  <c r="A21" i="37"/>
  <c r="G20" i="37"/>
  <c r="F20" i="37"/>
  <c r="C20" i="37"/>
  <c r="B20" i="37"/>
  <c r="A20" i="37"/>
  <c r="G19" i="37"/>
  <c r="F19" i="37"/>
  <c r="C19" i="37"/>
  <c r="B19" i="37"/>
  <c r="A19" i="37"/>
  <c r="G18" i="37"/>
  <c r="F18" i="37"/>
  <c r="C18" i="37"/>
  <c r="B18" i="37"/>
  <c r="A18" i="37"/>
  <c r="G17" i="37"/>
  <c r="F17" i="37"/>
  <c r="C17" i="37"/>
  <c r="B17" i="37"/>
  <c r="A17" i="37"/>
  <c r="G16" i="37"/>
  <c r="F16" i="37"/>
  <c r="C16" i="37"/>
  <c r="B16" i="37"/>
  <c r="A16" i="37"/>
  <c r="G15" i="37"/>
  <c r="F15" i="37"/>
  <c r="C15" i="37"/>
  <c r="B15" i="37"/>
  <c r="A15" i="37"/>
  <c r="G14" i="37"/>
  <c r="C14" i="37"/>
  <c r="B14" i="37"/>
  <c r="A14" i="37"/>
  <c r="G13" i="37"/>
  <c r="F13" i="37"/>
  <c r="C13" i="37"/>
  <c r="B13" i="37"/>
  <c r="A13" i="37"/>
  <c r="G12" i="37"/>
  <c r="F12" i="37"/>
  <c r="C12" i="37"/>
  <c r="B12" i="37"/>
  <c r="A12" i="37"/>
  <c r="G11" i="37"/>
  <c r="F11" i="37"/>
  <c r="C11" i="37"/>
  <c r="B11" i="37"/>
  <c r="A11" i="37"/>
  <c r="G10" i="37"/>
  <c r="C10" i="37"/>
  <c r="B10" i="37"/>
  <c r="A10" i="37"/>
  <c r="G9" i="37"/>
  <c r="F9" i="37"/>
  <c r="C9" i="37"/>
  <c r="B9" i="37"/>
  <c r="A9" i="37"/>
  <c r="G8" i="37"/>
  <c r="F8" i="37"/>
  <c r="C8" i="37"/>
  <c r="B8" i="37"/>
  <c r="A8" i="37"/>
  <c r="G7" i="37"/>
  <c r="F7" i="37"/>
  <c r="C7" i="37"/>
  <c r="B7" i="37"/>
  <c r="A7" i="37"/>
  <c r="B53" i="42"/>
  <c r="C32" i="36"/>
  <c r="B32" i="36"/>
  <c r="A32" i="36"/>
  <c r="G31" i="36"/>
  <c r="F31" i="36"/>
  <c r="C31" i="36"/>
  <c r="B31" i="36"/>
  <c r="A31" i="36"/>
  <c r="G19" i="36"/>
  <c r="F19" i="36"/>
  <c r="C19" i="36"/>
  <c r="B19" i="36"/>
  <c r="A19" i="36"/>
  <c r="G18" i="36"/>
  <c r="F18" i="36"/>
  <c r="C18" i="36"/>
  <c r="B18" i="36"/>
  <c r="A18" i="36"/>
  <c r="G17" i="36"/>
  <c r="F17" i="36"/>
  <c r="C17" i="36"/>
  <c r="B17" i="36"/>
  <c r="A17" i="36"/>
  <c r="G16" i="36"/>
  <c r="F16" i="36"/>
  <c r="C16" i="36"/>
  <c r="B16" i="36"/>
  <c r="A16" i="36"/>
  <c r="G15" i="36"/>
  <c r="F15" i="36"/>
  <c r="C15" i="36"/>
  <c r="B15" i="36"/>
  <c r="A15" i="36"/>
  <c r="G14" i="36"/>
  <c r="F14" i="36"/>
  <c r="C14" i="36"/>
  <c r="B14" i="36"/>
  <c r="A14" i="36"/>
  <c r="G13" i="36"/>
  <c r="F13" i="36"/>
  <c r="C13" i="36"/>
  <c r="B13" i="36"/>
  <c r="A13" i="36"/>
  <c r="G12" i="36"/>
  <c r="C12" i="36"/>
  <c r="B12" i="36"/>
  <c r="G11" i="36"/>
  <c r="C11" i="36"/>
  <c r="B11" i="36"/>
  <c r="G10" i="36"/>
  <c r="F10" i="36"/>
  <c r="C10" i="36"/>
  <c r="B10" i="36"/>
  <c r="A10" i="36"/>
  <c r="G9" i="36"/>
  <c r="F9" i="36"/>
  <c r="C9" i="36"/>
  <c r="B9" i="36"/>
  <c r="A9" i="36"/>
  <c r="G8" i="36"/>
  <c r="F8" i="36"/>
  <c r="C8" i="36"/>
  <c r="B8" i="36"/>
  <c r="A8" i="36"/>
  <c r="G7" i="36"/>
  <c r="F7" i="36"/>
  <c r="C7" i="36"/>
  <c r="B7" i="36"/>
  <c r="A7" i="36"/>
  <c r="H32" i="35"/>
  <c r="C32" i="35"/>
  <c r="B32" i="35"/>
  <c r="A32" i="35"/>
  <c r="G31" i="35"/>
  <c r="F31" i="35"/>
  <c r="C31" i="35"/>
  <c r="B31" i="35"/>
  <c r="A31" i="35"/>
  <c r="G30" i="35"/>
  <c r="F30" i="35"/>
  <c r="C30" i="35"/>
  <c r="B30" i="35"/>
  <c r="A30" i="35"/>
  <c r="G29" i="35"/>
  <c r="F29" i="35"/>
  <c r="C29" i="35"/>
  <c r="B29" i="35"/>
  <c r="A29" i="35"/>
  <c r="G28" i="35"/>
  <c r="F28" i="35"/>
  <c r="C28" i="35"/>
  <c r="B28" i="35"/>
  <c r="A28" i="35"/>
  <c r="G27" i="35"/>
  <c r="F27" i="35"/>
  <c r="C27" i="35"/>
  <c r="B27" i="35"/>
  <c r="A27" i="35"/>
  <c r="G26" i="35"/>
  <c r="F26" i="35"/>
  <c r="C26" i="35"/>
  <c r="B26" i="35"/>
  <c r="A26" i="35"/>
  <c r="G25" i="35"/>
  <c r="F25" i="35"/>
  <c r="C25" i="35"/>
  <c r="B25" i="35"/>
  <c r="A25" i="35"/>
  <c r="G24" i="35"/>
  <c r="F24" i="35"/>
  <c r="C24" i="35"/>
  <c r="B24" i="35"/>
  <c r="A24" i="35"/>
  <c r="G23" i="35"/>
  <c r="F23" i="35"/>
  <c r="C23" i="35"/>
  <c r="B23" i="35"/>
  <c r="A23" i="35"/>
  <c r="G22" i="35"/>
  <c r="F22" i="35"/>
  <c r="C22" i="35"/>
  <c r="B22" i="35"/>
  <c r="A22" i="35"/>
  <c r="G21" i="35"/>
  <c r="F21" i="35"/>
  <c r="C21" i="35"/>
  <c r="B21" i="35"/>
  <c r="A21" i="35"/>
  <c r="G20" i="35"/>
  <c r="F20" i="35"/>
  <c r="C20" i="35"/>
  <c r="B20" i="35"/>
  <c r="A20" i="35"/>
  <c r="G19" i="35"/>
  <c r="F19" i="35"/>
  <c r="C19" i="35"/>
  <c r="B19" i="35"/>
  <c r="A19" i="35"/>
  <c r="G18" i="35"/>
  <c r="F18" i="35"/>
  <c r="C18" i="35"/>
  <c r="B18" i="35"/>
  <c r="A18" i="35"/>
  <c r="G17" i="35"/>
  <c r="F17" i="35"/>
  <c r="C17" i="35"/>
  <c r="B17" i="35"/>
  <c r="A17" i="35"/>
  <c r="G16" i="35"/>
  <c r="F16" i="35"/>
  <c r="C16" i="35"/>
  <c r="B16" i="35"/>
  <c r="A16" i="35"/>
  <c r="G15" i="35"/>
  <c r="F15" i="35"/>
  <c r="C15" i="35"/>
  <c r="B15" i="35"/>
  <c r="A15" i="35"/>
  <c r="G14" i="35"/>
  <c r="F14" i="35"/>
  <c r="C14" i="35"/>
  <c r="B14" i="35"/>
  <c r="A14" i="35"/>
  <c r="G13" i="35"/>
  <c r="F13" i="35"/>
  <c r="C13" i="35"/>
  <c r="B13" i="35"/>
  <c r="A13" i="35"/>
  <c r="G12" i="35"/>
  <c r="F12" i="35"/>
  <c r="C12" i="35"/>
  <c r="B12" i="35"/>
  <c r="A12" i="35"/>
  <c r="G11" i="35"/>
  <c r="F11" i="35"/>
  <c r="C11" i="35"/>
  <c r="B11" i="35"/>
  <c r="A11" i="35"/>
  <c r="G10" i="35"/>
  <c r="F10" i="35"/>
  <c r="C10" i="35"/>
  <c r="B10" i="35"/>
  <c r="A10" i="35"/>
  <c r="G9" i="35"/>
  <c r="F9" i="35"/>
  <c r="C9" i="35"/>
  <c r="B9" i="35"/>
  <c r="A9" i="35"/>
  <c r="G8" i="35"/>
  <c r="F8" i="35"/>
  <c r="C8" i="35"/>
  <c r="B8" i="35"/>
  <c r="A8" i="35"/>
  <c r="G7" i="35"/>
  <c r="F7" i="35"/>
  <c r="C7" i="35"/>
  <c r="B7" i="35"/>
  <c r="A7" i="35"/>
  <c r="H32" i="34"/>
  <c r="B49" i="42" s="1"/>
  <c r="C32" i="34"/>
  <c r="B32" i="34"/>
  <c r="A32" i="34"/>
  <c r="G31" i="34"/>
  <c r="F31" i="34"/>
  <c r="C31" i="34"/>
  <c r="B31" i="34"/>
  <c r="A31" i="34"/>
  <c r="G30" i="34"/>
  <c r="F30" i="34"/>
  <c r="C30" i="34"/>
  <c r="B30" i="34"/>
  <c r="A30" i="34"/>
  <c r="G24" i="34"/>
  <c r="F24" i="34"/>
  <c r="C24" i="34"/>
  <c r="B24" i="34"/>
  <c r="A24" i="34"/>
  <c r="G23" i="34"/>
  <c r="F23" i="34"/>
  <c r="C23" i="34"/>
  <c r="B23" i="34"/>
  <c r="A23" i="34"/>
  <c r="G22" i="34"/>
  <c r="F22" i="34"/>
  <c r="C22" i="34"/>
  <c r="B22" i="34"/>
  <c r="A22" i="34"/>
  <c r="G21" i="34"/>
  <c r="F21" i="34"/>
  <c r="C21" i="34"/>
  <c r="B21" i="34"/>
  <c r="A21" i="34"/>
  <c r="G20" i="34"/>
  <c r="F20" i="34"/>
  <c r="C20" i="34"/>
  <c r="B20" i="34"/>
  <c r="A20" i="34"/>
  <c r="G19" i="34"/>
  <c r="F19" i="34"/>
  <c r="C19" i="34"/>
  <c r="B19" i="34"/>
  <c r="A19" i="34"/>
  <c r="G18" i="34"/>
  <c r="F18" i="34"/>
  <c r="C18" i="34"/>
  <c r="B18" i="34"/>
  <c r="A18" i="34"/>
  <c r="G17" i="34"/>
  <c r="F17" i="34"/>
  <c r="C17" i="34"/>
  <c r="B17" i="34"/>
  <c r="A17" i="34"/>
  <c r="G16" i="34"/>
  <c r="F16" i="34"/>
  <c r="C16" i="34"/>
  <c r="B16" i="34"/>
  <c r="A16" i="34"/>
  <c r="G15" i="34"/>
  <c r="F15" i="34"/>
  <c r="C15" i="34"/>
  <c r="B15" i="34"/>
  <c r="A15" i="34"/>
  <c r="G14" i="34"/>
  <c r="F14" i="34"/>
  <c r="C14" i="34"/>
  <c r="B14" i="34"/>
  <c r="A14" i="34"/>
  <c r="G13" i="34"/>
  <c r="F13" i="34"/>
  <c r="C13" i="34"/>
  <c r="B13" i="34"/>
  <c r="A13" i="34"/>
  <c r="G12" i="34"/>
  <c r="F12" i="34"/>
  <c r="C12" i="34"/>
  <c r="B12" i="34"/>
  <c r="A12" i="34"/>
  <c r="G11" i="34"/>
  <c r="F11" i="34"/>
  <c r="C11" i="34"/>
  <c r="B11" i="34"/>
  <c r="A11" i="34"/>
  <c r="G10" i="34"/>
  <c r="F10" i="34"/>
  <c r="C10" i="34"/>
  <c r="B10" i="34"/>
  <c r="A10" i="34"/>
  <c r="G9" i="34"/>
  <c r="F9" i="34"/>
  <c r="C9" i="34"/>
  <c r="B9" i="34"/>
  <c r="A9" i="34"/>
  <c r="G8" i="34"/>
  <c r="F8" i="34"/>
  <c r="C8" i="34"/>
  <c r="B8" i="34"/>
  <c r="A8" i="34"/>
  <c r="G7" i="34"/>
  <c r="F7" i="34"/>
  <c r="C7" i="34"/>
  <c r="B7" i="34"/>
  <c r="A7" i="34"/>
  <c r="G31" i="33"/>
  <c r="F31" i="33"/>
  <c r="C31" i="33"/>
  <c r="B31" i="33"/>
  <c r="A31" i="33"/>
  <c r="G30" i="33"/>
  <c r="F30" i="33"/>
  <c r="C30" i="33"/>
  <c r="B30" i="33"/>
  <c r="A30" i="33"/>
  <c r="G27" i="33"/>
  <c r="F27" i="33"/>
  <c r="C27" i="33"/>
  <c r="B27" i="33"/>
  <c r="A27" i="33"/>
  <c r="G26" i="33"/>
  <c r="F26" i="33"/>
  <c r="C26" i="33"/>
  <c r="B26" i="33"/>
  <c r="A26" i="33"/>
  <c r="G25" i="33"/>
  <c r="F25" i="33"/>
  <c r="C25" i="33"/>
  <c r="B25" i="33"/>
  <c r="A25" i="33"/>
  <c r="G24" i="33"/>
  <c r="F24" i="33"/>
  <c r="C24" i="33"/>
  <c r="B24" i="33"/>
  <c r="A24" i="33"/>
  <c r="G23" i="33"/>
  <c r="F23" i="33"/>
  <c r="C23" i="33"/>
  <c r="B23" i="33"/>
  <c r="A23" i="33"/>
  <c r="G22" i="33"/>
  <c r="F22" i="33"/>
  <c r="C22" i="33"/>
  <c r="B22" i="33"/>
  <c r="A22" i="33"/>
  <c r="G21" i="33"/>
  <c r="F21" i="33"/>
  <c r="C21" i="33"/>
  <c r="B21" i="33"/>
  <c r="A21" i="33"/>
  <c r="G20" i="33"/>
  <c r="F20" i="33"/>
  <c r="C20" i="33"/>
  <c r="B20" i="33"/>
  <c r="A20" i="33"/>
  <c r="G19" i="33"/>
  <c r="F19" i="33"/>
  <c r="C19" i="33"/>
  <c r="B19" i="33"/>
  <c r="A19" i="33"/>
  <c r="G18" i="33"/>
  <c r="F18" i="33"/>
  <c r="C18" i="33"/>
  <c r="B18" i="33"/>
  <c r="A18" i="33"/>
  <c r="G17" i="33"/>
  <c r="F17" i="33"/>
  <c r="C17" i="33"/>
  <c r="B17" i="33"/>
  <c r="A17" i="33"/>
  <c r="G16" i="33"/>
  <c r="F16" i="33"/>
  <c r="C16" i="33"/>
  <c r="B16" i="33"/>
  <c r="A16" i="33"/>
  <c r="G15" i="33"/>
  <c r="F15" i="33"/>
  <c r="C15" i="33"/>
  <c r="B15" i="33"/>
  <c r="A15" i="33"/>
  <c r="G14" i="33"/>
  <c r="F14" i="33"/>
  <c r="C14" i="33"/>
  <c r="B14" i="33"/>
  <c r="A14" i="33"/>
  <c r="G13" i="33"/>
  <c r="F13" i="33"/>
  <c r="C13" i="33"/>
  <c r="B13" i="33"/>
  <c r="A13" i="33"/>
  <c r="G12" i="33"/>
  <c r="F12" i="33"/>
  <c r="C12" i="33"/>
  <c r="B12" i="33"/>
  <c r="A12" i="33"/>
  <c r="G11" i="33"/>
  <c r="F11" i="33"/>
  <c r="C11" i="33"/>
  <c r="B11" i="33"/>
  <c r="A11" i="33"/>
  <c r="G10" i="33"/>
  <c r="F10" i="33"/>
  <c r="C10" i="33"/>
  <c r="B10" i="33"/>
  <c r="A10" i="33"/>
  <c r="G9" i="33"/>
  <c r="F9" i="33"/>
  <c r="C9" i="33"/>
  <c r="B9" i="33"/>
  <c r="A9" i="33"/>
  <c r="G8" i="33"/>
  <c r="F8" i="33"/>
  <c r="C8" i="33"/>
  <c r="B8" i="33"/>
  <c r="A8" i="33"/>
  <c r="G7" i="33"/>
  <c r="F7" i="33"/>
  <c r="C7" i="33"/>
  <c r="B7" i="33"/>
  <c r="A7" i="33"/>
  <c r="C32" i="32"/>
  <c r="B32" i="32"/>
  <c r="A32" i="32"/>
  <c r="G31" i="32"/>
  <c r="F31" i="32"/>
  <c r="C31" i="32"/>
  <c r="B31" i="32"/>
  <c r="A31" i="32"/>
  <c r="G30" i="32"/>
  <c r="F30" i="32"/>
  <c r="C30" i="32"/>
  <c r="B30" i="32"/>
  <c r="A30" i="32"/>
  <c r="G29" i="32"/>
  <c r="F29" i="32"/>
  <c r="C29" i="32"/>
  <c r="B29" i="32"/>
  <c r="A29" i="32"/>
  <c r="G19" i="32"/>
  <c r="F19" i="32"/>
  <c r="B19" i="32"/>
  <c r="A19" i="32"/>
  <c r="G18" i="32"/>
  <c r="F18" i="32"/>
  <c r="B18" i="32"/>
  <c r="A18" i="32"/>
  <c r="G17" i="32"/>
  <c r="F17" i="32"/>
  <c r="B17" i="32"/>
  <c r="A17" i="32"/>
  <c r="C16" i="32"/>
  <c r="G15" i="32"/>
  <c r="F15" i="32"/>
  <c r="C15" i="32"/>
  <c r="B15" i="32"/>
  <c r="A15" i="32"/>
  <c r="G14" i="32"/>
  <c r="F14" i="32"/>
  <c r="C14" i="32"/>
  <c r="B14" i="32"/>
  <c r="A14" i="32"/>
  <c r="G13" i="32"/>
  <c r="F13" i="32"/>
  <c r="C13" i="32"/>
  <c r="B13" i="32"/>
  <c r="A13" i="32"/>
  <c r="G12" i="32"/>
  <c r="F12" i="32"/>
  <c r="C12" i="32"/>
  <c r="B12" i="32"/>
  <c r="A12" i="32"/>
  <c r="G11" i="32"/>
  <c r="F11" i="32"/>
  <c r="C11" i="32"/>
  <c r="B11" i="32"/>
  <c r="A11" i="32"/>
  <c r="G10" i="32"/>
  <c r="F10" i="32"/>
  <c r="C10" i="32"/>
  <c r="B10" i="32"/>
  <c r="A10" i="32"/>
  <c r="G9" i="32"/>
  <c r="F9" i="32"/>
  <c r="C9" i="32"/>
  <c r="B9" i="32"/>
  <c r="A9" i="32"/>
  <c r="G8" i="32"/>
  <c r="F8" i="32"/>
  <c r="C8" i="32"/>
  <c r="B8" i="32"/>
  <c r="A8" i="32"/>
  <c r="G7" i="32"/>
  <c r="F7" i="32"/>
  <c r="C7" i="32"/>
  <c r="B7" i="32"/>
  <c r="A7" i="32"/>
  <c r="C32" i="31"/>
  <c r="B32" i="31"/>
  <c r="A32" i="31"/>
  <c r="G31" i="31"/>
  <c r="F31" i="31"/>
  <c r="C31" i="31"/>
  <c r="B31" i="31"/>
  <c r="A31" i="31"/>
  <c r="G28" i="31"/>
  <c r="F28" i="31"/>
  <c r="C28" i="31"/>
  <c r="B28" i="31"/>
  <c r="A28" i="31"/>
  <c r="G27" i="31"/>
  <c r="F27" i="31"/>
  <c r="C27" i="31"/>
  <c r="B27" i="31"/>
  <c r="A27" i="31"/>
  <c r="G26" i="31"/>
  <c r="F26" i="31"/>
  <c r="C26" i="31"/>
  <c r="B26" i="31"/>
  <c r="A26" i="31"/>
  <c r="G25" i="31"/>
  <c r="F25" i="31"/>
  <c r="C25" i="31"/>
  <c r="B25" i="31"/>
  <c r="A25" i="31"/>
  <c r="G24" i="31"/>
  <c r="F24" i="31"/>
  <c r="C24" i="31"/>
  <c r="B24" i="31"/>
  <c r="A24" i="31"/>
  <c r="G23" i="31"/>
  <c r="F23" i="31"/>
  <c r="C23" i="31"/>
  <c r="B23" i="31"/>
  <c r="A23" i="31"/>
  <c r="G22" i="31"/>
  <c r="F22" i="31"/>
  <c r="C22" i="31"/>
  <c r="B22" i="31"/>
  <c r="A22" i="31"/>
  <c r="G21" i="31"/>
  <c r="F21" i="31"/>
  <c r="C21" i="31"/>
  <c r="B21" i="31"/>
  <c r="A21" i="31"/>
  <c r="G20" i="31"/>
  <c r="F20" i="31"/>
  <c r="C20" i="31"/>
  <c r="B20" i="31"/>
  <c r="A20" i="31"/>
  <c r="G19" i="31"/>
  <c r="F19" i="31"/>
  <c r="C19" i="31"/>
  <c r="B19" i="31"/>
  <c r="A19" i="31"/>
  <c r="G18" i="31"/>
  <c r="F18" i="31"/>
  <c r="C18" i="31"/>
  <c r="B18" i="31"/>
  <c r="A18" i="31"/>
  <c r="G17" i="31"/>
  <c r="F17" i="31"/>
  <c r="C17" i="31"/>
  <c r="B17" i="31"/>
  <c r="A17" i="31"/>
  <c r="G16" i="31"/>
  <c r="F16" i="31"/>
  <c r="C16" i="31"/>
  <c r="B16" i="31"/>
  <c r="A16" i="31"/>
  <c r="G15" i="31"/>
  <c r="F15" i="31"/>
  <c r="C15" i="31"/>
  <c r="B15" i="31"/>
  <c r="A15" i="31"/>
  <c r="G14" i="31"/>
  <c r="F14" i="31"/>
  <c r="C14" i="31"/>
  <c r="B14" i="31"/>
  <c r="A14" i="31"/>
  <c r="G13" i="31"/>
  <c r="F13" i="31"/>
  <c r="C13" i="31"/>
  <c r="B13" i="31"/>
  <c r="A13" i="31"/>
  <c r="G12" i="31"/>
  <c r="F12" i="31"/>
  <c r="C12" i="31"/>
  <c r="B12" i="31"/>
  <c r="A12" i="31"/>
  <c r="G11" i="31"/>
  <c r="F11" i="31"/>
  <c r="G10" i="31"/>
  <c r="F10" i="31"/>
  <c r="C10" i="31"/>
  <c r="B10" i="31"/>
  <c r="A10" i="31"/>
  <c r="G9" i="31"/>
  <c r="F9" i="31"/>
  <c r="C9" i="31"/>
  <c r="B9" i="31"/>
  <c r="A9" i="31"/>
  <c r="G8" i="31"/>
  <c r="F8" i="31"/>
  <c r="C8" i="31"/>
  <c r="B8" i="31"/>
  <c r="A8" i="31"/>
  <c r="G7" i="31"/>
  <c r="F7" i="31"/>
  <c r="C7" i="31"/>
  <c r="B7" i="31"/>
  <c r="A7" i="31"/>
  <c r="C32" i="30"/>
  <c r="B32" i="30"/>
  <c r="A32" i="30"/>
  <c r="G31" i="30"/>
  <c r="F31" i="30"/>
  <c r="C31" i="30"/>
  <c r="B31" i="30"/>
  <c r="A31" i="30"/>
  <c r="G30" i="30"/>
  <c r="F30" i="30"/>
  <c r="C30" i="30"/>
  <c r="B30" i="30"/>
  <c r="A30" i="30"/>
  <c r="G29" i="30"/>
  <c r="F29" i="30"/>
  <c r="C29" i="30"/>
  <c r="B29" i="30"/>
  <c r="A29" i="30"/>
  <c r="G28" i="30"/>
  <c r="F28" i="30"/>
  <c r="C28" i="30"/>
  <c r="B28" i="30"/>
  <c r="A28" i="30"/>
  <c r="G27" i="30"/>
  <c r="F27" i="30"/>
  <c r="C27" i="30"/>
  <c r="B27" i="30"/>
  <c r="G26" i="30"/>
  <c r="F26" i="30"/>
  <c r="C26" i="30"/>
  <c r="B26" i="30"/>
  <c r="A26" i="30"/>
  <c r="G25" i="30"/>
  <c r="F25" i="30"/>
  <c r="C25" i="30"/>
  <c r="B25" i="30"/>
  <c r="A25" i="30"/>
  <c r="G24" i="30"/>
  <c r="F24" i="30"/>
  <c r="C24" i="30"/>
  <c r="B24" i="30"/>
  <c r="A24" i="30"/>
  <c r="G23" i="30"/>
  <c r="F23" i="30"/>
  <c r="C23" i="30"/>
  <c r="B23" i="30"/>
  <c r="A23" i="30"/>
  <c r="G22" i="30"/>
  <c r="F22" i="30"/>
  <c r="C22" i="30"/>
  <c r="B22" i="30"/>
  <c r="A22" i="30"/>
  <c r="G21" i="30"/>
  <c r="F21" i="30"/>
  <c r="C21" i="30"/>
  <c r="B21" i="30"/>
  <c r="A21" i="30"/>
  <c r="G20" i="30"/>
  <c r="F20" i="30"/>
  <c r="C20" i="30"/>
  <c r="B20" i="30"/>
  <c r="A20" i="30"/>
  <c r="G19" i="30"/>
  <c r="F19" i="30"/>
  <c r="C19" i="30"/>
  <c r="B19" i="30"/>
  <c r="A19" i="30"/>
  <c r="G18" i="30"/>
  <c r="C18" i="30"/>
  <c r="B18" i="30"/>
  <c r="A18" i="30"/>
  <c r="G17" i="30"/>
  <c r="F17" i="30"/>
  <c r="C17" i="30"/>
  <c r="B17" i="30"/>
  <c r="A17" i="30"/>
  <c r="G16" i="30"/>
  <c r="F16" i="30"/>
  <c r="C16" i="30"/>
  <c r="B16" i="30"/>
  <c r="A16" i="30"/>
  <c r="G15" i="30"/>
  <c r="F15" i="30"/>
  <c r="C15" i="30"/>
  <c r="B15" i="30"/>
  <c r="A15" i="30"/>
  <c r="G14" i="30"/>
  <c r="F14" i="30"/>
  <c r="C14" i="30"/>
  <c r="B14" i="30"/>
  <c r="A14" i="30"/>
  <c r="G13" i="30"/>
  <c r="F13" i="30"/>
  <c r="C13" i="30"/>
  <c r="B13" i="30"/>
  <c r="A13" i="30"/>
  <c r="G12" i="30"/>
  <c r="F12" i="30"/>
  <c r="C12" i="30"/>
  <c r="B12" i="30"/>
  <c r="A12" i="30"/>
  <c r="G11" i="30"/>
  <c r="F11" i="30"/>
  <c r="C11" i="30"/>
  <c r="B11" i="30"/>
  <c r="A11" i="30"/>
  <c r="G10" i="30"/>
  <c r="F10" i="30"/>
  <c r="C10" i="30"/>
  <c r="B10" i="30"/>
  <c r="A10" i="30"/>
  <c r="G9" i="30"/>
  <c r="F9" i="30"/>
  <c r="C9" i="30"/>
  <c r="B9" i="30"/>
  <c r="A9" i="30"/>
  <c r="G8" i="30"/>
  <c r="C8" i="30"/>
  <c r="B8" i="30"/>
  <c r="A8" i="30"/>
  <c r="G7" i="30"/>
  <c r="F7" i="30"/>
  <c r="C7" i="30"/>
  <c r="B7" i="30"/>
  <c r="A7" i="30"/>
  <c r="C32" i="29"/>
  <c r="B32" i="29"/>
  <c r="A32" i="29"/>
  <c r="G31" i="29"/>
  <c r="F31" i="29"/>
  <c r="C31" i="29"/>
  <c r="B31" i="29"/>
  <c r="A31" i="29"/>
  <c r="G30" i="29"/>
  <c r="F30" i="29"/>
  <c r="C30" i="29"/>
  <c r="B30" i="29"/>
  <c r="A30" i="29"/>
  <c r="G25" i="29"/>
  <c r="F25" i="29"/>
  <c r="B25" i="29"/>
  <c r="A25" i="29"/>
  <c r="G24" i="29"/>
  <c r="F24" i="29"/>
  <c r="B24" i="29"/>
  <c r="A24" i="29"/>
  <c r="G23" i="29"/>
  <c r="F23" i="29"/>
  <c r="B23" i="29"/>
  <c r="A23" i="29"/>
  <c r="G22" i="29"/>
  <c r="F22" i="29"/>
  <c r="B22" i="29"/>
  <c r="A22" i="29"/>
  <c r="G21" i="29"/>
  <c r="F21" i="29"/>
  <c r="C21" i="29"/>
  <c r="B21" i="29"/>
  <c r="A21" i="29"/>
  <c r="G20" i="29"/>
  <c r="F20" i="29"/>
  <c r="C20" i="29"/>
  <c r="B20" i="29"/>
  <c r="A20" i="29"/>
  <c r="G19" i="29"/>
  <c r="F19" i="29"/>
  <c r="C19" i="29"/>
  <c r="B19" i="29"/>
  <c r="A19" i="29"/>
  <c r="G18" i="29"/>
  <c r="F18" i="29"/>
  <c r="C18" i="29"/>
  <c r="B18" i="29"/>
  <c r="A18" i="29"/>
  <c r="G17" i="29"/>
  <c r="F17" i="29"/>
  <c r="C17" i="29"/>
  <c r="B17" i="29"/>
  <c r="A17" i="29"/>
  <c r="G16" i="29"/>
  <c r="F16" i="29"/>
  <c r="C16" i="29"/>
  <c r="B16" i="29"/>
  <c r="A16" i="29"/>
  <c r="G15" i="29"/>
  <c r="F15" i="29"/>
  <c r="C15" i="29"/>
  <c r="B15" i="29"/>
  <c r="A15" i="29"/>
  <c r="G14" i="29"/>
  <c r="F14" i="29"/>
  <c r="C14" i="29"/>
  <c r="G13" i="29"/>
  <c r="F13" i="29"/>
  <c r="C13" i="29"/>
  <c r="B13" i="29"/>
  <c r="A13" i="29"/>
  <c r="G12" i="29"/>
  <c r="F12" i="29"/>
  <c r="C12" i="29"/>
  <c r="B12" i="29"/>
  <c r="A12" i="29"/>
  <c r="G11" i="29"/>
  <c r="F11" i="29"/>
  <c r="C11" i="29"/>
  <c r="B11" i="29"/>
  <c r="A11" i="29"/>
  <c r="G10" i="29"/>
  <c r="F10" i="29"/>
  <c r="C10" i="29"/>
  <c r="B10" i="29"/>
  <c r="A10" i="29"/>
  <c r="G9" i="29"/>
  <c r="F9" i="29"/>
  <c r="C9" i="29"/>
  <c r="B9" i="29"/>
  <c r="A9" i="29"/>
  <c r="G8" i="29"/>
  <c r="F8" i="29"/>
  <c r="C8" i="29"/>
  <c r="B8" i="29"/>
  <c r="A8" i="29"/>
  <c r="G7" i="29"/>
  <c r="F7" i="29"/>
  <c r="C7" i="29"/>
  <c r="B7" i="29"/>
  <c r="A7" i="29"/>
  <c r="C33" i="28"/>
  <c r="B33" i="28"/>
  <c r="A33" i="28"/>
  <c r="G32" i="28"/>
  <c r="F32" i="28"/>
  <c r="C32" i="28"/>
  <c r="B32" i="28"/>
  <c r="A32" i="28"/>
  <c r="G31" i="28"/>
  <c r="F31" i="28"/>
  <c r="C31" i="28"/>
  <c r="B31" i="28"/>
  <c r="A31" i="28"/>
  <c r="G18" i="28"/>
  <c r="F18" i="28"/>
  <c r="C18" i="28"/>
  <c r="B18" i="28"/>
  <c r="A18" i="28"/>
  <c r="G17" i="28"/>
  <c r="F17" i="28"/>
  <c r="C17" i="28"/>
  <c r="B17" i="28"/>
  <c r="A17" i="28"/>
  <c r="G16" i="28"/>
  <c r="F16" i="28"/>
  <c r="C16" i="28"/>
  <c r="B16" i="28"/>
  <c r="A16" i="28"/>
  <c r="G15" i="28"/>
  <c r="F15" i="28"/>
  <c r="C15" i="28"/>
  <c r="B15" i="28"/>
  <c r="A15" i="28"/>
  <c r="C14" i="28"/>
  <c r="B14" i="28"/>
  <c r="A14" i="28"/>
  <c r="G13" i="28"/>
  <c r="C13" i="28"/>
  <c r="B13" i="28"/>
  <c r="A13" i="28"/>
  <c r="G12" i="28"/>
  <c r="C12" i="28"/>
  <c r="B12" i="28"/>
  <c r="A12" i="28"/>
  <c r="G11" i="28"/>
  <c r="C11" i="28"/>
  <c r="B11" i="28"/>
  <c r="A11" i="28"/>
  <c r="G10" i="28"/>
  <c r="C10" i="28"/>
  <c r="B10" i="28"/>
  <c r="A10" i="28"/>
  <c r="G9" i="28"/>
  <c r="C9" i="28"/>
  <c r="B9" i="28"/>
  <c r="A9" i="28"/>
  <c r="G8" i="28"/>
  <c r="C8" i="28"/>
  <c r="B8" i="28"/>
  <c r="A8" i="28"/>
  <c r="G7" i="28"/>
  <c r="F7" i="28"/>
  <c r="C7" i="28"/>
  <c r="B7" i="28"/>
  <c r="A7" i="28"/>
  <c r="B42" i="42"/>
  <c r="C32" i="27"/>
  <c r="B32" i="27"/>
  <c r="A32" i="27"/>
  <c r="G31" i="27"/>
  <c r="F31" i="27"/>
  <c r="C31" i="27"/>
  <c r="B31" i="27"/>
  <c r="A31" i="27"/>
  <c r="G30" i="27"/>
  <c r="F30" i="27"/>
  <c r="C30" i="27"/>
  <c r="B30" i="27"/>
  <c r="A30" i="27"/>
  <c r="G25" i="27"/>
  <c r="F25" i="27"/>
  <c r="C25" i="27"/>
  <c r="B25" i="27"/>
  <c r="A25" i="27"/>
  <c r="G24" i="27"/>
  <c r="F24" i="27"/>
  <c r="C24" i="27"/>
  <c r="B24" i="27"/>
  <c r="A24" i="27"/>
  <c r="G23" i="27"/>
  <c r="F23" i="27"/>
  <c r="C23" i="27"/>
  <c r="B23" i="27"/>
  <c r="A23" i="27"/>
  <c r="G22" i="27"/>
  <c r="F22" i="27"/>
  <c r="C22" i="27"/>
  <c r="B22" i="27"/>
  <c r="A22" i="27"/>
  <c r="G21" i="27"/>
  <c r="F21" i="27"/>
  <c r="C21" i="27"/>
  <c r="B21" i="27"/>
  <c r="A21" i="27"/>
  <c r="G20" i="27"/>
  <c r="F20" i="27"/>
  <c r="C20" i="27"/>
  <c r="B20" i="27"/>
  <c r="A20" i="27"/>
  <c r="G19" i="27"/>
  <c r="F19" i="27"/>
  <c r="C19" i="27"/>
  <c r="B19" i="27"/>
  <c r="A19" i="27"/>
  <c r="G18" i="27"/>
  <c r="F18" i="27"/>
  <c r="C18" i="27"/>
  <c r="B18" i="27"/>
  <c r="A18" i="27"/>
  <c r="G17" i="27"/>
  <c r="F17" i="27"/>
  <c r="C17" i="27"/>
  <c r="B17" i="27"/>
  <c r="A17" i="27"/>
  <c r="G16" i="27"/>
  <c r="F16" i="27"/>
  <c r="C16" i="27"/>
  <c r="B16" i="27"/>
  <c r="A16" i="27"/>
  <c r="G15" i="27"/>
  <c r="F15" i="27"/>
  <c r="C15" i="27"/>
  <c r="B15" i="27"/>
  <c r="A15" i="27"/>
  <c r="G14" i="27"/>
  <c r="F14" i="27"/>
  <c r="C14" i="27"/>
  <c r="B14" i="27"/>
  <c r="A14" i="27"/>
  <c r="G13" i="27"/>
  <c r="F13" i="27"/>
  <c r="C13" i="27"/>
  <c r="B13" i="27"/>
  <c r="A13" i="27"/>
  <c r="G12" i="27"/>
  <c r="F12" i="27"/>
  <c r="C12" i="27"/>
  <c r="B12" i="27"/>
  <c r="A12" i="27"/>
  <c r="G11" i="27"/>
  <c r="F11" i="27"/>
  <c r="C11" i="27"/>
  <c r="B11" i="27"/>
  <c r="A11" i="27"/>
  <c r="G10" i="27"/>
  <c r="F10" i="27"/>
  <c r="C10" i="27"/>
  <c r="B10" i="27"/>
  <c r="A10" i="27"/>
  <c r="G9" i="27"/>
  <c r="F9" i="27"/>
  <c r="C9" i="27"/>
  <c r="B9" i="27"/>
  <c r="A9" i="27"/>
  <c r="G8" i="27"/>
  <c r="F8" i="27"/>
  <c r="C8" i="27"/>
  <c r="B8" i="27"/>
  <c r="A8" i="27"/>
  <c r="G7" i="27"/>
  <c r="F7" i="27"/>
  <c r="C7" i="27"/>
  <c r="B7" i="27"/>
  <c r="A7" i="27"/>
  <c r="B41" i="42"/>
  <c r="C32" i="26"/>
  <c r="B32" i="26"/>
  <c r="A32" i="26"/>
  <c r="G31" i="26"/>
  <c r="F31" i="26"/>
  <c r="C31" i="26"/>
  <c r="B31" i="26"/>
  <c r="A31" i="26"/>
  <c r="G30" i="26"/>
  <c r="F30" i="26"/>
  <c r="C30" i="26"/>
  <c r="B30" i="26"/>
  <c r="A30" i="26"/>
  <c r="G28" i="26"/>
  <c r="F28" i="26"/>
  <c r="C28" i="26"/>
  <c r="B28" i="26"/>
  <c r="A28" i="26"/>
  <c r="G27" i="26"/>
  <c r="F27" i="26"/>
  <c r="C27" i="26"/>
  <c r="B27" i="26"/>
  <c r="A27" i="26"/>
  <c r="G26" i="26"/>
  <c r="F26" i="26"/>
  <c r="C26" i="26"/>
  <c r="B26" i="26"/>
  <c r="A26" i="26"/>
  <c r="G25" i="26"/>
  <c r="F25" i="26"/>
  <c r="C25" i="26"/>
  <c r="B25" i="26"/>
  <c r="A25" i="26"/>
  <c r="G24" i="26"/>
  <c r="F24" i="26"/>
  <c r="C24" i="26"/>
  <c r="B24" i="26"/>
  <c r="A24" i="26"/>
  <c r="G23" i="26"/>
  <c r="F23" i="26"/>
  <c r="C23" i="26"/>
  <c r="B23" i="26"/>
  <c r="A23" i="26"/>
  <c r="G22" i="26"/>
  <c r="F22" i="26"/>
  <c r="C22" i="26"/>
  <c r="B22" i="26"/>
  <c r="A22" i="26"/>
  <c r="G21" i="26"/>
  <c r="F21" i="26"/>
  <c r="C21" i="26"/>
  <c r="B21" i="26"/>
  <c r="A21" i="26"/>
  <c r="G20" i="26"/>
  <c r="F20" i="26"/>
  <c r="C20" i="26"/>
  <c r="B20" i="26"/>
  <c r="A20" i="26"/>
  <c r="G19" i="26"/>
  <c r="F19" i="26"/>
  <c r="C19" i="26"/>
  <c r="B19" i="26"/>
  <c r="A19" i="26"/>
  <c r="G18" i="26"/>
  <c r="F18" i="26"/>
  <c r="C18" i="26"/>
  <c r="B18" i="26"/>
  <c r="A18" i="26"/>
  <c r="G17" i="26"/>
  <c r="F17" i="26"/>
  <c r="C17" i="26"/>
  <c r="B17" i="26"/>
  <c r="A17" i="26"/>
  <c r="G16" i="26"/>
  <c r="F16" i="26"/>
  <c r="C16" i="26"/>
  <c r="B16" i="26"/>
  <c r="A16" i="26"/>
  <c r="G15" i="26"/>
  <c r="F15" i="26"/>
  <c r="C15" i="26"/>
  <c r="B15" i="26"/>
  <c r="A15" i="26"/>
  <c r="G14" i="26"/>
  <c r="F14" i="26"/>
  <c r="C14" i="26"/>
  <c r="B14" i="26"/>
  <c r="A14" i="26"/>
  <c r="G13" i="26"/>
  <c r="F13" i="26"/>
  <c r="C13" i="26"/>
  <c r="B13" i="26"/>
  <c r="A13" i="26"/>
  <c r="G12" i="26"/>
  <c r="F12" i="26"/>
  <c r="C12" i="26"/>
  <c r="B12" i="26"/>
  <c r="A12" i="26"/>
  <c r="G11" i="26"/>
  <c r="F11" i="26"/>
  <c r="C11" i="26"/>
  <c r="B11" i="26"/>
  <c r="A11" i="26"/>
  <c r="G10" i="26"/>
  <c r="F10" i="26"/>
  <c r="C10" i="26"/>
  <c r="B10" i="26"/>
  <c r="A10" i="26"/>
  <c r="G9" i="26"/>
  <c r="F9" i="26"/>
  <c r="C9" i="26"/>
  <c r="B9" i="26"/>
  <c r="A9" i="26"/>
  <c r="G8" i="26"/>
  <c r="F8" i="26"/>
  <c r="C8" i="26"/>
  <c r="B8" i="26"/>
  <c r="A8" i="26"/>
  <c r="G7" i="26"/>
  <c r="F7" i="26"/>
  <c r="C7" i="26"/>
  <c r="B7" i="26"/>
  <c r="A7" i="26"/>
  <c r="C32" i="25"/>
  <c r="B32" i="25"/>
  <c r="A32" i="25"/>
  <c r="G31" i="25"/>
  <c r="F31" i="25"/>
  <c r="C31" i="25"/>
  <c r="B31" i="25"/>
  <c r="A31" i="25"/>
  <c r="G30" i="25"/>
  <c r="F30" i="25"/>
  <c r="C30" i="25"/>
  <c r="B30" i="25"/>
  <c r="A30" i="25"/>
  <c r="G21" i="25"/>
  <c r="F21" i="25"/>
  <c r="C21" i="25"/>
  <c r="B21" i="25"/>
  <c r="A21" i="25"/>
  <c r="G20" i="25"/>
  <c r="F20" i="25"/>
  <c r="C20" i="25"/>
  <c r="B20" i="25"/>
  <c r="A20" i="25"/>
  <c r="G19" i="25"/>
  <c r="F19" i="25"/>
  <c r="C19" i="25"/>
  <c r="B19" i="25"/>
  <c r="A19" i="25"/>
  <c r="G18" i="25"/>
  <c r="F18" i="25"/>
  <c r="C18" i="25"/>
  <c r="B18" i="25"/>
  <c r="A18" i="25"/>
  <c r="G17" i="25"/>
  <c r="F17" i="25"/>
  <c r="C17" i="25"/>
  <c r="B17" i="25"/>
  <c r="A17" i="25"/>
  <c r="G16" i="25"/>
  <c r="F16" i="25"/>
  <c r="C16" i="25"/>
  <c r="B16" i="25"/>
  <c r="A16" i="25"/>
  <c r="G15" i="25"/>
  <c r="F15" i="25"/>
  <c r="C15" i="25"/>
  <c r="B15" i="25"/>
  <c r="A15" i="25"/>
  <c r="G14" i="25"/>
  <c r="F14" i="25"/>
  <c r="C14" i="25"/>
  <c r="B14" i="25"/>
  <c r="A14" i="25"/>
  <c r="G13" i="25"/>
  <c r="F13" i="25"/>
  <c r="C13" i="25"/>
  <c r="B13" i="25"/>
  <c r="A13" i="25"/>
  <c r="G12" i="25"/>
  <c r="F12" i="25"/>
  <c r="C12" i="25"/>
  <c r="B12" i="25"/>
  <c r="A12" i="25"/>
  <c r="G11" i="25"/>
  <c r="C11" i="25"/>
  <c r="B11" i="25"/>
  <c r="A11" i="25"/>
  <c r="G10" i="25"/>
  <c r="F10" i="25"/>
  <c r="C10" i="25"/>
  <c r="B10" i="25"/>
  <c r="A10" i="25"/>
  <c r="G9" i="25"/>
  <c r="F9" i="25"/>
  <c r="C9" i="25"/>
  <c r="B9" i="25"/>
  <c r="A9" i="25"/>
  <c r="G8" i="25"/>
  <c r="F8" i="25"/>
  <c r="C8" i="25"/>
  <c r="B8" i="25"/>
  <c r="A8" i="25"/>
  <c r="G7" i="25"/>
  <c r="F7" i="25"/>
  <c r="C7" i="25"/>
  <c r="B7" i="25"/>
  <c r="A7" i="25"/>
  <c r="C32" i="24"/>
  <c r="B32" i="24"/>
  <c r="A32" i="24"/>
  <c r="G17" i="24"/>
  <c r="F17" i="24"/>
  <c r="C17" i="24"/>
  <c r="B17" i="24"/>
  <c r="A17" i="24"/>
  <c r="G16" i="24"/>
  <c r="F16" i="24"/>
  <c r="C16" i="24"/>
  <c r="B16" i="24"/>
  <c r="A16" i="24"/>
  <c r="G15" i="24"/>
  <c r="F15" i="24"/>
  <c r="C15" i="24"/>
  <c r="B15" i="24"/>
  <c r="A15" i="24"/>
  <c r="G14" i="24"/>
  <c r="F14" i="24"/>
  <c r="C14" i="24"/>
  <c r="B14" i="24"/>
  <c r="A14" i="24"/>
  <c r="G13" i="24"/>
  <c r="F13" i="24"/>
  <c r="C13" i="24"/>
  <c r="B13" i="24"/>
  <c r="A13" i="24"/>
  <c r="G12" i="24"/>
  <c r="F12" i="24"/>
  <c r="C12" i="24"/>
  <c r="B12" i="24"/>
  <c r="A12" i="24"/>
  <c r="G11" i="24"/>
  <c r="F11" i="24"/>
  <c r="C11" i="24"/>
  <c r="B11" i="24"/>
  <c r="A11" i="24"/>
  <c r="G10" i="24"/>
  <c r="F10" i="24"/>
  <c r="C10" i="24"/>
  <c r="B10" i="24"/>
  <c r="A10" i="24"/>
  <c r="G9" i="24"/>
  <c r="F9" i="24"/>
  <c r="C9" i="24"/>
  <c r="B9" i="24"/>
  <c r="A9" i="24"/>
  <c r="G8" i="24"/>
  <c r="F8" i="24"/>
  <c r="C8" i="24"/>
  <c r="B8" i="24"/>
  <c r="A8" i="24"/>
  <c r="G7" i="24"/>
  <c r="F7" i="24"/>
  <c r="C7" i="24"/>
  <c r="B7" i="24"/>
  <c r="A7" i="24"/>
  <c r="B35" i="42"/>
  <c r="C32" i="23"/>
  <c r="B32" i="23"/>
  <c r="A32" i="23"/>
  <c r="G31" i="23"/>
  <c r="F31" i="23"/>
  <c r="C31" i="23"/>
  <c r="B31" i="23"/>
  <c r="A31" i="23"/>
  <c r="G30" i="23"/>
  <c r="F30" i="23"/>
  <c r="C30" i="23"/>
  <c r="B30" i="23"/>
  <c r="A30" i="23"/>
  <c r="G29" i="23"/>
  <c r="F29" i="23"/>
  <c r="C29" i="23"/>
  <c r="B29" i="23"/>
  <c r="A29" i="23"/>
  <c r="G28" i="23"/>
  <c r="F28" i="23"/>
  <c r="C28" i="23"/>
  <c r="B28" i="23"/>
  <c r="A28" i="23"/>
  <c r="G27" i="23"/>
  <c r="F27" i="23"/>
  <c r="C27" i="23"/>
  <c r="B27" i="23"/>
  <c r="A27" i="23"/>
  <c r="G24" i="23"/>
  <c r="F24" i="23"/>
  <c r="C24" i="23"/>
  <c r="B24" i="23"/>
  <c r="A24" i="23"/>
  <c r="G23" i="23"/>
  <c r="F23" i="23"/>
  <c r="C23" i="23"/>
  <c r="B23" i="23"/>
  <c r="A23" i="23"/>
  <c r="G22" i="23"/>
  <c r="F22" i="23"/>
  <c r="C22" i="23"/>
  <c r="B22" i="23"/>
  <c r="A22" i="23"/>
  <c r="G21" i="23"/>
  <c r="F21" i="23"/>
  <c r="C21" i="23"/>
  <c r="B21" i="23"/>
  <c r="A21" i="23"/>
  <c r="G20" i="23"/>
  <c r="F20" i="23"/>
  <c r="C20" i="23"/>
  <c r="B20" i="23"/>
  <c r="A20" i="23"/>
  <c r="G19" i="23"/>
  <c r="F19" i="23"/>
  <c r="C19" i="23"/>
  <c r="B19" i="23"/>
  <c r="A19" i="23"/>
  <c r="G18" i="23"/>
  <c r="F18" i="23"/>
  <c r="C18" i="23"/>
  <c r="B18" i="23"/>
  <c r="A18" i="23"/>
  <c r="G17" i="23"/>
  <c r="F17" i="23"/>
  <c r="C17" i="23"/>
  <c r="B17" i="23"/>
  <c r="A17" i="23"/>
  <c r="G16" i="23"/>
  <c r="F16" i="23"/>
  <c r="C16" i="23"/>
  <c r="B16" i="23"/>
  <c r="A16" i="23"/>
  <c r="G15" i="23"/>
  <c r="C15" i="23"/>
  <c r="B15" i="23"/>
  <c r="A15" i="23"/>
  <c r="G14" i="23"/>
  <c r="F14" i="23"/>
  <c r="C14" i="23"/>
  <c r="B14" i="23"/>
  <c r="A14" i="23"/>
  <c r="G13" i="23"/>
  <c r="C13" i="23"/>
  <c r="B13" i="23"/>
  <c r="A13" i="23"/>
  <c r="G12" i="23"/>
  <c r="F12" i="23"/>
  <c r="C12" i="23"/>
  <c r="B12" i="23"/>
  <c r="A12" i="23"/>
  <c r="G11" i="23"/>
  <c r="F11" i="23"/>
  <c r="C11" i="23"/>
  <c r="B11" i="23"/>
  <c r="A11" i="23"/>
  <c r="G10" i="23"/>
  <c r="F10" i="23"/>
  <c r="C10" i="23"/>
  <c r="B10" i="23"/>
  <c r="A10" i="23"/>
  <c r="G9" i="23"/>
  <c r="F9" i="23"/>
  <c r="C9" i="23"/>
  <c r="B9" i="23"/>
  <c r="A9" i="23"/>
  <c r="G8" i="23"/>
  <c r="F8" i="23"/>
  <c r="C8" i="23"/>
  <c r="B8" i="23"/>
  <c r="A8" i="23"/>
  <c r="G7" i="23"/>
  <c r="F7" i="23"/>
  <c r="C7" i="23"/>
  <c r="B7" i="23"/>
  <c r="A7" i="23"/>
  <c r="C32" i="22"/>
  <c r="B32" i="22"/>
  <c r="A32" i="22"/>
  <c r="G31" i="22"/>
  <c r="F31" i="22"/>
  <c r="C31" i="22"/>
  <c r="B31" i="22"/>
  <c r="A31" i="22"/>
  <c r="G28" i="22"/>
  <c r="F28" i="22"/>
  <c r="C28" i="22"/>
  <c r="B28" i="22"/>
  <c r="A28" i="22"/>
  <c r="G26" i="22"/>
  <c r="F26" i="22"/>
  <c r="C26" i="22"/>
  <c r="B26" i="22"/>
  <c r="A26" i="22"/>
  <c r="G25" i="22"/>
  <c r="F25" i="22"/>
  <c r="C25" i="22"/>
  <c r="B25" i="22"/>
  <c r="A25" i="22"/>
  <c r="G24" i="22"/>
  <c r="F24" i="22"/>
  <c r="C24" i="22"/>
  <c r="B24" i="22"/>
  <c r="A24" i="22"/>
  <c r="G23" i="22"/>
  <c r="F23" i="22"/>
  <c r="C23" i="22"/>
  <c r="B23" i="22"/>
  <c r="A23" i="22"/>
  <c r="G22" i="22"/>
  <c r="F22" i="22"/>
  <c r="C22" i="22"/>
  <c r="B22" i="22"/>
  <c r="A22" i="22"/>
  <c r="G21" i="22"/>
  <c r="F21" i="22"/>
  <c r="C21" i="22"/>
  <c r="B21" i="22"/>
  <c r="A21" i="22"/>
  <c r="G20" i="22"/>
  <c r="F20" i="22"/>
  <c r="C20" i="22"/>
  <c r="B20" i="22"/>
  <c r="A20" i="22"/>
  <c r="G19" i="22"/>
  <c r="F19" i="22"/>
  <c r="C19" i="22"/>
  <c r="B19" i="22"/>
  <c r="A19" i="22"/>
  <c r="G18" i="22"/>
  <c r="F18" i="22"/>
  <c r="C18" i="22"/>
  <c r="B18" i="22"/>
  <c r="A18" i="22"/>
  <c r="G17" i="22"/>
  <c r="F17" i="22"/>
  <c r="C17" i="22"/>
  <c r="B17" i="22"/>
  <c r="A17" i="22"/>
  <c r="G16" i="22"/>
  <c r="F16" i="22"/>
  <c r="C16" i="22"/>
  <c r="B16" i="22"/>
  <c r="A16" i="22"/>
  <c r="G15" i="22"/>
  <c r="F15" i="22"/>
  <c r="C15" i="22"/>
  <c r="B15" i="22"/>
  <c r="A15" i="22"/>
  <c r="G14" i="22"/>
  <c r="F14" i="22"/>
  <c r="C14" i="22"/>
  <c r="B14" i="22"/>
  <c r="A14" i="22"/>
  <c r="G13" i="22"/>
  <c r="F13" i="22"/>
  <c r="C13" i="22"/>
  <c r="B13" i="22"/>
  <c r="A13" i="22"/>
  <c r="G12" i="22"/>
  <c r="F12" i="22"/>
  <c r="C12" i="22"/>
  <c r="B12" i="22"/>
  <c r="A12" i="22"/>
  <c r="G11" i="22"/>
  <c r="F11" i="22"/>
  <c r="C11" i="22"/>
  <c r="B11" i="22"/>
  <c r="A11" i="22"/>
  <c r="G10" i="22"/>
  <c r="F10" i="22"/>
  <c r="C10" i="22"/>
  <c r="B10" i="22"/>
  <c r="A10" i="22"/>
  <c r="G9" i="22"/>
  <c r="F9" i="22"/>
  <c r="C9" i="22"/>
  <c r="B9" i="22"/>
  <c r="A9" i="22"/>
  <c r="G8" i="22"/>
  <c r="F8" i="22"/>
  <c r="C8" i="22"/>
  <c r="B8" i="22"/>
  <c r="A8" i="22"/>
  <c r="G7" i="22"/>
  <c r="F7" i="22"/>
  <c r="C7" i="22"/>
  <c r="B7" i="22"/>
  <c r="A7" i="22"/>
  <c r="C32" i="21"/>
  <c r="B32" i="21"/>
  <c r="A32" i="21"/>
  <c r="G31" i="21"/>
  <c r="F31" i="21"/>
  <c r="C31" i="21"/>
  <c r="B31" i="21"/>
  <c r="A31" i="21"/>
  <c r="G30" i="21"/>
  <c r="F30" i="21"/>
  <c r="C30" i="21"/>
  <c r="B30" i="21"/>
  <c r="A30" i="21"/>
  <c r="G29" i="21"/>
  <c r="F29" i="21"/>
  <c r="C29" i="21"/>
  <c r="B29" i="21"/>
  <c r="A29" i="21"/>
  <c r="G22" i="21"/>
  <c r="F22" i="21"/>
  <c r="C22" i="21"/>
  <c r="B22" i="21"/>
  <c r="A22" i="21"/>
  <c r="G21" i="21"/>
  <c r="F21" i="21"/>
  <c r="C21" i="21"/>
  <c r="B21" i="21"/>
  <c r="A21" i="21"/>
  <c r="G20" i="21"/>
  <c r="F20" i="21"/>
  <c r="C20" i="21"/>
  <c r="B20" i="21"/>
  <c r="A20" i="21"/>
  <c r="G19" i="21"/>
  <c r="F19" i="21"/>
  <c r="C19" i="21"/>
  <c r="B19" i="21"/>
  <c r="A19" i="21"/>
  <c r="G18" i="21"/>
  <c r="F18" i="21"/>
  <c r="C18" i="21"/>
  <c r="B18" i="21"/>
  <c r="A18" i="21"/>
  <c r="G17" i="21"/>
  <c r="F17" i="21"/>
  <c r="C17" i="21"/>
  <c r="B17" i="21"/>
  <c r="A17" i="21"/>
  <c r="G16" i="21"/>
  <c r="F16" i="21"/>
  <c r="C16" i="21"/>
  <c r="B16" i="21"/>
  <c r="A16" i="21"/>
  <c r="G15" i="21"/>
  <c r="F15" i="21"/>
  <c r="C15" i="21"/>
  <c r="B15" i="21"/>
  <c r="A15" i="21"/>
  <c r="G14" i="21"/>
  <c r="F14" i="21"/>
  <c r="C14" i="21"/>
  <c r="B14" i="21"/>
  <c r="A14" i="21"/>
  <c r="G13" i="21"/>
  <c r="F13" i="21"/>
  <c r="C13" i="21"/>
  <c r="B13" i="21"/>
  <c r="A13" i="21"/>
  <c r="G12" i="21"/>
  <c r="F12" i="21"/>
  <c r="C12" i="21"/>
  <c r="B12" i="21"/>
  <c r="A12" i="21"/>
  <c r="G11" i="21"/>
  <c r="F11" i="21"/>
  <c r="C11" i="21"/>
  <c r="B11" i="21"/>
  <c r="A11" i="21"/>
  <c r="G10" i="21"/>
  <c r="F10" i="21"/>
  <c r="C10" i="21"/>
  <c r="B10" i="21"/>
  <c r="A10" i="21"/>
  <c r="G9" i="21"/>
  <c r="F9" i="21"/>
  <c r="C9" i="21"/>
  <c r="B9" i="21"/>
  <c r="A9" i="21"/>
  <c r="G8" i="21"/>
  <c r="F8" i="21"/>
  <c r="C8" i="21"/>
  <c r="B8" i="21"/>
  <c r="A8" i="21"/>
  <c r="G7" i="21"/>
  <c r="F7" i="21"/>
  <c r="C7" i="21"/>
  <c r="B7" i="21"/>
  <c r="A7" i="21"/>
  <c r="G28" i="20"/>
  <c r="F28" i="20"/>
  <c r="C28" i="20"/>
  <c r="B28" i="20"/>
  <c r="A28" i="20"/>
  <c r="G27" i="20"/>
  <c r="F27" i="20"/>
  <c r="C27" i="20"/>
  <c r="B27" i="20"/>
  <c r="A27" i="20"/>
  <c r="G26" i="20"/>
  <c r="F26" i="20"/>
  <c r="B26" i="20"/>
  <c r="A26" i="20"/>
  <c r="G25" i="20"/>
  <c r="F25" i="20"/>
  <c r="B25" i="20"/>
  <c r="A25" i="20"/>
  <c r="G24" i="20"/>
  <c r="F24" i="20"/>
  <c r="B24" i="20"/>
  <c r="A24" i="20"/>
  <c r="G23" i="20"/>
  <c r="F23" i="20"/>
  <c r="C23" i="20"/>
  <c r="B23" i="20"/>
  <c r="A23" i="20"/>
  <c r="G22" i="20"/>
  <c r="F22" i="20"/>
  <c r="C22" i="20"/>
  <c r="B22" i="20"/>
  <c r="A22" i="20"/>
  <c r="G21" i="20"/>
  <c r="F21" i="20"/>
  <c r="C21" i="20"/>
  <c r="B21" i="20"/>
  <c r="A21" i="20"/>
  <c r="G20" i="20"/>
  <c r="F20" i="20"/>
  <c r="C20" i="20"/>
  <c r="G19" i="20"/>
  <c r="F19" i="20"/>
  <c r="C19" i="20"/>
  <c r="B19" i="20"/>
  <c r="A19" i="20"/>
  <c r="G18" i="20"/>
  <c r="F18" i="20"/>
  <c r="C18" i="20"/>
  <c r="B18" i="20"/>
  <c r="A18" i="20"/>
  <c r="G17" i="20"/>
  <c r="F17" i="20"/>
  <c r="C17" i="20"/>
  <c r="B17" i="20"/>
  <c r="A17" i="20"/>
  <c r="G16" i="20"/>
  <c r="F16" i="20"/>
  <c r="C16" i="20"/>
  <c r="B16" i="20"/>
  <c r="A16" i="20"/>
  <c r="G15" i="20"/>
  <c r="F15" i="20"/>
  <c r="C15" i="20"/>
  <c r="B15" i="20"/>
  <c r="A15" i="20"/>
  <c r="G14" i="20"/>
  <c r="F14" i="20"/>
  <c r="C14" i="20"/>
  <c r="B14" i="20"/>
  <c r="A14" i="20"/>
  <c r="G13" i="20"/>
  <c r="F13" i="20"/>
  <c r="C13" i="20"/>
  <c r="B13" i="20"/>
  <c r="A13" i="20"/>
  <c r="G12" i="20"/>
  <c r="F12" i="20"/>
  <c r="C12" i="20"/>
  <c r="B12" i="20"/>
  <c r="A12" i="20"/>
  <c r="G11" i="20"/>
  <c r="F11" i="20"/>
  <c r="C11" i="20"/>
  <c r="B11" i="20"/>
  <c r="A11" i="20"/>
  <c r="G10" i="20"/>
  <c r="F10" i="20"/>
  <c r="C10" i="20"/>
  <c r="B10" i="20"/>
  <c r="A10" i="20"/>
  <c r="G9" i="20"/>
  <c r="F9" i="20"/>
  <c r="C9" i="20"/>
  <c r="B9" i="20"/>
  <c r="A9" i="20"/>
  <c r="G8" i="20"/>
  <c r="F8" i="20"/>
  <c r="C8" i="20"/>
  <c r="B8" i="20"/>
  <c r="A8" i="20"/>
  <c r="G7" i="20"/>
  <c r="F7" i="20"/>
  <c r="C7" i="20"/>
  <c r="B7" i="20"/>
  <c r="A7" i="20"/>
  <c r="C33" i="19"/>
  <c r="B33" i="19"/>
  <c r="A33" i="19"/>
  <c r="G32" i="19"/>
  <c r="C32" i="19"/>
  <c r="B32" i="19"/>
  <c r="A32" i="19"/>
  <c r="G30" i="19"/>
  <c r="F30" i="19"/>
  <c r="C30" i="19"/>
  <c r="B30" i="19"/>
  <c r="A30" i="19"/>
  <c r="G23" i="19"/>
  <c r="F23" i="19"/>
  <c r="C23" i="19"/>
  <c r="B23" i="19"/>
  <c r="A23" i="19"/>
  <c r="G22" i="19"/>
  <c r="F22" i="19"/>
  <c r="C22" i="19"/>
  <c r="B22" i="19"/>
  <c r="A22" i="19"/>
  <c r="G21" i="19"/>
  <c r="F21" i="19"/>
  <c r="C21" i="19"/>
  <c r="B21" i="19"/>
  <c r="A21" i="19"/>
  <c r="G20" i="19"/>
  <c r="F20" i="19"/>
  <c r="C20" i="19"/>
  <c r="B20" i="19"/>
  <c r="A20" i="19"/>
  <c r="G19" i="19"/>
  <c r="F19" i="19"/>
  <c r="C19" i="19"/>
  <c r="B19" i="19"/>
  <c r="A19" i="19"/>
  <c r="G18" i="19"/>
  <c r="F18" i="19"/>
  <c r="C18" i="19"/>
  <c r="B18" i="19"/>
  <c r="A18" i="19"/>
  <c r="G17" i="19"/>
  <c r="F17" i="19"/>
  <c r="C17" i="19"/>
  <c r="B17" i="19"/>
  <c r="A17" i="19"/>
  <c r="G16" i="19"/>
  <c r="F16" i="19"/>
  <c r="C16" i="19"/>
  <c r="B16" i="19"/>
  <c r="A16" i="19"/>
  <c r="G15" i="19"/>
  <c r="C15" i="19"/>
  <c r="B15" i="19"/>
  <c r="A15" i="19"/>
  <c r="G14" i="19"/>
  <c r="F14" i="19"/>
  <c r="C14" i="19"/>
  <c r="B14" i="19"/>
  <c r="A14" i="19"/>
  <c r="G13" i="19"/>
  <c r="F13" i="19"/>
  <c r="C13" i="19"/>
  <c r="B13" i="19"/>
  <c r="A13" i="19"/>
  <c r="G12" i="19"/>
  <c r="F12" i="19"/>
  <c r="C12" i="19"/>
  <c r="B12" i="19"/>
  <c r="A12" i="19"/>
  <c r="G11" i="19"/>
  <c r="F11" i="19"/>
  <c r="C11" i="19"/>
  <c r="B11" i="19"/>
  <c r="A11" i="19"/>
  <c r="G10" i="19"/>
  <c r="F10" i="19"/>
  <c r="C10" i="19"/>
  <c r="B10" i="19"/>
  <c r="A10" i="19"/>
  <c r="G9" i="19"/>
  <c r="F9" i="19"/>
  <c r="C9" i="19"/>
  <c r="B9" i="19"/>
  <c r="A9" i="19"/>
  <c r="G8" i="19"/>
  <c r="F8" i="19"/>
  <c r="C8" i="19"/>
  <c r="B8" i="19"/>
  <c r="A8" i="19"/>
  <c r="G7" i="19"/>
  <c r="F7" i="19"/>
  <c r="C7" i="19"/>
  <c r="B7" i="19"/>
  <c r="A7" i="19"/>
  <c r="H32" i="18"/>
  <c r="B27" i="42"/>
  <c r="G31" i="18"/>
  <c r="F31" i="18"/>
  <c r="C31" i="18"/>
  <c r="B31" i="18"/>
  <c r="A31" i="18"/>
  <c r="G30" i="18"/>
  <c r="F30" i="18"/>
  <c r="C30" i="18"/>
  <c r="B30" i="18"/>
  <c r="A30" i="18"/>
  <c r="G29" i="18"/>
  <c r="F29" i="18"/>
  <c r="C29" i="18"/>
  <c r="B29" i="18"/>
  <c r="A29" i="18"/>
  <c r="G28" i="18"/>
  <c r="F28" i="18"/>
  <c r="C28" i="18"/>
  <c r="B28" i="18"/>
  <c r="A28" i="18"/>
  <c r="G27" i="18"/>
  <c r="F27" i="18"/>
  <c r="C27" i="18"/>
  <c r="B27" i="18"/>
  <c r="A27" i="18"/>
  <c r="G26" i="18"/>
  <c r="F26" i="18"/>
  <c r="C26" i="18"/>
  <c r="B26" i="18"/>
  <c r="A26" i="18"/>
  <c r="G25" i="18"/>
  <c r="F25" i="18"/>
  <c r="C25" i="18"/>
  <c r="B25" i="18"/>
  <c r="A25" i="18"/>
  <c r="G24" i="18"/>
  <c r="F24" i="18"/>
  <c r="C24" i="18"/>
  <c r="B24" i="18"/>
  <c r="A24" i="18"/>
  <c r="G23" i="18"/>
  <c r="F23" i="18"/>
  <c r="C23" i="18"/>
  <c r="B23" i="18"/>
  <c r="A23" i="18"/>
  <c r="G22" i="18"/>
  <c r="F22" i="18"/>
  <c r="C22" i="18"/>
  <c r="B22" i="18"/>
  <c r="A22" i="18"/>
  <c r="G21" i="18"/>
  <c r="F21" i="18"/>
  <c r="C21" i="18"/>
  <c r="B21" i="18"/>
  <c r="A21" i="18"/>
  <c r="G20" i="18"/>
  <c r="F20" i="18"/>
  <c r="C20" i="18"/>
  <c r="B20" i="18"/>
  <c r="A20" i="18"/>
  <c r="G19" i="18"/>
  <c r="F19" i="18"/>
  <c r="C19" i="18"/>
  <c r="B19" i="18"/>
  <c r="A19" i="18"/>
  <c r="G18" i="18"/>
  <c r="F18" i="18"/>
  <c r="C18" i="18"/>
  <c r="B18" i="18"/>
  <c r="A18" i="18"/>
  <c r="G17" i="18"/>
  <c r="F17" i="18"/>
  <c r="C17" i="18"/>
  <c r="B17" i="18"/>
  <c r="A17" i="18"/>
  <c r="G16" i="18"/>
  <c r="F16" i="18"/>
  <c r="C16" i="18"/>
  <c r="B16" i="18"/>
  <c r="A16" i="18"/>
  <c r="G15" i="18"/>
  <c r="F15" i="18"/>
  <c r="C15" i="18"/>
  <c r="B15" i="18"/>
  <c r="A15" i="18"/>
  <c r="G14" i="18"/>
  <c r="F14" i="18"/>
  <c r="C14" i="18"/>
  <c r="B14" i="18"/>
  <c r="A14" i="18"/>
  <c r="G13" i="18"/>
  <c r="F13" i="18"/>
  <c r="C13" i="18"/>
  <c r="B13" i="18"/>
  <c r="A13" i="18"/>
  <c r="G12" i="18"/>
  <c r="F12" i="18"/>
  <c r="C12" i="18"/>
  <c r="B12" i="18"/>
  <c r="A12" i="18"/>
  <c r="G11" i="18"/>
  <c r="F11" i="18"/>
  <c r="C11" i="18"/>
  <c r="B11" i="18"/>
  <c r="A11" i="18"/>
  <c r="G10" i="18"/>
  <c r="F10" i="18"/>
  <c r="C10" i="18"/>
  <c r="B10" i="18"/>
  <c r="A10" i="18"/>
  <c r="G9" i="18"/>
  <c r="F9" i="18"/>
  <c r="C9" i="18"/>
  <c r="B9" i="18"/>
  <c r="A9" i="18"/>
  <c r="G8" i="18"/>
  <c r="F8" i="18"/>
  <c r="C8" i="18"/>
  <c r="B8" i="18"/>
  <c r="A8" i="18"/>
  <c r="G7" i="18"/>
  <c r="F7" i="18"/>
  <c r="C7" i="18"/>
  <c r="B7" i="18"/>
  <c r="A7" i="18"/>
  <c r="C32" i="17"/>
  <c r="B32" i="17"/>
  <c r="A32" i="17"/>
  <c r="G31" i="17"/>
  <c r="F31" i="17"/>
  <c r="C31" i="17"/>
  <c r="B31" i="17"/>
  <c r="A31" i="17"/>
  <c r="G28" i="17"/>
  <c r="F28" i="17"/>
  <c r="C28" i="17"/>
  <c r="B28" i="17"/>
  <c r="A28" i="17"/>
  <c r="G25" i="17"/>
  <c r="F25" i="17"/>
  <c r="C25" i="17"/>
  <c r="B25" i="17"/>
  <c r="A25" i="17"/>
  <c r="G24" i="17"/>
  <c r="F24" i="17"/>
  <c r="C24" i="17"/>
  <c r="B24" i="17"/>
  <c r="A24" i="17"/>
  <c r="G23" i="17"/>
  <c r="F23" i="17"/>
  <c r="C23" i="17"/>
  <c r="B23" i="17"/>
  <c r="A23" i="17"/>
  <c r="G22" i="17"/>
  <c r="F22" i="17"/>
  <c r="C22" i="17"/>
  <c r="B22" i="17"/>
  <c r="A22" i="17"/>
  <c r="G21" i="17"/>
  <c r="F21" i="17"/>
  <c r="C21" i="17"/>
  <c r="B21" i="17"/>
  <c r="A21" i="17"/>
  <c r="G20" i="17"/>
  <c r="F20" i="17"/>
  <c r="C20" i="17"/>
  <c r="B20" i="17"/>
  <c r="A20" i="17"/>
  <c r="G17" i="17"/>
  <c r="F17" i="17"/>
  <c r="C17" i="17"/>
  <c r="B17" i="17"/>
  <c r="A17" i="17"/>
  <c r="G16" i="17"/>
  <c r="F16" i="17"/>
  <c r="C16" i="17"/>
  <c r="B16" i="17"/>
  <c r="A16" i="17"/>
  <c r="G15" i="17"/>
  <c r="F15" i="17"/>
  <c r="C15" i="17"/>
  <c r="B15" i="17"/>
  <c r="A15" i="17"/>
  <c r="G14" i="17"/>
  <c r="F14" i="17"/>
  <c r="C14" i="17"/>
  <c r="B14" i="17"/>
  <c r="A14" i="17"/>
  <c r="G13" i="17"/>
  <c r="F13" i="17"/>
  <c r="C13" i="17"/>
  <c r="B13" i="17"/>
  <c r="A13" i="17"/>
  <c r="G12" i="17"/>
  <c r="F12" i="17"/>
  <c r="C12" i="17"/>
  <c r="B12" i="17"/>
  <c r="A12" i="17"/>
  <c r="G11" i="17"/>
  <c r="F11" i="17"/>
  <c r="C11" i="17"/>
  <c r="B11" i="17"/>
  <c r="A11" i="17"/>
  <c r="G10" i="17"/>
  <c r="F10" i="17"/>
  <c r="C10" i="17"/>
  <c r="B10" i="17"/>
  <c r="A10" i="17"/>
  <c r="G9" i="17"/>
  <c r="F9" i="17"/>
  <c r="C9" i="17"/>
  <c r="B9" i="17"/>
  <c r="A9" i="17"/>
  <c r="G8" i="17"/>
  <c r="F8" i="17"/>
  <c r="C8" i="17"/>
  <c r="B8" i="17"/>
  <c r="A8" i="17"/>
  <c r="G7" i="17"/>
  <c r="F7" i="17"/>
  <c r="C7" i="17"/>
  <c r="B7" i="17"/>
  <c r="A7" i="17"/>
  <c r="C32" i="16"/>
  <c r="B32" i="16"/>
  <c r="A32" i="16"/>
  <c r="G31" i="16"/>
  <c r="F31" i="16"/>
  <c r="C31" i="16"/>
  <c r="B31" i="16"/>
  <c r="A31" i="16"/>
  <c r="G30" i="16"/>
  <c r="F30" i="16"/>
  <c r="C30" i="16"/>
  <c r="B30" i="16"/>
  <c r="A30" i="16"/>
  <c r="G29" i="16"/>
  <c r="F29" i="16"/>
  <c r="C29" i="16"/>
  <c r="B29" i="16"/>
  <c r="A29" i="16"/>
  <c r="G25" i="16"/>
  <c r="F25" i="16"/>
  <c r="C25" i="16"/>
  <c r="B25" i="16"/>
  <c r="A25" i="16"/>
  <c r="G24" i="16"/>
  <c r="F24" i="16"/>
  <c r="C24" i="16"/>
  <c r="B24" i="16"/>
  <c r="A24" i="16"/>
  <c r="G23" i="16"/>
  <c r="F23" i="16"/>
  <c r="C23" i="16"/>
  <c r="B23" i="16"/>
  <c r="A23" i="16"/>
  <c r="G22" i="16"/>
  <c r="F22" i="16"/>
  <c r="C22" i="16"/>
  <c r="B22" i="16"/>
  <c r="A22" i="16"/>
  <c r="G21" i="16"/>
  <c r="F21" i="16"/>
  <c r="C21" i="16"/>
  <c r="B21" i="16"/>
  <c r="A21" i="16"/>
  <c r="G20" i="16"/>
  <c r="F20" i="16"/>
  <c r="C20" i="16"/>
  <c r="B20" i="16"/>
  <c r="A20" i="16"/>
  <c r="G19" i="16"/>
  <c r="F19" i="16"/>
  <c r="C19" i="16"/>
  <c r="B19" i="16"/>
  <c r="A19" i="16"/>
  <c r="G18" i="16"/>
  <c r="F18" i="16"/>
  <c r="C18" i="16"/>
  <c r="B18" i="16"/>
  <c r="A18" i="16"/>
  <c r="G17" i="16"/>
  <c r="F17" i="16"/>
  <c r="C17" i="16"/>
  <c r="B17" i="16"/>
  <c r="A17" i="16"/>
  <c r="G16" i="16"/>
  <c r="F16" i="16"/>
  <c r="C16" i="16"/>
  <c r="B16" i="16"/>
  <c r="A16" i="16"/>
  <c r="G15" i="16"/>
  <c r="F15" i="16"/>
  <c r="C15" i="16"/>
  <c r="B15" i="16"/>
  <c r="A15" i="16"/>
  <c r="G14" i="16"/>
  <c r="F14" i="16"/>
  <c r="C14" i="16"/>
  <c r="B14" i="16"/>
  <c r="A14" i="16"/>
  <c r="G13" i="16"/>
  <c r="F13" i="16"/>
  <c r="C13" i="16"/>
  <c r="B13" i="16"/>
  <c r="A13" i="16"/>
  <c r="G12" i="16"/>
  <c r="F12" i="16"/>
  <c r="C12" i="16"/>
  <c r="B12" i="16"/>
  <c r="A12" i="16"/>
  <c r="G11" i="16"/>
  <c r="F11" i="16"/>
  <c r="C11" i="16"/>
  <c r="B11" i="16"/>
  <c r="A11" i="16"/>
  <c r="G10" i="16"/>
  <c r="F10" i="16"/>
  <c r="C10" i="16"/>
  <c r="B10" i="16"/>
  <c r="A10" i="16"/>
  <c r="G9" i="16"/>
  <c r="F9" i="16"/>
  <c r="C9" i="16"/>
  <c r="B9" i="16"/>
  <c r="A9" i="16"/>
  <c r="G8" i="16"/>
  <c r="F8" i="16"/>
  <c r="C8" i="16"/>
  <c r="B8" i="16"/>
  <c r="A8" i="16"/>
  <c r="G7" i="16"/>
  <c r="F7" i="16"/>
  <c r="C7" i="16"/>
  <c r="B7" i="16"/>
  <c r="A7" i="16"/>
  <c r="C32" i="15"/>
  <c r="B32" i="15"/>
  <c r="A32" i="15"/>
  <c r="G31" i="15"/>
  <c r="F31" i="15"/>
  <c r="C31" i="15"/>
  <c r="B31" i="15"/>
  <c r="A31" i="15"/>
  <c r="G30" i="15"/>
  <c r="F30" i="15"/>
  <c r="C30" i="15"/>
  <c r="B30" i="15"/>
  <c r="A30" i="15"/>
  <c r="G29" i="15"/>
  <c r="F29" i="15"/>
  <c r="C29" i="15"/>
  <c r="B29" i="15"/>
  <c r="A29" i="15"/>
  <c r="G28" i="15"/>
  <c r="C28" i="15"/>
  <c r="B28" i="15"/>
  <c r="A28" i="15"/>
  <c r="G24" i="15"/>
  <c r="F24" i="15"/>
  <c r="C24" i="15"/>
  <c r="B24" i="15"/>
  <c r="A24" i="15"/>
  <c r="G23" i="15"/>
  <c r="C19" i="15"/>
  <c r="B19" i="15"/>
  <c r="A19" i="15"/>
  <c r="C18" i="15"/>
  <c r="B18" i="15"/>
  <c r="A18" i="15"/>
  <c r="C17" i="15"/>
  <c r="B17" i="15"/>
  <c r="A17" i="15"/>
  <c r="C16" i="15"/>
  <c r="B16" i="15"/>
  <c r="A16" i="15"/>
  <c r="C15" i="15"/>
  <c r="B15" i="15"/>
  <c r="A15" i="15"/>
  <c r="C14" i="15"/>
  <c r="B14" i="15"/>
  <c r="A14" i="15"/>
  <c r="C13" i="15"/>
  <c r="B13" i="15"/>
  <c r="A13" i="15"/>
  <c r="C12" i="15"/>
  <c r="B12" i="15"/>
  <c r="A12" i="15"/>
  <c r="C11" i="15"/>
  <c r="B11" i="15"/>
  <c r="A11" i="15"/>
  <c r="C10" i="15"/>
  <c r="B10" i="15"/>
  <c r="A10" i="15"/>
  <c r="G9" i="15"/>
  <c r="F9" i="15"/>
  <c r="C9" i="15"/>
  <c r="B9" i="15"/>
  <c r="A9" i="15"/>
  <c r="G8" i="15"/>
  <c r="F8" i="15"/>
  <c r="C8" i="15"/>
  <c r="B8" i="15"/>
  <c r="A8" i="15"/>
  <c r="G7" i="15"/>
  <c r="F7" i="15"/>
  <c r="C7" i="15"/>
  <c r="B7" i="15"/>
  <c r="A7" i="15"/>
  <c r="C32" i="14"/>
  <c r="B32" i="14"/>
  <c r="A32" i="14"/>
  <c r="G31" i="14"/>
  <c r="F31" i="14"/>
  <c r="C31" i="14"/>
  <c r="B31" i="14"/>
  <c r="A31" i="14"/>
  <c r="G30" i="14"/>
  <c r="F30" i="14"/>
  <c r="C30" i="14"/>
  <c r="B30" i="14"/>
  <c r="A30" i="14"/>
  <c r="G28" i="14"/>
  <c r="F28" i="14"/>
  <c r="C28" i="14"/>
  <c r="B28" i="14"/>
  <c r="A28" i="14"/>
  <c r="G27" i="14"/>
  <c r="F27" i="14"/>
  <c r="C27" i="14"/>
  <c r="B27" i="14"/>
  <c r="A27" i="14"/>
  <c r="G26" i="14"/>
  <c r="F26" i="14"/>
  <c r="C26" i="14"/>
  <c r="B26" i="14"/>
  <c r="A26" i="14"/>
  <c r="G25" i="14"/>
  <c r="F25" i="14"/>
  <c r="C25" i="14"/>
  <c r="B25" i="14"/>
  <c r="A25" i="14"/>
  <c r="G24" i="14"/>
  <c r="F24" i="14"/>
  <c r="C24" i="14"/>
  <c r="B24" i="14"/>
  <c r="A24" i="14"/>
  <c r="G23" i="14"/>
  <c r="F23" i="14"/>
  <c r="C23" i="14"/>
  <c r="B23" i="14"/>
  <c r="A23" i="14"/>
  <c r="G22" i="14"/>
  <c r="F22" i="14"/>
  <c r="C22" i="14"/>
  <c r="B22" i="14"/>
  <c r="A22" i="14"/>
  <c r="G21" i="14"/>
  <c r="F21" i="14"/>
  <c r="C21" i="14"/>
  <c r="B21" i="14"/>
  <c r="A21" i="14"/>
  <c r="G20" i="14"/>
  <c r="F20" i="14"/>
  <c r="C20" i="14"/>
  <c r="B20" i="14"/>
  <c r="A20" i="14"/>
  <c r="G19" i="14"/>
  <c r="F19" i="14"/>
  <c r="C19" i="14"/>
  <c r="B19" i="14"/>
  <c r="A19" i="14"/>
  <c r="G18" i="14"/>
  <c r="F18" i="14"/>
  <c r="C18" i="14"/>
  <c r="B18" i="14"/>
  <c r="A18" i="14"/>
  <c r="G17" i="14"/>
  <c r="F17" i="14"/>
  <c r="C17" i="14"/>
  <c r="B17" i="14"/>
  <c r="A17" i="14"/>
  <c r="G16" i="14"/>
  <c r="F16" i="14"/>
  <c r="C16" i="14"/>
  <c r="B16" i="14"/>
  <c r="A16" i="14"/>
  <c r="G15" i="14"/>
  <c r="F15" i="14"/>
  <c r="C15" i="14"/>
  <c r="B15" i="14"/>
  <c r="G14" i="14"/>
  <c r="F14" i="14"/>
  <c r="C14" i="14"/>
  <c r="B14" i="14"/>
  <c r="A14" i="14"/>
  <c r="G13" i="14"/>
  <c r="F13" i="14"/>
  <c r="C13" i="14"/>
  <c r="B13" i="14"/>
  <c r="A13" i="14"/>
  <c r="G12" i="14"/>
  <c r="F12" i="14"/>
  <c r="C12" i="14"/>
  <c r="B12" i="14"/>
  <c r="A12" i="14"/>
  <c r="G11" i="14"/>
  <c r="F11" i="14"/>
  <c r="C11" i="14"/>
  <c r="B11" i="14"/>
  <c r="A11" i="14"/>
  <c r="G10" i="14"/>
  <c r="F10" i="14"/>
  <c r="C10" i="14"/>
  <c r="B10" i="14"/>
  <c r="A10" i="14"/>
  <c r="G9" i="14"/>
  <c r="F9" i="14"/>
  <c r="C9" i="14"/>
  <c r="B9" i="14"/>
  <c r="A9" i="14"/>
  <c r="G8" i="14"/>
  <c r="F8" i="14"/>
  <c r="C8" i="14"/>
  <c r="B8" i="14"/>
  <c r="A8" i="14"/>
  <c r="G7" i="14"/>
  <c r="F7" i="14"/>
  <c r="C7" i="14"/>
  <c r="B7" i="14"/>
  <c r="A7" i="14"/>
  <c r="C32" i="13"/>
  <c r="B32" i="13"/>
  <c r="A32" i="13"/>
  <c r="G31" i="13"/>
  <c r="F31" i="13"/>
  <c r="C31" i="13"/>
  <c r="B31" i="13"/>
  <c r="A31" i="13"/>
  <c r="G30" i="13"/>
  <c r="F30" i="13"/>
  <c r="C30" i="13"/>
  <c r="B30" i="13"/>
  <c r="A30" i="13"/>
  <c r="G29" i="13"/>
  <c r="F29" i="13"/>
  <c r="C29" i="13"/>
  <c r="B29" i="13"/>
  <c r="A29" i="13"/>
  <c r="G28" i="13"/>
  <c r="F28" i="13"/>
  <c r="C28" i="13"/>
  <c r="B28" i="13"/>
  <c r="A28" i="13"/>
  <c r="G22" i="13"/>
  <c r="F22" i="13"/>
  <c r="C22" i="13"/>
  <c r="B22" i="13"/>
  <c r="A22" i="13"/>
  <c r="G21" i="13"/>
  <c r="F21" i="13"/>
  <c r="C21" i="13"/>
  <c r="B21" i="13"/>
  <c r="A21" i="13"/>
  <c r="G20" i="13"/>
  <c r="F20" i="13"/>
  <c r="C20" i="13"/>
  <c r="B20" i="13"/>
  <c r="A20" i="13"/>
  <c r="G19" i="13"/>
  <c r="F19" i="13"/>
  <c r="C19" i="13"/>
  <c r="B19" i="13"/>
  <c r="A19" i="13"/>
  <c r="G18" i="13"/>
  <c r="F18" i="13"/>
  <c r="C18" i="13"/>
  <c r="B18" i="13"/>
  <c r="A18" i="13"/>
  <c r="G17" i="13"/>
  <c r="F17" i="13"/>
  <c r="C17" i="13"/>
  <c r="B17" i="13"/>
  <c r="A17" i="13"/>
  <c r="G16" i="13"/>
  <c r="F16" i="13"/>
  <c r="C16" i="13"/>
  <c r="B16" i="13"/>
  <c r="A16" i="13"/>
  <c r="G15" i="13"/>
  <c r="F15" i="13"/>
  <c r="C15" i="13"/>
  <c r="B15" i="13"/>
  <c r="A15" i="13"/>
  <c r="G14" i="13"/>
  <c r="F14" i="13"/>
  <c r="C14" i="13"/>
  <c r="B14" i="13"/>
  <c r="A14" i="13"/>
  <c r="G13" i="13"/>
  <c r="F13" i="13"/>
  <c r="C13" i="13"/>
  <c r="B13" i="13"/>
  <c r="A13" i="13"/>
  <c r="G12" i="13"/>
  <c r="F12" i="13"/>
  <c r="C12" i="13"/>
  <c r="B12" i="13"/>
  <c r="A12" i="13"/>
  <c r="G11" i="13"/>
  <c r="F11" i="13"/>
  <c r="C11" i="13"/>
  <c r="B11" i="13"/>
  <c r="A11" i="13"/>
  <c r="G10" i="13"/>
  <c r="F10" i="13"/>
  <c r="C10" i="13"/>
  <c r="B10" i="13"/>
  <c r="A10" i="13"/>
  <c r="G9" i="13"/>
  <c r="F9" i="13"/>
  <c r="C9" i="13"/>
  <c r="B9" i="13"/>
  <c r="A9" i="13"/>
  <c r="G8" i="13"/>
  <c r="F8" i="13"/>
  <c r="C8" i="13"/>
  <c r="B8" i="13"/>
  <c r="A8" i="13"/>
  <c r="G7" i="13"/>
  <c r="F7" i="13"/>
  <c r="C7" i="13"/>
  <c r="B7" i="13"/>
  <c r="A7" i="13"/>
  <c r="C32" i="12"/>
  <c r="B32" i="12"/>
  <c r="A32" i="12"/>
  <c r="G31" i="12"/>
  <c r="F31" i="12"/>
  <c r="C31" i="12"/>
  <c r="B31" i="12"/>
  <c r="A31" i="12"/>
  <c r="G24" i="12"/>
  <c r="F24" i="12"/>
  <c r="C24" i="12"/>
  <c r="B24" i="12"/>
  <c r="A24" i="12"/>
  <c r="G23" i="12"/>
  <c r="F23" i="12"/>
  <c r="C23" i="12"/>
  <c r="G22" i="12"/>
  <c r="F22" i="12"/>
  <c r="C22" i="12"/>
  <c r="G21" i="12"/>
  <c r="F21" i="12"/>
  <c r="C21" i="12"/>
  <c r="B21" i="12"/>
  <c r="A21" i="12"/>
  <c r="G20" i="12"/>
  <c r="F20" i="12"/>
  <c r="C20" i="12"/>
  <c r="B20" i="12"/>
  <c r="A20" i="12"/>
  <c r="G19" i="12"/>
  <c r="F19" i="12"/>
  <c r="C19" i="12"/>
  <c r="B19" i="12"/>
  <c r="A19" i="12"/>
  <c r="G18" i="12"/>
  <c r="F18" i="12"/>
  <c r="C18" i="12"/>
  <c r="B18" i="12"/>
  <c r="A18" i="12"/>
  <c r="G17" i="12"/>
  <c r="F17" i="12"/>
  <c r="C17" i="12"/>
  <c r="B17" i="12"/>
  <c r="A17" i="12"/>
  <c r="G16" i="12"/>
  <c r="F16" i="12"/>
  <c r="C16" i="12"/>
  <c r="B16" i="12"/>
  <c r="A16" i="12"/>
  <c r="G15" i="12"/>
  <c r="F15" i="12"/>
  <c r="C15" i="12"/>
  <c r="B15" i="12"/>
  <c r="A15" i="12"/>
  <c r="G14" i="12"/>
  <c r="F14" i="12"/>
  <c r="C14" i="12"/>
  <c r="B14" i="12"/>
  <c r="A14" i="12"/>
  <c r="G13" i="12"/>
  <c r="F13" i="12"/>
  <c r="C13" i="12"/>
  <c r="B13" i="12"/>
  <c r="A13" i="12"/>
  <c r="G12" i="12"/>
  <c r="F12" i="12"/>
  <c r="C12" i="12"/>
  <c r="B12" i="12"/>
  <c r="A12" i="12"/>
  <c r="G11" i="12"/>
  <c r="F11" i="12"/>
  <c r="C11" i="12"/>
  <c r="B11" i="12"/>
  <c r="A11" i="12"/>
  <c r="G10" i="12"/>
  <c r="F10" i="12"/>
  <c r="C10" i="12"/>
  <c r="B10" i="12"/>
  <c r="A10" i="12"/>
  <c r="G9" i="12"/>
  <c r="F9" i="12"/>
  <c r="C9" i="12"/>
  <c r="B9" i="12"/>
  <c r="A9" i="12"/>
  <c r="G8" i="12"/>
  <c r="F8" i="12"/>
  <c r="C8" i="12"/>
  <c r="B8" i="12"/>
  <c r="A8" i="12"/>
  <c r="G7" i="12"/>
  <c r="F7" i="12"/>
  <c r="C7" i="12"/>
  <c r="B7" i="12"/>
  <c r="A7" i="12"/>
  <c r="B20" i="42"/>
  <c r="C32" i="11"/>
  <c r="B32" i="11"/>
  <c r="A32" i="11"/>
  <c r="G31" i="11"/>
  <c r="F31" i="11"/>
  <c r="C31" i="11"/>
  <c r="B31" i="11"/>
  <c r="A31" i="11"/>
  <c r="G30" i="11"/>
  <c r="F30" i="11"/>
  <c r="C30" i="11"/>
  <c r="B30" i="11"/>
  <c r="A30" i="11"/>
  <c r="G19" i="11"/>
  <c r="F19" i="11"/>
  <c r="C19" i="11"/>
  <c r="B19" i="11"/>
  <c r="A19" i="11"/>
  <c r="G18" i="11"/>
  <c r="F18" i="11"/>
  <c r="C18" i="11"/>
  <c r="B18" i="11"/>
  <c r="A18" i="11"/>
  <c r="G17" i="11"/>
  <c r="F17" i="11"/>
  <c r="C17" i="11"/>
  <c r="B17" i="11"/>
  <c r="A17" i="11"/>
  <c r="G16" i="11"/>
  <c r="F16" i="11"/>
  <c r="C16" i="11"/>
  <c r="B16" i="11"/>
  <c r="A16" i="11"/>
  <c r="G15" i="11"/>
  <c r="F15" i="11"/>
  <c r="C15" i="11"/>
  <c r="B15" i="11"/>
  <c r="A15" i="11"/>
  <c r="G14" i="11"/>
  <c r="F14" i="11"/>
  <c r="C14" i="11"/>
  <c r="B14" i="11"/>
  <c r="A14" i="11"/>
  <c r="G13" i="11"/>
  <c r="F13" i="11"/>
  <c r="C13" i="11"/>
  <c r="B13" i="11"/>
  <c r="A13" i="11"/>
  <c r="G12" i="11"/>
  <c r="F12" i="11"/>
  <c r="G11" i="11"/>
  <c r="F11" i="11"/>
  <c r="C11" i="11"/>
  <c r="B11" i="11"/>
  <c r="A11" i="11"/>
  <c r="G10" i="11"/>
  <c r="F10" i="11"/>
  <c r="C10" i="11"/>
  <c r="B10" i="11"/>
  <c r="A10" i="11"/>
  <c r="G9" i="11"/>
  <c r="C9" i="11"/>
  <c r="B9" i="11"/>
  <c r="A9" i="11"/>
  <c r="G8" i="11"/>
  <c r="F8" i="11"/>
  <c r="C8" i="11"/>
  <c r="B8" i="11"/>
  <c r="A8" i="11"/>
  <c r="G7" i="11"/>
  <c r="F7" i="11"/>
  <c r="C7" i="11"/>
  <c r="B7" i="11"/>
  <c r="G32" i="10"/>
  <c r="F32" i="10"/>
  <c r="C32" i="10"/>
  <c r="B32" i="10"/>
  <c r="A32" i="10"/>
  <c r="G31" i="10"/>
  <c r="F31" i="10"/>
  <c r="C31" i="10"/>
  <c r="B31" i="10"/>
  <c r="A31" i="10"/>
  <c r="G30" i="10"/>
  <c r="F30" i="10"/>
  <c r="C30" i="10"/>
  <c r="B30" i="10"/>
  <c r="A30" i="10"/>
  <c r="G29" i="10"/>
  <c r="F29" i="10"/>
  <c r="C29" i="10"/>
  <c r="B29" i="10"/>
  <c r="A29" i="10"/>
  <c r="G28" i="10"/>
  <c r="F28" i="10"/>
  <c r="C28" i="10"/>
  <c r="B28" i="10"/>
  <c r="A28" i="10"/>
  <c r="G27" i="10"/>
  <c r="F27" i="10"/>
  <c r="C27" i="10"/>
  <c r="B27" i="10"/>
  <c r="A27" i="10"/>
  <c r="G26" i="10"/>
  <c r="F26" i="10"/>
  <c r="C26" i="10"/>
  <c r="B26" i="10"/>
  <c r="A26" i="10"/>
  <c r="G25" i="10"/>
  <c r="F25" i="10"/>
  <c r="C25" i="10"/>
  <c r="B25" i="10"/>
  <c r="A25" i="10"/>
  <c r="G24" i="10"/>
  <c r="F24" i="10"/>
  <c r="C24" i="10"/>
  <c r="B24" i="10"/>
  <c r="A24" i="10"/>
  <c r="G23" i="10"/>
  <c r="F23" i="10"/>
  <c r="C23" i="10"/>
  <c r="B23" i="10"/>
  <c r="A23" i="10"/>
  <c r="G22" i="10"/>
  <c r="F22" i="10"/>
  <c r="C22" i="10"/>
  <c r="B22" i="10"/>
  <c r="A22" i="10"/>
  <c r="G21" i="10"/>
  <c r="F21" i="10"/>
  <c r="C21" i="10"/>
  <c r="B21" i="10"/>
  <c r="A21" i="10"/>
  <c r="G20" i="10"/>
  <c r="F20" i="10"/>
  <c r="C20" i="10"/>
  <c r="B20" i="10"/>
  <c r="A20" i="10"/>
  <c r="G19" i="10"/>
  <c r="F19" i="10"/>
  <c r="C19" i="10"/>
  <c r="B19" i="10"/>
  <c r="A19" i="10"/>
  <c r="G18" i="10"/>
  <c r="F18" i="10"/>
  <c r="C18" i="10"/>
  <c r="B18" i="10"/>
  <c r="A18" i="10"/>
  <c r="G17" i="10"/>
  <c r="F17" i="10"/>
  <c r="C17" i="10"/>
  <c r="B17" i="10"/>
  <c r="A17" i="10"/>
  <c r="G16" i="10"/>
  <c r="F16" i="10"/>
  <c r="C16" i="10"/>
  <c r="B16" i="10"/>
  <c r="A16" i="10"/>
  <c r="G15" i="10"/>
  <c r="F15" i="10"/>
  <c r="C15" i="10"/>
  <c r="B15" i="10"/>
  <c r="A15" i="10"/>
  <c r="G14" i="10"/>
  <c r="F14" i="10"/>
  <c r="C14" i="10"/>
  <c r="B14" i="10"/>
  <c r="A14" i="10"/>
  <c r="G13" i="10"/>
  <c r="F13" i="10"/>
  <c r="C13" i="10"/>
  <c r="B13" i="10"/>
  <c r="A13" i="10"/>
  <c r="G12" i="10"/>
  <c r="F12" i="10"/>
  <c r="C12" i="10"/>
  <c r="B12" i="10"/>
  <c r="A12" i="10"/>
  <c r="G11" i="10"/>
  <c r="F11" i="10"/>
  <c r="C11" i="10"/>
  <c r="B11" i="10"/>
  <c r="A11" i="10"/>
  <c r="G10" i="10"/>
  <c r="F10" i="10"/>
  <c r="C10" i="10"/>
  <c r="B10" i="10"/>
  <c r="A10" i="10"/>
  <c r="G9" i="10"/>
  <c r="F9" i="10"/>
  <c r="C9" i="10"/>
  <c r="B9" i="10"/>
  <c r="A9" i="10"/>
  <c r="G8" i="10"/>
  <c r="F8" i="10"/>
  <c r="C8" i="10"/>
  <c r="B8" i="10"/>
  <c r="A8" i="10"/>
  <c r="G7" i="10"/>
  <c r="F7" i="10"/>
  <c r="C7" i="10"/>
  <c r="B7" i="10"/>
  <c r="A7" i="10"/>
  <c r="G32" i="9"/>
  <c r="F32" i="9"/>
  <c r="C32" i="9"/>
  <c r="B32" i="9"/>
  <c r="A32" i="9"/>
  <c r="G31" i="9"/>
  <c r="F31" i="9"/>
  <c r="C31" i="9"/>
  <c r="B31" i="9"/>
  <c r="A31" i="9"/>
  <c r="G28" i="9"/>
  <c r="F28" i="9"/>
  <c r="C28" i="9"/>
  <c r="B28" i="9"/>
  <c r="A28" i="9"/>
  <c r="G24" i="9"/>
  <c r="F24" i="9"/>
  <c r="C24" i="9"/>
  <c r="B24" i="9"/>
  <c r="A24" i="9"/>
  <c r="G20" i="9"/>
  <c r="F20" i="9"/>
  <c r="C20" i="9"/>
  <c r="B20" i="9"/>
  <c r="A20" i="9"/>
  <c r="G19" i="9"/>
  <c r="F19" i="9"/>
  <c r="C19" i="9"/>
  <c r="B19" i="9"/>
  <c r="A19" i="9"/>
  <c r="G18" i="9"/>
  <c r="F18" i="9"/>
  <c r="C18" i="9"/>
  <c r="B18" i="9"/>
  <c r="A18" i="9"/>
  <c r="G17" i="9"/>
  <c r="F17" i="9"/>
  <c r="C17" i="9"/>
  <c r="B17" i="9"/>
  <c r="A17" i="9"/>
  <c r="G16" i="9"/>
  <c r="F16" i="9"/>
  <c r="C16" i="9"/>
  <c r="B16" i="9"/>
  <c r="A16" i="9"/>
  <c r="G15" i="9"/>
  <c r="F15" i="9"/>
  <c r="C15" i="9"/>
  <c r="B15" i="9"/>
  <c r="A15" i="9"/>
  <c r="G14" i="9"/>
  <c r="F14" i="9"/>
  <c r="C14" i="9"/>
  <c r="B14" i="9"/>
  <c r="A14" i="9"/>
  <c r="G13" i="9"/>
  <c r="F13" i="9"/>
  <c r="C13" i="9"/>
  <c r="B13" i="9"/>
  <c r="A13" i="9"/>
  <c r="G12" i="9"/>
  <c r="F12" i="9"/>
  <c r="C12" i="9"/>
  <c r="B12" i="9"/>
  <c r="A12" i="9"/>
  <c r="G11" i="9"/>
  <c r="F11" i="9"/>
  <c r="C11" i="9"/>
  <c r="B11" i="9"/>
  <c r="A11" i="9"/>
  <c r="G10" i="9"/>
  <c r="F10" i="9"/>
  <c r="C10" i="9"/>
  <c r="B10" i="9"/>
  <c r="A10" i="9"/>
  <c r="G9" i="9"/>
  <c r="F9" i="9"/>
  <c r="C9" i="9"/>
  <c r="B9" i="9"/>
  <c r="A9" i="9"/>
  <c r="G8" i="9"/>
  <c r="F8" i="9"/>
  <c r="C8" i="9"/>
  <c r="B8" i="9"/>
  <c r="A8" i="9"/>
  <c r="G7" i="9"/>
  <c r="F7" i="9"/>
  <c r="C7" i="9"/>
  <c r="B7" i="9"/>
  <c r="A7" i="9"/>
  <c r="C32" i="8"/>
  <c r="B32" i="8"/>
  <c r="A32" i="8"/>
  <c r="G31" i="8"/>
  <c r="F31" i="8"/>
  <c r="C31" i="8"/>
  <c r="B31" i="8"/>
  <c r="A31" i="8"/>
  <c r="G22" i="8"/>
  <c r="F22" i="8"/>
  <c r="C22" i="8"/>
  <c r="B22" i="8"/>
  <c r="A22" i="8"/>
  <c r="G21" i="8"/>
  <c r="F21" i="8"/>
  <c r="C21" i="8"/>
  <c r="B21" i="8"/>
  <c r="A21" i="8"/>
  <c r="G20" i="8"/>
  <c r="F20" i="8"/>
  <c r="C20" i="8"/>
  <c r="B20" i="8"/>
  <c r="A20" i="8"/>
  <c r="G19" i="8"/>
  <c r="F19" i="8"/>
  <c r="C19" i="8"/>
  <c r="B19" i="8"/>
  <c r="A19" i="8"/>
  <c r="G18" i="8"/>
  <c r="F18" i="8"/>
  <c r="C18" i="8"/>
  <c r="B18" i="8"/>
  <c r="A18" i="8"/>
  <c r="G17" i="8"/>
  <c r="F17" i="8"/>
  <c r="C17" i="8"/>
  <c r="B17" i="8"/>
  <c r="A17" i="8"/>
  <c r="G16" i="8"/>
  <c r="F16" i="8"/>
  <c r="C16" i="8"/>
  <c r="B16" i="8"/>
  <c r="A16" i="8"/>
  <c r="G15" i="8"/>
  <c r="F15" i="8"/>
  <c r="C15" i="8"/>
  <c r="B15" i="8"/>
  <c r="A15" i="8"/>
  <c r="G14" i="8"/>
  <c r="F14" i="8"/>
  <c r="C14" i="8"/>
  <c r="B14" i="8"/>
  <c r="A14" i="8"/>
  <c r="G13" i="8"/>
  <c r="F13" i="8"/>
  <c r="C13" i="8"/>
  <c r="B13" i="8"/>
  <c r="A13" i="8"/>
  <c r="G12" i="8"/>
  <c r="F12" i="8"/>
  <c r="C12" i="8"/>
  <c r="B12" i="8"/>
  <c r="A12" i="8"/>
  <c r="G11" i="8"/>
  <c r="F11" i="8"/>
  <c r="C11" i="8"/>
  <c r="B11" i="8"/>
  <c r="A11" i="8"/>
  <c r="G10" i="8"/>
  <c r="F10" i="8"/>
  <c r="C10" i="8"/>
  <c r="B10" i="8"/>
  <c r="A10" i="8"/>
  <c r="G9" i="8"/>
  <c r="F9" i="8"/>
  <c r="C9" i="8"/>
  <c r="B9" i="8"/>
  <c r="A9" i="8"/>
  <c r="G8" i="8"/>
  <c r="F8" i="8"/>
  <c r="C8" i="8"/>
  <c r="B8" i="8"/>
  <c r="A8" i="8"/>
  <c r="G7" i="8"/>
  <c r="F7" i="8"/>
  <c r="C7" i="8"/>
  <c r="B7" i="8"/>
  <c r="A7" i="8"/>
  <c r="G32" i="7"/>
  <c r="F32" i="7"/>
  <c r="C32" i="7"/>
  <c r="B32" i="7"/>
  <c r="A32" i="7"/>
  <c r="G22" i="7"/>
  <c r="F22" i="7"/>
  <c r="C22" i="7"/>
  <c r="B22" i="7"/>
  <c r="A22" i="7"/>
  <c r="C21" i="7"/>
  <c r="G20" i="7"/>
  <c r="F20" i="7"/>
  <c r="C20" i="7"/>
  <c r="B20" i="7"/>
  <c r="A20" i="7"/>
  <c r="G19" i="7"/>
  <c r="F19" i="7"/>
  <c r="C19" i="7"/>
  <c r="B19" i="7"/>
  <c r="A19" i="7"/>
  <c r="G18" i="7"/>
  <c r="F18" i="7"/>
  <c r="C18" i="7"/>
  <c r="B18" i="7"/>
  <c r="A18" i="7"/>
  <c r="G17" i="7"/>
  <c r="F17" i="7"/>
  <c r="C17" i="7"/>
  <c r="B17" i="7"/>
  <c r="A17" i="7"/>
  <c r="G16" i="7"/>
  <c r="F16" i="7"/>
  <c r="C16" i="7"/>
  <c r="B16" i="7"/>
  <c r="A16" i="7"/>
  <c r="G15" i="7"/>
  <c r="F15" i="7"/>
  <c r="C15" i="7"/>
  <c r="B15" i="7"/>
  <c r="A15" i="7"/>
  <c r="G14" i="7"/>
  <c r="F14" i="7"/>
  <c r="C14" i="7"/>
  <c r="B14" i="7"/>
  <c r="A14" i="7"/>
  <c r="G13" i="7"/>
  <c r="F13" i="7"/>
  <c r="C13" i="7"/>
  <c r="B13" i="7"/>
  <c r="A13" i="7"/>
  <c r="G12" i="7"/>
  <c r="F12" i="7"/>
  <c r="C12" i="7"/>
  <c r="B12" i="7"/>
  <c r="A12" i="7"/>
  <c r="G11" i="7"/>
  <c r="F11" i="7"/>
  <c r="C11" i="7"/>
  <c r="B11" i="7"/>
  <c r="A11" i="7"/>
  <c r="G10" i="7"/>
  <c r="C10" i="7"/>
  <c r="B10" i="7"/>
  <c r="A10" i="7"/>
  <c r="G9" i="7"/>
  <c r="F9" i="7"/>
  <c r="C9" i="7"/>
  <c r="B9" i="7"/>
  <c r="A9" i="7"/>
  <c r="G8" i="7"/>
  <c r="F8" i="7"/>
  <c r="C8" i="7"/>
  <c r="B8" i="7"/>
  <c r="A8" i="7"/>
  <c r="G7" i="7"/>
  <c r="F7" i="7"/>
  <c r="C7" i="7"/>
  <c r="B7" i="7"/>
  <c r="A7" i="7"/>
  <c r="G32" i="6"/>
  <c r="F32" i="6"/>
  <c r="C32" i="6"/>
  <c r="B32" i="6"/>
  <c r="A32" i="6"/>
  <c r="G31" i="6"/>
  <c r="F31" i="6"/>
  <c r="C31" i="6"/>
  <c r="B31" i="6"/>
  <c r="A31" i="6"/>
  <c r="G30" i="6"/>
  <c r="F30" i="6"/>
  <c r="C30" i="6"/>
  <c r="B30" i="6"/>
  <c r="A30" i="6"/>
  <c r="G29" i="6"/>
  <c r="F29" i="6"/>
  <c r="C29" i="6"/>
  <c r="B29" i="6"/>
  <c r="A29" i="6"/>
  <c r="G28" i="6"/>
  <c r="F28" i="6"/>
  <c r="C28" i="6"/>
  <c r="B28" i="6"/>
  <c r="A28" i="6"/>
  <c r="G27" i="6"/>
  <c r="F27" i="6"/>
  <c r="C27" i="6"/>
  <c r="B27" i="6"/>
  <c r="A27" i="6"/>
  <c r="G25" i="6"/>
  <c r="F25" i="6"/>
  <c r="C25" i="6"/>
  <c r="B25" i="6"/>
  <c r="A25" i="6"/>
  <c r="G24" i="6"/>
  <c r="F24" i="6"/>
  <c r="C24" i="6"/>
  <c r="B24" i="6"/>
  <c r="A24" i="6"/>
  <c r="G23" i="6"/>
  <c r="F23" i="6"/>
  <c r="C23" i="6"/>
  <c r="B23" i="6"/>
  <c r="A23" i="6"/>
  <c r="G22" i="6"/>
  <c r="F22" i="6"/>
  <c r="C22" i="6"/>
  <c r="B22" i="6"/>
  <c r="A22" i="6"/>
  <c r="G21" i="6"/>
  <c r="F21" i="6"/>
  <c r="C21" i="6"/>
  <c r="B21" i="6"/>
  <c r="A21" i="6"/>
  <c r="G20" i="6"/>
  <c r="F20" i="6"/>
  <c r="C20" i="6"/>
  <c r="B20" i="6"/>
  <c r="A20" i="6"/>
  <c r="G19" i="6"/>
  <c r="F19" i="6"/>
  <c r="C19" i="6"/>
  <c r="B19" i="6"/>
  <c r="A19" i="6"/>
  <c r="G18" i="6"/>
  <c r="F18" i="6"/>
  <c r="C18" i="6"/>
  <c r="B18" i="6"/>
  <c r="A18" i="6"/>
  <c r="G17" i="6"/>
  <c r="F17" i="6"/>
  <c r="C17" i="6"/>
  <c r="B17" i="6"/>
  <c r="A17" i="6"/>
  <c r="G16" i="6"/>
  <c r="F16" i="6"/>
  <c r="C16" i="6"/>
  <c r="B16" i="6"/>
  <c r="A16" i="6"/>
  <c r="G15" i="6"/>
  <c r="F15" i="6"/>
  <c r="C15" i="6"/>
  <c r="B15" i="6"/>
  <c r="A15" i="6"/>
  <c r="G14" i="6"/>
  <c r="F14" i="6"/>
  <c r="C14" i="6"/>
  <c r="B14" i="6"/>
  <c r="A14" i="6"/>
  <c r="G13" i="6"/>
  <c r="F13" i="6"/>
  <c r="C13" i="6"/>
  <c r="B13" i="6"/>
  <c r="A13" i="6"/>
  <c r="G12" i="6"/>
  <c r="F12" i="6"/>
  <c r="C12" i="6"/>
  <c r="B12" i="6"/>
  <c r="A12" i="6"/>
  <c r="G11" i="6"/>
  <c r="F11" i="6"/>
  <c r="C11" i="6"/>
  <c r="B11" i="6"/>
  <c r="A11" i="6"/>
  <c r="G10" i="6"/>
  <c r="F10" i="6"/>
  <c r="C10" i="6"/>
  <c r="B10" i="6"/>
  <c r="A10" i="6"/>
  <c r="G9" i="6"/>
  <c r="F9" i="6"/>
  <c r="C9" i="6"/>
  <c r="B9" i="6"/>
  <c r="A9" i="6"/>
  <c r="G8" i="6"/>
  <c r="F8" i="6"/>
  <c r="C8" i="6"/>
  <c r="B8" i="6"/>
  <c r="A8" i="6"/>
  <c r="G7" i="6"/>
  <c r="F7" i="6"/>
  <c r="C7" i="6"/>
  <c r="B7" i="6"/>
  <c r="A7" i="6"/>
  <c r="C32" i="5"/>
  <c r="B32" i="5"/>
  <c r="A32" i="5"/>
  <c r="G31" i="5"/>
  <c r="F31" i="5"/>
  <c r="C31" i="5"/>
  <c r="B31" i="5"/>
  <c r="A31" i="5"/>
  <c r="G30" i="5"/>
  <c r="F30" i="5"/>
  <c r="C30" i="5"/>
  <c r="B30" i="5"/>
  <c r="A30" i="5"/>
  <c r="G29" i="5"/>
  <c r="F29" i="5"/>
  <c r="C29" i="5"/>
  <c r="B29" i="5"/>
  <c r="A29" i="5"/>
  <c r="G26" i="5"/>
  <c r="F26" i="5"/>
  <c r="C26" i="5"/>
  <c r="B26" i="5"/>
  <c r="A26" i="5"/>
  <c r="G25" i="5"/>
  <c r="F25" i="5"/>
  <c r="C25" i="5"/>
  <c r="B25" i="5"/>
  <c r="A25" i="5"/>
  <c r="G24" i="5"/>
  <c r="F24" i="5"/>
  <c r="C24" i="5"/>
  <c r="B24" i="5"/>
  <c r="A24" i="5"/>
  <c r="G23" i="5"/>
  <c r="F23" i="5"/>
  <c r="C23" i="5"/>
  <c r="B23" i="5"/>
  <c r="A23" i="5"/>
  <c r="G22" i="5"/>
  <c r="F22" i="5"/>
  <c r="C22" i="5"/>
  <c r="B22" i="5"/>
  <c r="A22" i="5"/>
  <c r="G21" i="5"/>
  <c r="F21" i="5"/>
  <c r="C21" i="5"/>
  <c r="B21" i="5"/>
  <c r="A21" i="5"/>
  <c r="G20" i="5"/>
  <c r="F20" i="5"/>
  <c r="C20" i="5"/>
  <c r="B20" i="5"/>
  <c r="A20" i="5"/>
  <c r="G19" i="5"/>
  <c r="F19" i="5"/>
  <c r="C19" i="5"/>
  <c r="B19" i="5"/>
  <c r="A19" i="5"/>
  <c r="G18" i="5"/>
  <c r="F18" i="5"/>
  <c r="C18" i="5"/>
  <c r="B18" i="5"/>
  <c r="A18" i="5"/>
  <c r="G17" i="5"/>
  <c r="F17" i="5"/>
  <c r="C17" i="5"/>
  <c r="B17" i="5"/>
  <c r="A17" i="5"/>
  <c r="G16" i="5"/>
  <c r="F16" i="5"/>
  <c r="C16" i="5"/>
  <c r="B16" i="5"/>
  <c r="A16" i="5"/>
  <c r="G15" i="5"/>
  <c r="F15" i="5"/>
  <c r="C15" i="5"/>
  <c r="B15" i="5"/>
  <c r="A15" i="5"/>
  <c r="G14" i="5"/>
  <c r="F14" i="5"/>
  <c r="C14" i="5"/>
  <c r="B14" i="5"/>
  <c r="A14" i="5"/>
  <c r="G13" i="5"/>
  <c r="F13" i="5"/>
  <c r="C13" i="5"/>
  <c r="B13" i="5"/>
  <c r="A13" i="5"/>
  <c r="G12" i="5"/>
  <c r="F12" i="5"/>
  <c r="C12" i="5"/>
  <c r="B12" i="5"/>
  <c r="A12" i="5"/>
  <c r="G11" i="5"/>
  <c r="F11" i="5"/>
  <c r="C11" i="5"/>
  <c r="B11" i="5"/>
  <c r="A11" i="5"/>
  <c r="G10" i="5"/>
  <c r="F10" i="5"/>
  <c r="C10" i="5"/>
  <c r="B10" i="5"/>
  <c r="A10" i="5"/>
  <c r="G9" i="5"/>
  <c r="F9" i="5"/>
  <c r="C9" i="5"/>
  <c r="B9" i="5"/>
  <c r="A9" i="5"/>
  <c r="G8" i="5"/>
  <c r="F8" i="5"/>
  <c r="C8" i="5"/>
  <c r="B8" i="5"/>
  <c r="A8" i="5"/>
  <c r="G7" i="5"/>
  <c r="F7" i="5"/>
  <c r="C7" i="5"/>
  <c r="B7" i="5"/>
  <c r="A7" i="5"/>
  <c r="G32" i="4"/>
  <c r="F32" i="4"/>
  <c r="C32" i="4"/>
  <c r="B32" i="4"/>
  <c r="A32" i="4"/>
  <c r="G31" i="4"/>
  <c r="F31" i="4"/>
  <c r="C31" i="4"/>
  <c r="B31" i="4"/>
  <c r="A31" i="4"/>
  <c r="G30" i="4"/>
  <c r="F30" i="4"/>
  <c r="C30" i="4"/>
  <c r="B30" i="4"/>
  <c r="A30" i="4"/>
  <c r="G29" i="4"/>
  <c r="F29" i="4"/>
  <c r="C29" i="4"/>
  <c r="B29" i="4"/>
  <c r="A29" i="4"/>
  <c r="G23" i="4"/>
  <c r="F23" i="4"/>
  <c r="C23" i="4"/>
  <c r="B23" i="4"/>
  <c r="A23" i="4"/>
  <c r="G22" i="4"/>
  <c r="F22" i="4"/>
  <c r="C22" i="4"/>
  <c r="B22" i="4"/>
  <c r="A22" i="4"/>
  <c r="G21" i="4"/>
  <c r="F21" i="4"/>
  <c r="C21" i="4"/>
  <c r="B21" i="4"/>
  <c r="A21" i="4"/>
  <c r="G20" i="4"/>
  <c r="F20" i="4"/>
  <c r="C20" i="4"/>
  <c r="B20" i="4"/>
  <c r="A20" i="4"/>
  <c r="G19" i="4"/>
  <c r="F19" i="4"/>
  <c r="C19" i="4"/>
  <c r="B19" i="4"/>
  <c r="A19" i="4"/>
  <c r="G18" i="4"/>
  <c r="F18" i="4"/>
  <c r="C18" i="4"/>
  <c r="B18" i="4"/>
  <c r="A18" i="4"/>
  <c r="G17" i="4"/>
  <c r="F17" i="4"/>
  <c r="C17" i="4"/>
  <c r="B17" i="4"/>
  <c r="A17" i="4"/>
  <c r="G16" i="4"/>
  <c r="F16" i="4"/>
  <c r="C16" i="4"/>
  <c r="B16" i="4"/>
  <c r="A16" i="4"/>
  <c r="G15" i="4"/>
  <c r="F15" i="4"/>
  <c r="C15" i="4"/>
  <c r="B15" i="4"/>
  <c r="A15" i="4"/>
  <c r="G14" i="4"/>
  <c r="F14" i="4"/>
  <c r="C14" i="4"/>
  <c r="B14" i="4"/>
  <c r="A14" i="4"/>
  <c r="G13" i="4"/>
  <c r="F13" i="4"/>
  <c r="C13" i="4"/>
  <c r="B13" i="4"/>
  <c r="A13" i="4"/>
  <c r="G12" i="4"/>
  <c r="C12" i="4"/>
  <c r="B12" i="4"/>
  <c r="A12" i="4"/>
  <c r="G11" i="4"/>
  <c r="F11" i="4"/>
  <c r="C11" i="4"/>
  <c r="B11" i="4"/>
  <c r="A11" i="4"/>
  <c r="G10" i="4"/>
  <c r="F10" i="4"/>
  <c r="C10" i="4"/>
  <c r="B10" i="4"/>
  <c r="A10" i="4"/>
  <c r="G9" i="4"/>
  <c r="F9" i="4"/>
  <c r="C9" i="4"/>
  <c r="B9" i="4"/>
  <c r="A9" i="4"/>
  <c r="G8" i="4"/>
  <c r="F8" i="4"/>
  <c r="C8" i="4"/>
  <c r="B8" i="4"/>
  <c r="A8" i="4"/>
  <c r="G7" i="4"/>
  <c r="F7" i="4"/>
  <c r="C7" i="4"/>
  <c r="B7" i="4"/>
  <c r="A7" i="4"/>
  <c r="C32" i="3"/>
  <c r="B32" i="3"/>
  <c r="A32" i="3"/>
  <c r="G31" i="3"/>
  <c r="F31" i="3"/>
  <c r="C31" i="3"/>
  <c r="B31" i="3"/>
  <c r="A31" i="3"/>
  <c r="G30" i="3"/>
  <c r="F30" i="3"/>
  <c r="C30" i="3"/>
  <c r="B30" i="3"/>
  <c r="A30" i="3"/>
  <c r="G27" i="3"/>
  <c r="F27" i="3"/>
  <c r="C27" i="3"/>
  <c r="B27" i="3"/>
  <c r="A27" i="3"/>
  <c r="G26" i="3"/>
  <c r="F26" i="3"/>
  <c r="C26" i="3"/>
  <c r="B26" i="3"/>
  <c r="A26" i="3"/>
  <c r="G25" i="3"/>
  <c r="F25" i="3"/>
  <c r="C25" i="3"/>
  <c r="B25" i="3"/>
  <c r="A25" i="3"/>
  <c r="G22" i="3"/>
  <c r="F22" i="3"/>
  <c r="C22" i="3"/>
  <c r="B22" i="3"/>
  <c r="A22" i="3"/>
  <c r="G21" i="3"/>
  <c r="F21" i="3"/>
  <c r="C21" i="3"/>
  <c r="B21" i="3"/>
  <c r="A21" i="3"/>
  <c r="G20" i="3"/>
  <c r="F20" i="3"/>
  <c r="C20" i="3"/>
  <c r="B20" i="3"/>
  <c r="A20" i="3"/>
  <c r="G19" i="3"/>
  <c r="F19" i="3"/>
  <c r="C19" i="3"/>
  <c r="B19" i="3"/>
  <c r="A19" i="3"/>
  <c r="G18" i="3"/>
  <c r="F18" i="3"/>
  <c r="C18" i="3"/>
  <c r="B18" i="3"/>
  <c r="A18" i="3"/>
  <c r="G17" i="3"/>
  <c r="F17" i="3"/>
  <c r="C17" i="3"/>
  <c r="B17" i="3"/>
  <c r="A17" i="3"/>
  <c r="G16" i="3"/>
  <c r="F16" i="3"/>
  <c r="C16" i="3"/>
  <c r="B16" i="3"/>
  <c r="A16" i="3"/>
  <c r="G15" i="3"/>
  <c r="F15" i="3"/>
  <c r="C15" i="3"/>
  <c r="B15" i="3"/>
  <c r="A15" i="3"/>
  <c r="G14" i="3"/>
  <c r="F14" i="3"/>
  <c r="C14" i="3"/>
  <c r="B14" i="3"/>
  <c r="A14" i="3"/>
  <c r="G13" i="3"/>
  <c r="F13" i="3"/>
  <c r="C13" i="3"/>
  <c r="B13" i="3"/>
  <c r="A13" i="3"/>
  <c r="G12" i="3"/>
  <c r="F12" i="3"/>
  <c r="C12" i="3"/>
  <c r="B12" i="3"/>
  <c r="A12" i="3"/>
  <c r="G11" i="3"/>
  <c r="F11" i="3"/>
  <c r="C11" i="3"/>
  <c r="B11" i="3"/>
  <c r="A11" i="3"/>
  <c r="G10" i="3"/>
  <c r="F10" i="3"/>
  <c r="C10" i="3"/>
  <c r="B10" i="3"/>
  <c r="A10" i="3"/>
  <c r="G9" i="3"/>
  <c r="F9" i="3"/>
  <c r="C9" i="3"/>
  <c r="B9" i="3"/>
  <c r="A9" i="3"/>
  <c r="G8" i="3"/>
  <c r="F8" i="3"/>
  <c r="C8" i="3"/>
  <c r="B8" i="3"/>
  <c r="A8" i="3"/>
  <c r="G7" i="3"/>
  <c r="F7" i="3"/>
  <c r="C7" i="3"/>
  <c r="B7" i="3"/>
  <c r="A7" i="3"/>
  <c r="C32" i="2"/>
  <c r="B32" i="2"/>
  <c r="A32" i="2"/>
  <c r="G31" i="2"/>
  <c r="F31" i="2"/>
  <c r="C31" i="2"/>
  <c r="B31" i="2"/>
  <c r="A31" i="2"/>
  <c r="G27" i="2"/>
  <c r="F27" i="2"/>
  <c r="C27" i="2"/>
  <c r="B27" i="2"/>
  <c r="A27" i="2"/>
  <c r="G26" i="2"/>
  <c r="F26" i="2"/>
  <c r="C26" i="2"/>
  <c r="B26" i="2"/>
  <c r="A26" i="2"/>
  <c r="G25" i="2"/>
  <c r="F25" i="2"/>
  <c r="C25" i="2"/>
  <c r="B25" i="2"/>
  <c r="A25" i="2"/>
  <c r="G24" i="2"/>
  <c r="F24" i="2"/>
  <c r="C24" i="2"/>
  <c r="B24" i="2"/>
  <c r="A24" i="2"/>
  <c r="G23" i="2"/>
  <c r="F23" i="2"/>
  <c r="C23" i="2"/>
  <c r="B23" i="2"/>
  <c r="A23" i="2"/>
  <c r="G22" i="2"/>
  <c r="F22" i="2"/>
  <c r="C22" i="2"/>
  <c r="B22" i="2"/>
  <c r="A22" i="2"/>
  <c r="G21" i="2"/>
  <c r="F21" i="2"/>
  <c r="C21" i="2"/>
  <c r="B21" i="2"/>
  <c r="A21" i="2"/>
  <c r="G20" i="2"/>
  <c r="F20" i="2"/>
  <c r="C20" i="2"/>
  <c r="B20" i="2"/>
  <c r="A20" i="2"/>
  <c r="G19" i="2"/>
  <c r="F19" i="2"/>
  <c r="C19" i="2"/>
  <c r="B19" i="2"/>
  <c r="A19" i="2"/>
  <c r="G18" i="2"/>
  <c r="F18" i="2"/>
  <c r="C18" i="2"/>
  <c r="B18" i="2"/>
  <c r="A18" i="2"/>
  <c r="G17" i="2"/>
  <c r="F17" i="2"/>
  <c r="C17" i="2"/>
  <c r="B17" i="2"/>
  <c r="A17" i="2"/>
  <c r="G16" i="2"/>
  <c r="F16" i="2"/>
  <c r="C16" i="2"/>
  <c r="B16" i="2"/>
  <c r="A16" i="2"/>
  <c r="G15" i="2"/>
  <c r="F15" i="2"/>
  <c r="C15" i="2"/>
  <c r="B15" i="2"/>
  <c r="A15" i="2"/>
  <c r="G14" i="2"/>
  <c r="F14" i="2"/>
  <c r="C14" i="2"/>
  <c r="B14" i="2"/>
  <c r="A14" i="2"/>
  <c r="G13" i="2"/>
  <c r="F13" i="2"/>
  <c r="C13" i="2"/>
  <c r="B13" i="2"/>
  <c r="A13" i="2"/>
  <c r="G12" i="2"/>
  <c r="F12" i="2"/>
  <c r="C12" i="2"/>
  <c r="B12" i="2"/>
  <c r="A12" i="2"/>
  <c r="G11" i="2"/>
  <c r="F11" i="2"/>
  <c r="C11" i="2"/>
  <c r="B11" i="2"/>
  <c r="A11" i="2"/>
  <c r="G10" i="2"/>
  <c r="F10" i="2"/>
  <c r="C10" i="2"/>
  <c r="B10" i="2"/>
  <c r="A10" i="2"/>
  <c r="G9" i="2"/>
  <c r="F9" i="2"/>
  <c r="C9" i="2"/>
  <c r="B9" i="2"/>
  <c r="A9" i="2"/>
  <c r="G8" i="2"/>
  <c r="F8" i="2"/>
  <c r="C8" i="2"/>
  <c r="B8" i="2"/>
  <c r="A8" i="2"/>
  <c r="G7" i="2"/>
  <c r="F7" i="2"/>
  <c r="C7" i="2"/>
  <c r="B7" i="2"/>
  <c r="A7" i="2"/>
  <c r="B38" i="42" l="1"/>
  <c r="B61" i="42" s="1"/>
</calcChain>
</file>

<file path=xl/sharedStrings.xml><?xml version="1.0" encoding="utf-8"?>
<sst xmlns="http://schemas.openxmlformats.org/spreadsheetml/2006/main" count="26237" uniqueCount="12113">
  <si>
    <t>Master Liste - Salsaflow Dance Company</t>
  </si>
  <si>
    <t>Mobile</t>
  </si>
  <si>
    <t>Vorname</t>
  </si>
  <si>
    <t>Name</t>
  </si>
  <si>
    <t>m/w</t>
  </si>
  <si>
    <t>Tarif</t>
  </si>
  <si>
    <t>Email</t>
  </si>
  <si>
    <t>Adresse</t>
  </si>
  <si>
    <t>Postleitzahl</t>
  </si>
  <si>
    <t>Quelle</t>
  </si>
  <si>
    <t>0764032801</t>
  </si>
  <si>
    <t>Adrian</t>
  </si>
  <si>
    <t>Bartella</t>
  </si>
  <si>
    <t>adrian.bartella@gmx.net</t>
  </si>
  <si>
    <t>stadthausgasse 15</t>
  </si>
  <si>
    <t>4051 Basel</t>
  </si>
  <si>
    <t>0786855151</t>
  </si>
  <si>
    <t>Baumeyer</t>
  </si>
  <si>
    <t>adrian.baumeyer@gmail.com</t>
  </si>
  <si>
    <t>Belchenring 53</t>
  </si>
  <si>
    <t>4123 Allschwil</t>
  </si>
  <si>
    <t>Aglaia</t>
  </si>
  <si>
    <t>Graf</t>
  </si>
  <si>
    <t>aglaiagraf@gmx.ch</t>
  </si>
  <si>
    <t>stadthausgasse 16</t>
  </si>
  <si>
    <t>4052 Basel</t>
  </si>
  <si>
    <t>0765598635</t>
  </si>
  <si>
    <t>alberto</t>
  </si>
  <si>
    <t>iannicca</t>
  </si>
  <si>
    <t>alberto.iannicca@gmx.ch</t>
  </si>
  <si>
    <t>Belchenring 54</t>
  </si>
  <si>
    <t>4124 Allschwil</t>
  </si>
  <si>
    <t>0796882436</t>
  </si>
  <si>
    <t>Aldiana</t>
  </si>
  <si>
    <t>Mazza</t>
  </si>
  <si>
    <t>aldiana.mazza@bluewin.ch</t>
  </si>
  <si>
    <t>stadthausgasse 17</t>
  </si>
  <si>
    <t>4053 Basel</t>
  </si>
  <si>
    <t>0796191628</t>
  </si>
  <si>
    <t>Aleksandra</t>
  </si>
  <si>
    <t>Heinrich</t>
  </si>
  <si>
    <t>aleksandra.heinrich@gmail.com</t>
  </si>
  <si>
    <t>Belchenring 55</t>
  </si>
  <si>
    <t>4125 Allschwil</t>
  </si>
  <si>
    <t>0787964480</t>
  </si>
  <si>
    <t>Alessandra</t>
  </si>
  <si>
    <t>Carlino</t>
  </si>
  <si>
    <t>a.carlino@gmx.ch</t>
  </si>
  <si>
    <t>stadthausgasse 18</t>
  </si>
  <si>
    <t>4054 Basel</t>
  </si>
  <si>
    <t>0796647491</t>
  </si>
  <si>
    <t>Aletta</t>
  </si>
  <si>
    <t>Kuhn</t>
  </si>
  <si>
    <t>aletta.kuhn@gmail.com</t>
  </si>
  <si>
    <t>Belchenring 56</t>
  </si>
  <si>
    <t>4126 Allschwil</t>
  </si>
  <si>
    <t>0786861893</t>
  </si>
  <si>
    <t>Alexander</t>
  </si>
  <si>
    <t>Dieter</t>
  </si>
  <si>
    <t>alex_dieter@hotmail.com</t>
  </si>
  <si>
    <t>stadthausgasse 19</t>
  </si>
  <si>
    <t>4055 Basel</t>
  </si>
  <si>
    <t>0797848703</t>
  </si>
  <si>
    <t>Fuentes</t>
  </si>
  <si>
    <t>fuental@gmx.net</t>
  </si>
  <si>
    <t>Belchenring 57</t>
  </si>
  <si>
    <t>4127 Allschwil</t>
  </si>
  <si>
    <t>0033611926373</t>
  </si>
  <si>
    <t>Alexandra</t>
  </si>
  <si>
    <t>Molnar</t>
  </si>
  <si>
    <t>Al-ex.m@hotmail.fr</t>
  </si>
  <si>
    <t>stadthausgasse 20</t>
  </si>
  <si>
    <t>4056 Basel</t>
  </si>
  <si>
    <t>0794648772</t>
  </si>
  <si>
    <t>Bunge</t>
  </si>
  <si>
    <t>alexandrabunge@bluewin.ch</t>
  </si>
  <si>
    <t>Belchenring 58</t>
  </si>
  <si>
    <t>4128 Allschwil</t>
  </si>
  <si>
    <t>0792673275</t>
  </si>
  <si>
    <t>Plattner</t>
  </si>
  <si>
    <t>alexandra.plattner@hotmail.com</t>
  </si>
  <si>
    <t>stadthausgasse 21</t>
  </si>
  <si>
    <t>4057 Basel</t>
  </si>
  <si>
    <t>0792227006</t>
  </si>
  <si>
    <t>Jenal</t>
  </si>
  <si>
    <t>Alexandra.jenal@gmail.com</t>
  </si>
  <si>
    <t>Belchenring 59</t>
  </si>
  <si>
    <t>4129 Allschwil</t>
  </si>
  <si>
    <t>0797801501</t>
  </si>
  <si>
    <t>Siegenthaler</t>
  </si>
  <si>
    <t>a.siegenthaler@hotmail.com</t>
  </si>
  <si>
    <t>stadthausgasse 22</t>
  </si>
  <si>
    <t>4058 Basel</t>
  </si>
  <si>
    <t>Alexandra y Adrian</t>
  </si>
  <si>
    <t>baumeyer.alexandra@gmail.com</t>
  </si>
  <si>
    <t>Belchenring 60</t>
  </si>
  <si>
    <t>4130 Allschwil</t>
  </si>
  <si>
    <t>0795405942</t>
  </si>
  <si>
    <t>Alice</t>
  </si>
  <si>
    <t>Tolmer</t>
  </si>
  <si>
    <t>alice.tolmer@gmail.com</t>
  </si>
  <si>
    <t>stadthausgasse 23</t>
  </si>
  <si>
    <t>4059 Basel</t>
  </si>
  <si>
    <t>0791201078</t>
  </si>
  <si>
    <t>Alicia</t>
  </si>
  <si>
    <t>Kerbrat</t>
  </si>
  <si>
    <t>shoupi4@hotmail.com</t>
  </si>
  <si>
    <t>Belchenring 61</t>
  </si>
  <si>
    <t>4131 Allschwil</t>
  </si>
  <si>
    <t>Alison</t>
  </si>
  <si>
    <t>Lamb</t>
  </si>
  <si>
    <t>alison.lamb@roche.com</t>
  </si>
  <si>
    <t>stadthausgasse 24</t>
  </si>
  <si>
    <t>4060 Basel</t>
  </si>
  <si>
    <t>0795453654</t>
  </si>
  <si>
    <t>Alma</t>
  </si>
  <si>
    <t>Voser</t>
  </si>
  <si>
    <t>alma_voser@yahoo.de</t>
  </si>
  <si>
    <t>Belchenring 62</t>
  </si>
  <si>
    <t>4132 Allschwil</t>
  </si>
  <si>
    <t>0787050829</t>
  </si>
  <si>
    <t>Amanda</t>
  </si>
  <si>
    <t>Scott</t>
  </si>
  <si>
    <t>amandaes@hotmail.com</t>
  </si>
  <si>
    <t>stadthausgasse 25</t>
  </si>
  <si>
    <t>4061 Basel</t>
  </si>
  <si>
    <t>0795978220</t>
  </si>
  <si>
    <t>Ana </t>
  </si>
  <si>
    <t>da Silva Correia</t>
  </si>
  <si>
    <t>anadsc@gmail.com</t>
  </si>
  <si>
    <t>Belchenring 63</t>
  </si>
  <si>
    <t>4133 Allschwil</t>
  </si>
  <si>
    <t>0787171226</t>
  </si>
  <si>
    <t>Ana</t>
  </si>
  <si>
    <t>Morales</t>
  </si>
  <si>
    <t>anaestermorales@ymail.com</t>
  </si>
  <si>
    <t>stadthausgasse 26</t>
  </si>
  <si>
    <t>4062 Basel</t>
  </si>
  <si>
    <t>0799543183</t>
  </si>
  <si>
    <t>Lopes</t>
  </si>
  <si>
    <t>alopes.rust@gmail.com</t>
  </si>
  <si>
    <t>Belchenring 64</t>
  </si>
  <si>
    <t>4134 Allschwil</t>
  </si>
  <si>
    <t>Ana Maria</t>
  </si>
  <si>
    <t>Carrillo</t>
  </si>
  <si>
    <t>anica1979@hotmail.com</t>
  </si>
  <si>
    <t>stadthausgasse 27</t>
  </si>
  <si>
    <t>4063 Basel</t>
  </si>
  <si>
    <t>0797506526</t>
  </si>
  <si>
    <t>Andi</t>
  </si>
  <si>
    <t>Meier</t>
  </si>
  <si>
    <t>and_meier@hotmail.com</t>
  </si>
  <si>
    <t>stadthausgasse 28</t>
  </si>
  <si>
    <t>4064 Basel</t>
  </si>
  <si>
    <t>0017221892089</t>
  </si>
  <si>
    <t>Andrea</t>
  </si>
  <si>
    <t>Theis</t>
  </si>
  <si>
    <t>andrea_theis@yahoo.de</t>
  </si>
  <si>
    <t>Belchenring 66</t>
  </si>
  <si>
    <t>4136 Allschwil</t>
  </si>
  <si>
    <t>Häberlin</t>
  </si>
  <si>
    <t>ahaeberlin@gmx.ch</t>
  </si>
  <si>
    <t>stadthausgasse 29</t>
  </si>
  <si>
    <t>4065 Basel</t>
  </si>
  <si>
    <t>Schäfer</t>
  </si>
  <si>
    <t>andrea.schaefer@gmx.ch</t>
  </si>
  <si>
    <t>Belchenring 67</t>
  </si>
  <si>
    <t>4137 Allschwil</t>
  </si>
  <si>
    <t>0765062732</t>
  </si>
  <si>
    <t>Schmitter</t>
  </si>
  <si>
    <t>andrea.schmitter@hotmail.com</t>
  </si>
  <si>
    <t>stadthausgasse 30</t>
  </si>
  <si>
    <t>4066 Basel</t>
  </si>
  <si>
    <t>0491774479811</t>
  </si>
  <si>
    <t>Collatz</t>
  </si>
  <si>
    <t>andreacollatz@gmx.de</t>
  </si>
  <si>
    <t>Belchenring 68</t>
  </si>
  <si>
    <t>4138 Allschwil</t>
  </si>
  <si>
    <t>0774549009</t>
  </si>
  <si>
    <t>Annina</t>
  </si>
  <si>
    <t>Stooss</t>
  </si>
  <si>
    <t>Annina@stooss.ch</t>
  </si>
  <si>
    <t>stadthausgasse 31</t>
  </si>
  <si>
    <t>4067 Basel</t>
  </si>
  <si>
    <t>0763270815</t>
  </si>
  <si>
    <t>Striebel</t>
  </si>
  <si>
    <t>a.striebel@gmx.ch</t>
  </si>
  <si>
    <t>Belchenring 69</t>
  </si>
  <si>
    <t>4139 Allschwil</t>
  </si>
  <si>
    <t>0787731548</t>
  </si>
  <si>
    <t>Antonio / Desirée</t>
  </si>
  <si>
    <t>Perla</t>
  </si>
  <si>
    <t>a.perla@bluewin.ch</t>
  </si>
  <si>
    <t>stadthausgasse 32</t>
  </si>
  <si>
    <t>4068 Basel</t>
  </si>
  <si>
    <t>0767759451</t>
  </si>
  <si>
    <t>Araceli</t>
  </si>
  <si>
    <t>Lamelas Cabello</t>
  </si>
  <si>
    <t>araceli.lamelas@unibas.ch</t>
  </si>
  <si>
    <t>Belchenring 70</t>
  </si>
  <si>
    <t>4140 Allschwil</t>
  </si>
  <si>
    <t>0796680215</t>
  </si>
  <si>
    <t>Armin</t>
  </si>
  <si>
    <t>Barandun</t>
  </si>
  <si>
    <t>arminbarandun@datacomm.ch</t>
  </si>
  <si>
    <t>stadthausgasse 33</t>
  </si>
  <si>
    <t>4069 Basel</t>
  </si>
  <si>
    <t>0786768889</t>
  </si>
  <si>
    <t>Arun (männlich)</t>
  </si>
  <si>
    <t>Wadhawan</t>
  </si>
  <si>
    <t>poloarun@yahoo.com</t>
  </si>
  <si>
    <t>Belchenring 71</t>
  </si>
  <si>
    <t>4141 Allschwil</t>
  </si>
  <si>
    <t>0797070796</t>
  </si>
  <si>
    <t>Astrid</t>
  </si>
  <si>
    <t>Zubler</t>
  </si>
  <si>
    <t>astrid.zubler@bluewin.ch</t>
  </si>
  <si>
    <t>stadthausgasse 34</t>
  </si>
  <si>
    <t>4070 Basel</t>
  </si>
  <si>
    <t>Fink</t>
  </si>
  <si>
    <t>juerg.fink@bluewin.ch</t>
  </si>
  <si>
    <t>Belchenring 72</t>
  </si>
  <si>
    <t>4142 Allschwil</t>
  </si>
  <si>
    <t>0793867737</t>
  </si>
  <si>
    <t>Atiya </t>
  </si>
  <si>
    <t>Özkaya</t>
  </si>
  <si>
    <t>atiya_oezkaya@hotmail.com</t>
  </si>
  <si>
    <t>stadthausgasse 35</t>
  </si>
  <si>
    <t>4071 Basel</t>
  </si>
  <si>
    <t>0786001845</t>
  </si>
  <si>
    <t>Azucena</t>
  </si>
  <si>
    <t>Blanco</t>
  </si>
  <si>
    <t>azucena@bluewin.ch</t>
  </si>
  <si>
    <t>Belchenring 73</t>
  </si>
  <si>
    <t>4143 Allschwil</t>
  </si>
  <si>
    <t>0762468783</t>
  </si>
  <si>
    <t>Balazs</t>
  </si>
  <si>
    <t>Szenzenstein</t>
  </si>
  <si>
    <t>szenzibalazs@gmail.com</t>
  </si>
  <si>
    <t>stadthausgasse 36</t>
  </si>
  <si>
    <t>4072 Basel</t>
  </si>
  <si>
    <t>Barbara </t>
  </si>
  <si>
    <t>Heil</t>
  </si>
  <si>
    <t>barbara.heil@mails.ch</t>
  </si>
  <si>
    <t>Belchenring 74</t>
  </si>
  <si>
    <t>4144 Allschwil</t>
  </si>
  <si>
    <t>0786859037</t>
  </si>
  <si>
    <t>Barbara</t>
  </si>
  <si>
    <t>Reuteler</t>
  </si>
  <si>
    <t>bareuteler@hispeed.ch</t>
  </si>
  <si>
    <t>stadthausgasse 37</t>
  </si>
  <si>
    <t>4073 Basel</t>
  </si>
  <si>
    <t>0796868752</t>
  </si>
  <si>
    <t>Bottazzini</t>
  </si>
  <si>
    <t>bottazzini77@yahoo.de</t>
  </si>
  <si>
    <t>Belchenring 75</t>
  </si>
  <si>
    <t>4145 Allschwil</t>
  </si>
  <si>
    <t>Senger</t>
  </si>
  <si>
    <t>barbara.senger@gmx.de</t>
  </si>
  <si>
    <t>stadthausgasse 38</t>
  </si>
  <si>
    <t>4074 Basel</t>
  </si>
  <si>
    <t>Kehrli</t>
  </si>
  <si>
    <t>barbara.kehrli@bluemail.ch</t>
  </si>
  <si>
    <t>Belchenring 76</t>
  </si>
  <si>
    <t>4146 Allschwil</t>
  </si>
  <si>
    <t>0795465474</t>
  </si>
  <si>
    <t>Tank</t>
  </si>
  <si>
    <t>b.tank@gmx.ch</t>
  </si>
  <si>
    <t>stadthausgasse 39</t>
  </si>
  <si>
    <t>4075 Basel</t>
  </si>
  <si>
    <t>0764364056</t>
  </si>
  <si>
    <t>Ballmer</t>
  </si>
  <si>
    <t>bkouadio@gmx.ch</t>
  </si>
  <si>
    <t>Belchenring 77</t>
  </si>
  <si>
    <t>4147 Allschwil</t>
  </si>
  <si>
    <t>Beat</t>
  </si>
  <si>
    <t>Michel</t>
  </si>
  <si>
    <t>michelmichel@bluewin.ch</t>
  </si>
  <si>
    <t>stadthausgasse 40</t>
  </si>
  <si>
    <t>4076 Basel</t>
  </si>
  <si>
    <t>Beat </t>
  </si>
  <si>
    <t>Schönenberger</t>
  </si>
  <si>
    <t>bs67@bluewin.ch</t>
  </si>
  <si>
    <t>Belchenring 78</t>
  </si>
  <si>
    <t>4148 Allschwil</t>
  </si>
  <si>
    <t>0796859151</t>
  </si>
  <si>
    <t>Beatrice</t>
  </si>
  <si>
    <t>Moser</t>
  </si>
  <si>
    <t>bea-moser@bluewin.ch</t>
  </si>
  <si>
    <t>stadthausgasse 41</t>
  </si>
  <si>
    <t>4077 Basel</t>
  </si>
  <si>
    <t>0763471717</t>
  </si>
  <si>
    <t>Alioth</t>
  </si>
  <si>
    <t>bfifty2@sunrise.ch</t>
  </si>
  <si>
    <t>Belchenring 79</t>
  </si>
  <si>
    <t>4149 Allschwil</t>
  </si>
  <si>
    <t>Ben</t>
  </si>
  <si>
    <t>Gregor-Smith</t>
  </si>
  <si>
    <t>bengregorsmith@hotmail.com</t>
  </si>
  <si>
    <t>stadthausgasse 42</t>
  </si>
  <si>
    <t>4078 Basel</t>
  </si>
  <si>
    <t>004917650875000</t>
  </si>
  <si>
    <t>Benedikt</t>
  </si>
  <si>
    <t>Simons</t>
  </si>
  <si>
    <t>benedikt.simons@gmx.ch</t>
  </si>
  <si>
    <t>Belchenring 80</t>
  </si>
  <si>
    <t>4150 Allschwil</t>
  </si>
  <si>
    <t>0793287870</t>
  </si>
  <si>
    <t>Benjamin</t>
  </si>
  <si>
    <t>Schmeitzky</t>
  </si>
  <si>
    <t>benjamin.schmeitzky@gmail.com</t>
  </si>
  <si>
    <t>stadthausgasse 43</t>
  </si>
  <si>
    <t>4079 Basel</t>
  </si>
  <si>
    <t>0787252760</t>
  </si>
  <si>
    <t>Bethan</t>
  </si>
  <si>
    <t>Johnson</t>
  </si>
  <si>
    <t>bethan_caroline.johnson@novartis.com</t>
  </si>
  <si>
    <t>Belchenring 81</t>
  </si>
  <si>
    <t>4151 Allschwil</t>
  </si>
  <si>
    <t>Bianca</t>
  </si>
  <si>
    <t>Pfarr</t>
  </si>
  <si>
    <t>bianca_pfarr@gmx.de</t>
  </si>
  <si>
    <t>stadthausgasse 44</t>
  </si>
  <si>
    <t>4080 Basel</t>
  </si>
  <si>
    <t>0763873190</t>
  </si>
  <si>
    <t>Björn</t>
  </si>
  <si>
    <t>Thoma</t>
  </si>
  <si>
    <t>bjoernthoma@gmx.ch</t>
  </si>
  <si>
    <t>Belchenring 82</t>
  </si>
  <si>
    <t>4152 Allschwil</t>
  </si>
  <si>
    <t>004917621526059</t>
  </si>
  <si>
    <t>Britta</t>
  </si>
  <si>
    <t>Schweinlin</t>
  </si>
  <si>
    <t>BrittaSchweinlin@web.de</t>
  </si>
  <si>
    <t>stadthausgasse 45</t>
  </si>
  <si>
    <t>4081 Basel</t>
  </si>
  <si>
    <t>0041616817431 </t>
  </si>
  <si>
    <t>Knapp</t>
  </si>
  <si>
    <t>britta.knapp@gmx.de</t>
  </si>
  <si>
    <t>Belchenring 83</t>
  </si>
  <si>
    <t>4153 Allschwil</t>
  </si>
  <si>
    <t>0796657243</t>
  </si>
  <si>
    <t>Candida</t>
  </si>
  <si>
    <t>Knüsel</t>
  </si>
  <si>
    <t>knuesel@hotmail.com</t>
  </si>
  <si>
    <t>stadthausgasse 46</t>
  </si>
  <si>
    <t>4082 Basel</t>
  </si>
  <si>
    <t>0764200272</t>
  </si>
  <si>
    <t>Canelli</t>
  </si>
  <si>
    <t>Maria</t>
  </si>
  <si>
    <t>maria_c_76@yahoo.fr</t>
  </si>
  <si>
    <t>Belchenring 84</t>
  </si>
  <si>
    <t>4154 Allschwil</t>
  </si>
  <si>
    <t>0762182198</t>
  </si>
  <si>
    <t>Carballo</t>
  </si>
  <si>
    <t>Sebastian</t>
  </si>
  <si>
    <t>sebascarballo86@hotmail.com</t>
  </si>
  <si>
    <t>stadthausgasse 47</t>
  </si>
  <si>
    <t>4083 Basel</t>
  </si>
  <si>
    <t>Carina</t>
  </si>
  <si>
    <t>Lebherz</t>
  </si>
  <si>
    <t>dadari@gmx.at</t>
  </si>
  <si>
    <t>Belchenring 85</t>
  </si>
  <si>
    <t>4155 Allschwil</t>
  </si>
  <si>
    <t>Carine</t>
  </si>
  <si>
    <t>Manschott</t>
  </si>
  <si>
    <t>carinemanschott@hotmail.com</t>
  </si>
  <si>
    <t>stadthausgasse 48</t>
  </si>
  <si>
    <t>4084 Basel</t>
  </si>
  <si>
    <t>0764951508</t>
  </si>
  <si>
    <t>Carlo</t>
  </si>
  <si>
    <t>Wolf</t>
  </si>
  <si>
    <t>wolfi.c@gmx.ch</t>
  </si>
  <si>
    <t>Belchenring 86</t>
  </si>
  <si>
    <t>4156 Allschwil</t>
  </si>
  <si>
    <t>0788076700</t>
  </si>
  <si>
    <t>carlos</t>
  </si>
  <si>
    <t>amstutz</t>
  </si>
  <si>
    <t>doncarlosgabriel@hotmail.com</t>
  </si>
  <si>
    <t>stadthausgasse 49</t>
  </si>
  <si>
    <t>4085 Basel</t>
  </si>
  <si>
    <t>0763714864</t>
  </si>
  <si>
    <t>Carmen</t>
  </si>
  <si>
    <t>Held</t>
  </si>
  <si>
    <t>c.held@hispeed.ch</t>
  </si>
  <si>
    <t>Belchenring 87</t>
  </si>
  <si>
    <t>4157 Allschwil</t>
  </si>
  <si>
    <t>0798276374</t>
  </si>
  <si>
    <t>Zuber</t>
  </si>
  <si>
    <t>hexe.86@hotmail.com</t>
  </si>
  <si>
    <t>stadthausgasse 50</t>
  </si>
  <si>
    <t>4086 Basel</t>
  </si>
  <si>
    <t>0792632781</t>
  </si>
  <si>
    <t>Carolina </t>
  </si>
  <si>
    <t>Francos</t>
  </si>
  <si>
    <t>carolina.francos@hotmail.ch</t>
  </si>
  <si>
    <t>Belchenring 88</t>
  </si>
  <si>
    <t>4158 Allschwil</t>
  </si>
  <si>
    <t>Caterina</t>
  </si>
  <si>
    <t>Capaccioli</t>
  </si>
  <si>
    <t>caterina.capaccioli@novartis.com</t>
  </si>
  <si>
    <t>stadthausgasse 51</t>
  </si>
  <si>
    <t>4087 Basel</t>
  </si>
  <si>
    <t>0793355005</t>
  </si>
  <si>
    <t>Catherine</t>
  </si>
  <si>
    <t>Droeser</t>
  </si>
  <si>
    <t>cd@eg-architekten.ch</t>
  </si>
  <si>
    <t>Belchenring 89</t>
  </si>
  <si>
    <t>4159 Allschwil</t>
  </si>
  <si>
    <t>0788501732</t>
  </si>
  <si>
    <t>Thommen</t>
  </si>
  <si>
    <t>w</t>
  </si>
  <si>
    <t>Normal</t>
  </si>
  <si>
    <t>catherine.thommen@yahoo.de</t>
  </si>
  <si>
    <t>stadthausgasse 52</t>
  </si>
  <si>
    <t>4088 Basel</t>
  </si>
  <si>
    <t>0793430413</t>
  </si>
  <si>
    <t>Celine</t>
  </si>
  <si>
    <t>Leroux</t>
  </si>
  <si>
    <t>agnes.leroux@bluewin.ch</t>
  </si>
  <si>
    <t>Belchenring 90</t>
  </si>
  <si>
    <t>4160 Allschwil</t>
  </si>
  <si>
    <t>0788368825</t>
  </si>
  <si>
    <t>Pokorny</t>
  </si>
  <si>
    <t>C.pokorny@gmx.ch</t>
  </si>
  <si>
    <t>stadthausgasse 53</t>
  </si>
  <si>
    <t>4089 Basel</t>
  </si>
  <si>
    <t>Chantal</t>
  </si>
  <si>
    <t>Ruf</t>
  </si>
  <si>
    <t>chantal.ruf@gmx.ch</t>
  </si>
  <si>
    <t>Belchenring 91</t>
  </si>
  <si>
    <t>4161 Allschwil</t>
  </si>
  <si>
    <t>0795784915</t>
  </si>
  <si>
    <t>Wirz</t>
  </si>
  <si>
    <t>chantal_wirz@bluewin.ch</t>
  </si>
  <si>
    <t>stadthausgasse 54</t>
  </si>
  <si>
    <t>4090 Basel</t>
  </si>
  <si>
    <t>Charlotte</t>
  </si>
  <si>
    <t>Walder</t>
  </si>
  <si>
    <t>charlotte.walder@gmx.ch</t>
  </si>
  <si>
    <t>Belchenring 92</t>
  </si>
  <si>
    <t>4162 Allschwil</t>
  </si>
  <si>
    <t>Christa</t>
  </si>
  <si>
    <t>Bürki</t>
  </si>
  <si>
    <t>christa.buerki@teleport.ch</t>
  </si>
  <si>
    <t>stadthausgasse 55</t>
  </si>
  <si>
    <t>4091 Basel</t>
  </si>
  <si>
    <t>Christian</t>
  </si>
  <si>
    <t>Neumann</t>
  </si>
  <si>
    <t>christian.neumann@hispeed.ch</t>
  </si>
  <si>
    <t>Belchenring 93</t>
  </si>
  <si>
    <t>4163 Allschwil</t>
  </si>
  <si>
    <t>0794574848</t>
  </si>
  <si>
    <t>Stuker</t>
  </si>
  <si>
    <t>c.stuker@gmx.ch</t>
  </si>
  <si>
    <t>stadthausgasse 56</t>
  </si>
  <si>
    <t>4092 Basel</t>
  </si>
  <si>
    <t>Steiner</t>
  </si>
  <si>
    <t>christian.steiner@bman.ch</t>
  </si>
  <si>
    <t>Belchenring 94</t>
  </si>
  <si>
    <t>4164 Allschwil</t>
  </si>
  <si>
    <t>0764171701</t>
  </si>
  <si>
    <t>Müller</t>
  </si>
  <si>
    <t>chrimu76@yahoo.com</t>
  </si>
  <si>
    <t>stadthausgasse 57</t>
  </si>
  <si>
    <t>4093 Basel</t>
  </si>
  <si>
    <t>Friscic </t>
  </si>
  <si>
    <t>c.friscic@web.de</t>
  </si>
  <si>
    <t>Belchenring 95</t>
  </si>
  <si>
    <t>4165 Allschwil</t>
  </si>
  <si>
    <t>0774014927</t>
  </si>
  <si>
    <t>Manicke</t>
  </si>
  <si>
    <t>Christian.Manicke@gmx.de</t>
  </si>
  <si>
    <t>stadthausgasse 58</t>
  </si>
  <si>
    <t>4094 Basel</t>
  </si>
  <si>
    <t>0764587206</t>
  </si>
  <si>
    <t>Kammer</t>
  </si>
  <si>
    <t>c_kammer@vtxmail.ch</t>
  </si>
  <si>
    <t>Belchenring 96</t>
  </si>
  <si>
    <t>4166 Allschwil</t>
  </si>
  <si>
    <t>004915123050820</t>
  </si>
  <si>
    <t>von Nell</t>
  </si>
  <si>
    <t>christian.vonnell@web.de</t>
  </si>
  <si>
    <t>stadthausgasse 59</t>
  </si>
  <si>
    <t>4095 Basel</t>
  </si>
  <si>
    <t>0774481546</t>
  </si>
  <si>
    <t>Widmer</t>
  </si>
  <si>
    <t>Christian.widmer@roche.com</t>
  </si>
  <si>
    <t>Belchenring 97</t>
  </si>
  <si>
    <t>4167 Allschwil</t>
  </si>
  <si>
    <t>0797990789</t>
  </si>
  <si>
    <t>Keller</t>
  </si>
  <si>
    <t>kellerchristiando@yahoo.de</t>
  </si>
  <si>
    <t>stadthausgasse 60</t>
  </si>
  <si>
    <t>4096 Basel</t>
  </si>
  <si>
    <t>0799075278</t>
  </si>
  <si>
    <t>Christiane</t>
  </si>
  <si>
    <t>Zieschang</t>
  </si>
  <si>
    <t>chriszie@web.de</t>
  </si>
  <si>
    <t>Belchenring 98</t>
  </si>
  <si>
    <t>4168 Allschwil</t>
  </si>
  <si>
    <t>01786934409</t>
  </si>
  <si>
    <t>Christiane </t>
  </si>
  <si>
    <t>Schiel</t>
  </si>
  <si>
    <t>Christiane.Schiel@web.de</t>
  </si>
  <si>
    <t>stadthausgasse 61</t>
  </si>
  <si>
    <t>4097 Basel</t>
  </si>
  <si>
    <t>0799223171</t>
  </si>
  <si>
    <t>Christina</t>
  </si>
  <si>
    <t>Junvik</t>
  </si>
  <si>
    <t>christinajunvik@hotmail.com</t>
  </si>
  <si>
    <t>Belchenring 99</t>
  </si>
  <si>
    <t>4169 Allschwil</t>
  </si>
  <si>
    <t>001731537430</t>
  </si>
  <si>
    <t>Gebel</t>
  </si>
  <si>
    <t>gebelchristina@gmx.de</t>
  </si>
  <si>
    <t>stadthausgasse 62</t>
  </si>
  <si>
    <t>4098 Basel</t>
  </si>
  <si>
    <t>Christine</t>
  </si>
  <si>
    <t>Korkmaz</t>
  </si>
  <si>
    <t>christinekorkmaz@hotmail.com</t>
  </si>
  <si>
    <t>Belchenring 100</t>
  </si>
  <si>
    <t>4170 Allschwil</t>
  </si>
  <si>
    <t>Keutler</t>
  </si>
  <si>
    <t>chr.keutler@t-online.de</t>
  </si>
  <si>
    <t>stadthausgasse 63</t>
  </si>
  <si>
    <t>4099 Basel</t>
  </si>
  <si>
    <t>0765303655</t>
  </si>
  <si>
    <t>Haselbach</t>
  </si>
  <si>
    <t>ogbovoh-haselbach@bluewin.ch</t>
  </si>
  <si>
    <t>Belchenring 101</t>
  </si>
  <si>
    <t>4171 Allschwil</t>
  </si>
  <si>
    <t>Christoph</t>
  </si>
  <si>
    <t>Lütolf</t>
  </si>
  <si>
    <t>chluetolf@freesurf.ch</t>
  </si>
  <si>
    <t>stadthausgasse 64</t>
  </si>
  <si>
    <t>4100 Basel</t>
  </si>
  <si>
    <t>Berger</t>
  </si>
  <si>
    <t>bs.feldenkrais@bluewin.ch</t>
  </si>
  <si>
    <t>Belchenring 102</t>
  </si>
  <si>
    <t>4172 Allschwil</t>
  </si>
  <si>
    <t>0774272706</t>
  </si>
  <si>
    <t>Claire-lise </t>
  </si>
  <si>
    <t>Spinnler-Jenne</t>
  </si>
  <si>
    <t>clspinnler@hotmail.com</t>
  </si>
  <si>
    <t>stadthausgasse 65</t>
  </si>
  <si>
    <t>4101 Basel</t>
  </si>
  <si>
    <t>0797596135</t>
  </si>
  <si>
    <t>Claude</t>
  </si>
  <si>
    <t>Brauchbar</t>
  </si>
  <si>
    <t>claude@brauchbar.com</t>
  </si>
  <si>
    <t>Belchenring 103</t>
  </si>
  <si>
    <t>4173 Allschwil</t>
  </si>
  <si>
    <t>Claudia</t>
  </si>
  <si>
    <t>Karsten</t>
  </si>
  <si>
    <t>claudia.karsten@freesurf.ch</t>
  </si>
  <si>
    <t>stadthausgasse 66</t>
  </si>
  <si>
    <t>4102 Basel</t>
  </si>
  <si>
    <t>claudianm@gmx.de</t>
  </si>
  <si>
    <t>Belchenring 104</t>
  </si>
  <si>
    <t>4174 Allschwil</t>
  </si>
  <si>
    <t>0765375707</t>
  </si>
  <si>
    <t>Petrillo</t>
  </si>
  <si>
    <t>cli@gmx.net</t>
  </si>
  <si>
    <t>stadthausgasse 67</t>
  </si>
  <si>
    <t>4103 Basel</t>
  </si>
  <si>
    <t>0786693764</t>
  </si>
  <si>
    <t>Rother</t>
  </si>
  <si>
    <t>claudiarother@yahoo.de</t>
  </si>
  <si>
    <t>Belchenring 105</t>
  </si>
  <si>
    <t>4175 Allschwil</t>
  </si>
  <si>
    <t>0787940744</t>
  </si>
  <si>
    <t>Sigel</t>
  </si>
  <si>
    <t>csigel@bluewin.ch</t>
  </si>
  <si>
    <t>stadthausgasse 68</t>
  </si>
  <si>
    <t>4104 Basel</t>
  </si>
  <si>
    <t>0794541309</t>
  </si>
  <si>
    <t>Sutter</t>
  </si>
  <si>
    <t>cc.sutter@bluewin.ch</t>
  </si>
  <si>
    <t>Belchenring 106</t>
  </si>
  <si>
    <t>4176 Allschwil</t>
  </si>
  <si>
    <t>claudia</t>
  </si>
  <si>
    <t>weiss</t>
  </si>
  <si>
    <t>claudiaweiss@hotmail.ch</t>
  </si>
  <si>
    <t>stadthausgasse 69</t>
  </si>
  <si>
    <t>4105 Basel</t>
  </si>
  <si>
    <t>einsternamhimmelszelt@yahoo.de</t>
  </si>
  <si>
    <t>Belchenring 107</t>
  </si>
  <si>
    <t>4177 Allschwil</t>
  </si>
  <si>
    <t>0794296068</t>
  </si>
  <si>
    <t>Claudio</t>
  </si>
  <si>
    <t>Del Bianco</t>
  </si>
  <si>
    <t>ruccola@mail.com</t>
  </si>
  <si>
    <t>stadthausgasse 70</t>
  </si>
  <si>
    <t>4106 Basel</t>
  </si>
  <si>
    <t>0793287296</t>
  </si>
  <si>
    <t>Claudius</t>
  </si>
  <si>
    <t>Kratochwil</t>
  </si>
  <si>
    <t>claudius.kratochwil@fmi.ch</t>
  </si>
  <si>
    <t>Belchenring 108</t>
  </si>
  <si>
    <t>4178 Allschwil</t>
  </si>
  <si>
    <t>Conny</t>
  </si>
  <si>
    <t>Martin</t>
  </si>
  <si>
    <t>cornelia.martin@email.de</t>
  </si>
  <si>
    <t>stadthausgasse 71</t>
  </si>
  <si>
    <t>4107 Basel</t>
  </si>
  <si>
    <t>Corinne</t>
  </si>
  <si>
    <t>Schmidt</t>
  </si>
  <si>
    <t>schmico@hispeed.ch</t>
  </si>
  <si>
    <t>Belchenring 109</t>
  </si>
  <si>
    <t>4179 Allschwil</t>
  </si>
  <si>
    <t>0792096981</t>
  </si>
  <si>
    <t>Cornelia</t>
  </si>
  <si>
    <t>Jud</t>
  </si>
  <si>
    <t>opal.mond@gmx.ch</t>
  </si>
  <si>
    <t>stadthausgasse 72</t>
  </si>
  <si>
    <t>4108 Basel</t>
  </si>
  <si>
    <t>0763680508</t>
  </si>
  <si>
    <t>Cristobal</t>
  </si>
  <si>
    <t>Pena</t>
  </si>
  <si>
    <t>cryzto@cryzto.ch</t>
  </si>
  <si>
    <t>Belchenring 110</t>
  </si>
  <si>
    <t>4180 Allschwil</t>
  </si>
  <si>
    <t>0796881198</t>
  </si>
  <si>
    <t>Cyliane </t>
  </si>
  <si>
    <t>Howald</t>
  </si>
  <si>
    <t>cyliane91@yahoo.com</t>
  </si>
  <si>
    <t>stadthausgasse 73</t>
  </si>
  <si>
    <t>4109 Basel</t>
  </si>
  <si>
    <t>0787914148</t>
  </si>
  <si>
    <t>Céline</t>
  </si>
  <si>
    <t>Manrique</t>
  </si>
  <si>
    <t>c.folly@gmx.net</t>
  </si>
  <si>
    <t>Belchenring 111</t>
  </si>
  <si>
    <t>4181 Allschwil</t>
  </si>
  <si>
    <t>0792539954</t>
  </si>
  <si>
    <t>Cöline</t>
  </si>
  <si>
    <t>Burdet</t>
  </si>
  <si>
    <t>celine7_7@hotmail.com</t>
  </si>
  <si>
    <t>stadthausgasse 74</t>
  </si>
  <si>
    <t>4110 Basel</t>
  </si>
  <si>
    <t>0792852025</t>
  </si>
  <si>
    <t>Damir</t>
  </si>
  <si>
    <t>Mrdja</t>
  </si>
  <si>
    <t>damir.m@bluewin.ch</t>
  </si>
  <si>
    <t>Belchenring 112</t>
  </si>
  <si>
    <t>4182 Allschwil</t>
  </si>
  <si>
    <t>Dana</t>
  </si>
  <si>
    <t>Stokuca</t>
  </si>
  <si>
    <t>dna@hispeed.ch</t>
  </si>
  <si>
    <t>stadthausgasse 75</t>
  </si>
  <si>
    <t>4111 Basel</t>
  </si>
  <si>
    <t>0763747844</t>
  </si>
  <si>
    <t>Danica</t>
  </si>
  <si>
    <t>Plazinic</t>
  </si>
  <si>
    <t>danicaplazinic@yahoo.de</t>
  </si>
  <si>
    <t>Belchenring 113</t>
  </si>
  <si>
    <t>4183 Allschwil</t>
  </si>
  <si>
    <t>0796339230</t>
  </si>
  <si>
    <t>Daniel</t>
  </si>
  <si>
    <t>Gasser</t>
  </si>
  <si>
    <t>daniel.gasser@arwico.ch</t>
  </si>
  <si>
    <t>stadthausgasse 76</t>
  </si>
  <si>
    <t>4112 Basel</t>
  </si>
  <si>
    <t>0765286316</t>
  </si>
  <si>
    <t>Mettler</t>
  </si>
  <si>
    <t>dmettler@gmx.net</t>
  </si>
  <si>
    <t>Belchenring 114</t>
  </si>
  <si>
    <t>4184 Allschwil</t>
  </si>
  <si>
    <t>0764278865</t>
  </si>
  <si>
    <t>Rüegg</t>
  </si>
  <si>
    <t>anja_nick@web.de</t>
  </si>
  <si>
    <t>stadthausgasse 77</t>
  </si>
  <si>
    <t>4113 Basel</t>
  </si>
  <si>
    <t>0794254049</t>
  </si>
  <si>
    <t>Vasquez</t>
  </si>
  <si>
    <t>hardtrance@gmx.ch</t>
  </si>
  <si>
    <t>Belchenring 115</t>
  </si>
  <si>
    <t>4185 Allschwil</t>
  </si>
  <si>
    <t>0796747654</t>
  </si>
  <si>
    <t>Caprez</t>
  </si>
  <si>
    <t>info@caprez.name</t>
  </si>
  <si>
    <t>stadthausgasse 78</t>
  </si>
  <si>
    <t>4114 Basel</t>
  </si>
  <si>
    <t>0796675770</t>
  </si>
  <si>
    <t>Daniela</t>
  </si>
  <si>
    <t>Grogg</t>
  </si>
  <si>
    <t>daniela_grogg@yahoo.com</t>
  </si>
  <si>
    <t>Belchenring 116</t>
  </si>
  <si>
    <t>4186 Allschwil</t>
  </si>
  <si>
    <t>07622136803</t>
  </si>
  <si>
    <t>Gabriel</t>
  </si>
  <si>
    <t>d_gabriel68@hotmail.com</t>
  </si>
  <si>
    <t>stadthausgasse 79</t>
  </si>
  <si>
    <t>4115 Basel</t>
  </si>
  <si>
    <t>0796289300</t>
  </si>
  <si>
    <t>Arena</t>
  </si>
  <si>
    <t>daniela.arena@hotmail.com</t>
  </si>
  <si>
    <t>Belchenring 117</t>
  </si>
  <si>
    <t>4187 Allschwil</t>
  </si>
  <si>
    <t>Klotz</t>
  </si>
  <si>
    <t>Daniela.Klotz@gmx.net</t>
  </si>
  <si>
    <t>stadthausgasse 80</t>
  </si>
  <si>
    <t>4116 Basel</t>
  </si>
  <si>
    <t>0796585320</t>
  </si>
  <si>
    <t>Eigenmann</t>
  </si>
  <si>
    <t>danielaeigen@bluewin.ch</t>
  </si>
  <si>
    <t>Belchenring 118</t>
  </si>
  <si>
    <t>4188 Allschwil</t>
  </si>
  <si>
    <t>0795436451</t>
  </si>
  <si>
    <t>Dany</t>
  </si>
  <si>
    <t>Hugelshofer</t>
  </si>
  <si>
    <t>d.hugelshofer@bluemail.ch</t>
  </si>
  <si>
    <t>stadthausgasse 81</t>
  </si>
  <si>
    <t>4117 Basel</t>
  </si>
  <si>
    <t>Dario</t>
  </si>
  <si>
    <t>Giovanoli</t>
  </si>
  <si>
    <t>dgiovanoli@hotmail.com</t>
  </si>
  <si>
    <t>Belchenring 119</t>
  </si>
  <si>
    <t>4189 Allschwil</t>
  </si>
  <si>
    <t>0792989177</t>
  </si>
  <si>
    <t>David </t>
  </si>
  <si>
    <t>Zurbriggen</t>
  </si>
  <si>
    <t>david.zurbriggen@gmail.com</t>
  </si>
  <si>
    <t>stadthausgasse 82</t>
  </si>
  <si>
    <t>4118 Basel</t>
  </si>
  <si>
    <t>David</t>
  </si>
  <si>
    <t>Pearson</t>
  </si>
  <si>
    <t>david.kiwi.pearson@gmail.com</t>
  </si>
  <si>
    <t>Belchenring 120</t>
  </si>
  <si>
    <t>4190 Allschwil</t>
  </si>
  <si>
    <t>0763268740</t>
  </si>
  <si>
    <t>Mathys</t>
  </si>
  <si>
    <t>david.mathys@gmx.ch</t>
  </si>
  <si>
    <t>stadthausgasse 83</t>
  </si>
  <si>
    <t>4119 Basel</t>
  </si>
  <si>
    <t>0798952845</t>
  </si>
  <si>
    <t>Davide</t>
  </si>
  <si>
    <t>Calabrese</t>
  </si>
  <si>
    <t>davidecalabrese@postmail.ch</t>
  </si>
  <si>
    <t>Belchenring 121</t>
  </si>
  <si>
    <t>4191 Allschwil</t>
  </si>
  <si>
    <t>0788598644</t>
  </si>
  <si>
    <t>Debbie</t>
  </si>
  <si>
    <t>Neyer</t>
  </si>
  <si>
    <t>deneyer@hotmail.com</t>
  </si>
  <si>
    <t>stadthausgasse 84</t>
  </si>
  <si>
    <t>4120 Basel</t>
  </si>
  <si>
    <t>0787211996</t>
  </si>
  <si>
    <t>debora</t>
  </si>
  <si>
    <t>liechti</t>
  </si>
  <si>
    <t>de.liechti@gmx.net</t>
  </si>
  <si>
    <t>Belchenring 122</t>
  </si>
  <si>
    <t>4192 Allschwil</t>
  </si>
  <si>
    <t>Delphine</t>
  </si>
  <si>
    <t>Shelby</t>
  </si>
  <si>
    <t>delphineshelby@yahoo.com</t>
  </si>
  <si>
    <t>stadthausgasse 85</t>
  </si>
  <si>
    <t>4121 Basel</t>
  </si>
  <si>
    <t>0799617317</t>
  </si>
  <si>
    <t>Denis</t>
  </si>
  <si>
    <t>Arikci</t>
  </si>
  <si>
    <t>denis_arikci@gmx.ch</t>
  </si>
  <si>
    <t>Belchenring 123</t>
  </si>
  <si>
    <t>4193 Allschwil</t>
  </si>
  <si>
    <t>Denise</t>
  </si>
  <si>
    <t>Greif</t>
  </si>
  <si>
    <t>yvedolores@gmail.com</t>
  </si>
  <si>
    <t>stadthausgasse 86</t>
  </si>
  <si>
    <t>4122 Basel</t>
  </si>
  <si>
    <t>0764603421</t>
  </si>
  <si>
    <t>Deniz</t>
  </si>
  <si>
    <t>Demiroglu</t>
  </si>
  <si>
    <t>dionysos05@hotmail.com</t>
  </si>
  <si>
    <t>Belchenring 124</t>
  </si>
  <si>
    <t>4194 Allschwil</t>
  </si>
  <si>
    <t>004917622281230</t>
  </si>
  <si>
    <t>Desiree</t>
  </si>
  <si>
    <t>Litterst</t>
  </si>
  <si>
    <t>desireelitterst@gmx.de</t>
  </si>
  <si>
    <t>stadthausgasse 87</t>
  </si>
  <si>
    <t>4123 Basel</t>
  </si>
  <si>
    <t>0793791061</t>
  </si>
  <si>
    <t>Wiggli</t>
  </si>
  <si>
    <t>dieter.wiggli@wi-rm.ch</t>
  </si>
  <si>
    <t>Belchenring 125</t>
  </si>
  <si>
    <t>4195 Allschwil</t>
  </si>
  <si>
    <t>Dietmar</t>
  </si>
  <si>
    <t>Röbel</t>
  </si>
  <si>
    <t>D.Roebel@t-online.de</t>
  </si>
  <si>
    <t>stadthausgasse 88</t>
  </si>
  <si>
    <t>4124 Basel</t>
  </si>
  <si>
    <t>0041798904892</t>
  </si>
  <si>
    <t>Dimitri</t>
  </si>
  <si>
    <t>Surovec</t>
  </si>
  <si>
    <t>D.Surovec@gmx.de</t>
  </si>
  <si>
    <t>Belchenring 126</t>
  </si>
  <si>
    <t>4196 Allschwil</t>
  </si>
  <si>
    <t>0764063393</t>
  </si>
  <si>
    <t>Dominique</t>
  </si>
  <si>
    <t>Vocat</t>
  </si>
  <si>
    <t>dominique.vocat@gmx.de</t>
  </si>
  <si>
    <t>stadthausgasse 89</t>
  </si>
  <si>
    <t>4125 Basel</t>
  </si>
  <si>
    <t>0792720221</t>
  </si>
  <si>
    <t>Renz</t>
  </si>
  <si>
    <t>dominique.renz@bluewin.ch</t>
  </si>
  <si>
    <t>Belchenring 127</t>
  </si>
  <si>
    <t>4197 Allschwil</t>
  </si>
  <si>
    <t>Zumbach</t>
  </si>
  <si>
    <t>dominiquez@bluewin.ch</t>
  </si>
  <si>
    <t>stadthausgasse 90</t>
  </si>
  <si>
    <t>4126 Basel</t>
  </si>
  <si>
    <t>0797942438</t>
  </si>
  <si>
    <t>Dunja</t>
  </si>
  <si>
    <t>Vetter</t>
  </si>
  <si>
    <t>dunja_vetter@hotmail.com</t>
  </si>
  <si>
    <t>Belchenring 128</t>
  </si>
  <si>
    <t>4198 Allschwil</t>
  </si>
  <si>
    <t>0794857331</t>
  </si>
  <si>
    <t>Eika</t>
  </si>
  <si>
    <t>Usuda</t>
  </si>
  <si>
    <t>eikausuda@yahoo.de</t>
  </si>
  <si>
    <t>stadthausgasse 91</t>
  </si>
  <si>
    <t>4127 Basel</t>
  </si>
  <si>
    <t>0787670380</t>
  </si>
  <si>
    <t>Electra</t>
  </si>
  <si>
    <t>Giordari</t>
  </si>
  <si>
    <t>electra_giordari@hotmail.com</t>
  </si>
  <si>
    <t>Belchenring 129</t>
  </si>
  <si>
    <t>4199 Allschwil</t>
  </si>
  <si>
    <t>0795079905</t>
  </si>
  <si>
    <t>Elena</t>
  </si>
  <si>
    <t>Diolaiutti</t>
  </si>
  <si>
    <t>Elena.Diolaiutti@bl.ch</t>
  </si>
  <si>
    <t>stadthausgasse 92</t>
  </si>
  <si>
    <t>4128 Basel</t>
  </si>
  <si>
    <t>0786109822</t>
  </si>
  <si>
    <t>Eliane</t>
  </si>
  <si>
    <t>eliane.rueegg@gmail.com</t>
  </si>
  <si>
    <t>Belchenring 130</t>
  </si>
  <si>
    <t>4200 Allschwil</t>
  </si>
  <si>
    <t>Elisa</t>
  </si>
  <si>
    <t>Cob</t>
  </si>
  <si>
    <t>lisacob@gmx.ch</t>
  </si>
  <si>
    <t>stadthausgasse 93</t>
  </si>
  <si>
    <t>4129 Basel</t>
  </si>
  <si>
    <t>Ellena</t>
  </si>
  <si>
    <t>Rae</t>
  </si>
  <si>
    <t>rae.ellena@gmail.com</t>
  </si>
  <si>
    <t>Belchenring 131</t>
  </si>
  <si>
    <t>4201 Allschwil</t>
  </si>
  <si>
    <t>0795784616</t>
  </si>
  <si>
    <t>Emanuel</t>
  </si>
  <si>
    <t>Hauser</t>
  </si>
  <si>
    <t>emanuel@bluesprotection.ch</t>
  </si>
  <si>
    <t>stadthausgasse 94</t>
  </si>
  <si>
    <t>4130 Basel</t>
  </si>
  <si>
    <t>0681164407</t>
  </si>
  <si>
    <t>emilie</t>
  </si>
  <si>
    <t>schmitt</t>
  </si>
  <si>
    <t>emylou.s@hotmail.fr</t>
  </si>
  <si>
    <t>Belchenring 132</t>
  </si>
  <si>
    <t>4202 Allschwil</t>
  </si>
  <si>
    <t>0787708132</t>
  </si>
  <si>
    <t>Emilio</t>
  </si>
  <si>
    <t>Zoccolillo</t>
  </si>
  <si>
    <t>emilio.zoccolillo@freesurf.ch</t>
  </si>
  <si>
    <t>stadthausgasse 95</t>
  </si>
  <si>
    <t>4131 Basel</t>
  </si>
  <si>
    <t>0765105928</t>
  </si>
  <si>
    <t>Erasmo </t>
  </si>
  <si>
    <t>Zannin</t>
  </si>
  <si>
    <t>erasmo.zannini@gmail.com</t>
  </si>
  <si>
    <t>Belchenring 133</t>
  </si>
  <si>
    <t>4203 Allschwil</t>
  </si>
  <si>
    <t>0033660257890</t>
  </si>
  <si>
    <t>Eric</t>
  </si>
  <si>
    <t>Bertrand</t>
  </si>
  <si>
    <t>ericbertrand8686@yahoo.fr</t>
  </si>
  <si>
    <t>stadthausgasse 96</t>
  </si>
  <si>
    <t>4132 Basel</t>
  </si>
  <si>
    <t>0764205922</t>
  </si>
  <si>
    <t>Esmeralda</t>
  </si>
  <si>
    <t>Nava</t>
  </si>
  <si>
    <t>esnava@hotmail.com</t>
  </si>
  <si>
    <t>Belchenring 134</t>
  </si>
  <si>
    <t>4204 Allschwil</t>
  </si>
  <si>
    <t>0765809970</t>
  </si>
  <si>
    <t>Esteban</t>
  </si>
  <si>
    <t>Herrera</t>
  </si>
  <si>
    <t>este_herrera@hotmail.com</t>
  </si>
  <si>
    <t>stadthausgasse 97</t>
  </si>
  <si>
    <t>4133 Basel</t>
  </si>
  <si>
    <t>0764791114</t>
  </si>
  <si>
    <t>Estefania</t>
  </si>
  <si>
    <t>Nardella</t>
  </si>
  <si>
    <t>nar.dom@hotmail.com</t>
  </si>
  <si>
    <t>Belchenring 135</t>
  </si>
  <si>
    <t>4205 Allschwil</t>
  </si>
  <si>
    <t>esther</t>
  </si>
  <si>
    <t>kaufmann</t>
  </si>
  <si>
    <t>estherannamaria@hotmail.com</t>
  </si>
  <si>
    <t>stadthausgasse 98</t>
  </si>
  <si>
    <t>4134 Basel</t>
  </si>
  <si>
    <t>Eszter</t>
  </si>
  <si>
    <t>Bajna</t>
  </si>
  <si>
    <t>bajna.eszter@freesurf.ch</t>
  </si>
  <si>
    <t>Belchenring 136</t>
  </si>
  <si>
    <t>4206 Allschwil</t>
  </si>
  <si>
    <t>Eva</t>
  </si>
  <si>
    <t>Schaub</t>
  </si>
  <si>
    <t>info@gruenauge.com</t>
  </si>
  <si>
    <t>stadthausgasse 99</t>
  </si>
  <si>
    <t>4135 Basel</t>
  </si>
  <si>
    <t>0793057750</t>
  </si>
  <si>
    <t>Eva-Maria</t>
  </si>
  <si>
    <t>Gal</t>
  </si>
  <si>
    <t>e_gal@gmx.de</t>
  </si>
  <si>
    <t>Belchenring 137</t>
  </si>
  <si>
    <t>4207 Allschwil</t>
  </si>
  <si>
    <t>0764714803</t>
  </si>
  <si>
    <t>Eveline</t>
  </si>
  <si>
    <t>Brändlin</t>
  </si>
  <si>
    <t>fambraendlin@hotmail.com</t>
  </si>
  <si>
    <t>stadthausgasse 100</t>
  </si>
  <si>
    <t>4136 Basel</t>
  </si>
  <si>
    <t>Evelyne</t>
  </si>
  <si>
    <t>Jegde-Barbey</t>
  </si>
  <si>
    <t>ag.barbey@datacomm.ch</t>
  </si>
  <si>
    <t>Belchenring 138</t>
  </si>
  <si>
    <t>4208 Allschwil</t>
  </si>
  <si>
    <t>0792480282</t>
  </si>
  <si>
    <t>Fabian</t>
  </si>
  <si>
    <t>Leimgruber</t>
  </si>
  <si>
    <t>fabian.leimgruber@unibas.ch</t>
  </si>
  <si>
    <t>stadthausgasse 101</t>
  </si>
  <si>
    <t>4137 Basel</t>
  </si>
  <si>
    <t>0763444874</t>
  </si>
  <si>
    <t>Concha</t>
  </si>
  <si>
    <t>fabianpm@hotmail.com</t>
  </si>
  <si>
    <t>Belchenring 139</t>
  </si>
  <si>
    <t>4209 Allschwil</t>
  </si>
  <si>
    <t>0765399906</t>
  </si>
  <si>
    <t>Fabienne</t>
  </si>
  <si>
    <t>Priller</t>
  </si>
  <si>
    <t>fabienne_priller@hotmail.com</t>
  </si>
  <si>
    <t>stadthausgasse 102</t>
  </si>
  <si>
    <t>4138 Basel</t>
  </si>
  <si>
    <t>0792197859</t>
  </si>
  <si>
    <t>Fabio</t>
  </si>
  <si>
    <t>Perretta</t>
  </si>
  <si>
    <t>perretta@qs-engineering.ch</t>
  </si>
  <si>
    <t>Belchenring 140</t>
  </si>
  <si>
    <t>4210 Allschwil</t>
  </si>
  <si>
    <t>0792093539</t>
  </si>
  <si>
    <t>Fatima</t>
  </si>
  <si>
    <t>Rahal</t>
  </si>
  <si>
    <t>fuchs.fatima@gmx.ch</t>
  </si>
  <si>
    <t>stadthausgasse 103</t>
  </si>
  <si>
    <t>4139 Basel</t>
  </si>
  <si>
    <t>Felice</t>
  </si>
  <si>
    <t>Mastrovincenzo</t>
  </si>
  <si>
    <t>felixam@sunrise.ch</t>
  </si>
  <si>
    <t>Belchenring 141</t>
  </si>
  <si>
    <t>4211 Allschwil</t>
  </si>
  <si>
    <t>Felix</t>
  </si>
  <si>
    <t>Rothweiler</t>
  </si>
  <si>
    <t>f.rothweiler@bluewin.ch</t>
  </si>
  <si>
    <t>stadthausgasse 104</t>
  </si>
  <si>
    <t>4140 Basel</t>
  </si>
  <si>
    <t>0765587850</t>
  </si>
  <si>
    <t>Kohlermann</t>
  </si>
  <si>
    <t>felix.kohlermann@vtxmail.ch</t>
  </si>
  <si>
    <t>Belchenring 142</t>
  </si>
  <si>
    <t>4212 Allschwil</t>
  </si>
  <si>
    <t>Filiza</t>
  </si>
  <si>
    <t>Rrafshi</t>
  </si>
  <si>
    <t>filiza_r@hotmail.com</t>
  </si>
  <si>
    <t>stadthausgasse 105</t>
  </si>
  <si>
    <t>4141 Basel</t>
  </si>
  <si>
    <t>0796605171</t>
  </si>
  <si>
    <t>Fiorella </t>
  </si>
  <si>
    <t>Steinrisser</t>
  </si>
  <si>
    <t>jenga@bluewin.ch</t>
  </si>
  <si>
    <t>Belchenring 143</t>
  </si>
  <si>
    <t>4213 Allschwil</t>
  </si>
  <si>
    <t>Flavia</t>
  </si>
  <si>
    <t>Holder</t>
  </si>
  <si>
    <t>flavia_holder@hotmail.com</t>
  </si>
  <si>
    <t>stadthausgasse 106</t>
  </si>
  <si>
    <t>4142 Basel</t>
  </si>
  <si>
    <t>0786040291</t>
  </si>
  <si>
    <t>Flavio</t>
  </si>
  <si>
    <t>Gschwind</t>
  </si>
  <si>
    <t>flavio.gschwind@bluewin.ch</t>
  </si>
  <si>
    <t>Belchenring 144</t>
  </si>
  <si>
    <t>4214 Allschwil</t>
  </si>
  <si>
    <t>0765755640</t>
  </si>
  <si>
    <t>Franco</t>
  </si>
  <si>
    <t>Bosatta</t>
  </si>
  <si>
    <t>franco@bosatta.com</t>
  </si>
  <si>
    <t>stadthausgasse 107</t>
  </si>
  <si>
    <t>4143 Basel</t>
  </si>
  <si>
    <t>Francoise</t>
  </si>
  <si>
    <t>Guemguem</t>
  </si>
  <si>
    <t>francois@guemguem.com</t>
  </si>
  <si>
    <t>Belchenring 145</t>
  </si>
  <si>
    <t>4215 Allschwil</t>
  </si>
  <si>
    <t>Frank</t>
  </si>
  <si>
    <t>Heister</t>
  </si>
  <si>
    <t>frank.heister@gmx.net</t>
  </si>
  <si>
    <t>stadthausgasse 108</t>
  </si>
  <si>
    <t>4144 Basel</t>
  </si>
  <si>
    <t>0786140693</t>
  </si>
  <si>
    <t>Franz</t>
  </si>
  <si>
    <t>Leugger</t>
  </si>
  <si>
    <t>franz.leugger@sunrise.ch</t>
  </si>
  <si>
    <t>Belchenring 146</t>
  </si>
  <si>
    <t>4216 Allschwil</t>
  </si>
  <si>
    <t>0786897023</t>
  </si>
  <si>
    <t>Franziska</t>
  </si>
  <si>
    <t>Mbarga</t>
  </si>
  <si>
    <t>franziska.mbarga@bluemail.ch</t>
  </si>
  <si>
    <t>stadthausgasse 109</t>
  </si>
  <si>
    <t>4145 Basel</t>
  </si>
  <si>
    <t>0796459746</t>
  </si>
  <si>
    <t>Bolliger</t>
  </si>
  <si>
    <t>franziska.bolliger@bluewin.ch</t>
  </si>
  <si>
    <t>Belchenring 147</t>
  </si>
  <si>
    <t>4217 Allschwil</t>
  </si>
  <si>
    <t>0795845834</t>
  </si>
  <si>
    <t>Scheuber</t>
  </si>
  <si>
    <t>franziska.scheuber@gmx.net</t>
  </si>
  <si>
    <t>stadthausgasse 110</t>
  </si>
  <si>
    <t>4146 Basel</t>
  </si>
  <si>
    <t>Friedemann</t>
  </si>
  <si>
    <t>Treiber</t>
  </si>
  <si>
    <t>frtreiber@aol.com</t>
  </si>
  <si>
    <t>Belchenring 148</t>
  </si>
  <si>
    <t>4218 Allschwil</t>
  </si>
  <si>
    <t>0797247576</t>
  </si>
  <si>
    <t>Gabi</t>
  </si>
  <si>
    <t>Reber</t>
  </si>
  <si>
    <t>gabi.reber@flyart.ch</t>
  </si>
  <si>
    <t>stadthausgasse 111</t>
  </si>
  <si>
    <t>4147 Basel</t>
  </si>
  <si>
    <t>Gabriela</t>
  </si>
  <si>
    <t>Goldstein</t>
  </si>
  <si>
    <t>ggoldstein@gmx.net</t>
  </si>
  <si>
    <t>Belchenring 149</t>
  </si>
  <si>
    <t>4219 Allschwil</t>
  </si>
  <si>
    <t>0763268767</t>
  </si>
  <si>
    <t>Madörin</t>
  </si>
  <si>
    <t>gmbox@gmx.ch</t>
  </si>
  <si>
    <t>stadthausgasse 112</t>
  </si>
  <si>
    <t>4148 Basel</t>
  </si>
  <si>
    <t>0763939707</t>
  </si>
  <si>
    <t>Aleman</t>
  </si>
  <si>
    <t>gabyaleman@yahoo.com</t>
  </si>
  <si>
    <t>Belchenring 150</t>
  </si>
  <si>
    <t>4220 Allschwil</t>
  </si>
  <si>
    <t>gabybo@bluewin.ch</t>
  </si>
  <si>
    <t>stadthausgasse 113</t>
  </si>
  <si>
    <t>4149 Basel</t>
  </si>
  <si>
    <t>0793222680</t>
  </si>
  <si>
    <t>Rafique</t>
  </si>
  <si>
    <t>gabriela.rafique@gmail.com</t>
  </si>
  <si>
    <t>Belchenring 151</t>
  </si>
  <si>
    <t>4221 Allschwil</t>
  </si>
  <si>
    <t>0033667343779</t>
  </si>
  <si>
    <t>Gautier</t>
  </si>
  <si>
    <t>Marc</t>
  </si>
  <si>
    <t>mjfgautier@free.fr</t>
  </si>
  <si>
    <t>stadthausgasse 114</t>
  </si>
  <si>
    <t>4150 Basel</t>
  </si>
  <si>
    <t>0792113252</t>
  </si>
  <si>
    <t>Gilbert </t>
  </si>
  <si>
    <t>Montavon</t>
  </si>
  <si>
    <t>gil.lionking@gmail.com</t>
  </si>
  <si>
    <t>Belchenring 152</t>
  </si>
  <si>
    <t>4222 Allschwil</t>
  </si>
  <si>
    <t>0763882595</t>
  </si>
  <si>
    <t>Gisèle</t>
  </si>
  <si>
    <t>Wittmer</t>
  </si>
  <si>
    <t>gromit_ch@yahoo.com</t>
  </si>
  <si>
    <t>stadthausgasse 115</t>
  </si>
  <si>
    <t>4151 Basel</t>
  </si>
  <si>
    <t>00491634997053</t>
  </si>
  <si>
    <t>Gregor</t>
  </si>
  <si>
    <t>Dernick</t>
  </si>
  <si>
    <t>gdernick@web.de</t>
  </si>
  <si>
    <t>Belchenring 153</t>
  </si>
  <si>
    <t>4223 Allschwil</t>
  </si>
  <si>
    <t>0762407788</t>
  </si>
  <si>
    <t>Greta</t>
  </si>
  <si>
    <t>Skrobockyte</t>
  </si>
  <si>
    <t>greta.s@gmx.ch</t>
  </si>
  <si>
    <t>stadthausgasse 116</t>
  </si>
  <si>
    <t>4152 Basel</t>
  </si>
  <si>
    <t>0774772729</t>
  </si>
  <si>
    <t>Hannah</t>
  </si>
  <si>
    <t>Nowak</t>
  </si>
  <si>
    <t>hannah@nowak-meyer.ch</t>
  </si>
  <si>
    <t>Belchenring 154</t>
  </si>
  <si>
    <t>4224 Allschwil</t>
  </si>
  <si>
    <t>0762300384</t>
  </si>
  <si>
    <t>Hanni</t>
  </si>
  <si>
    <t>Gleinser</t>
  </si>
  <si>
    <t>h.gleinser@hotmail.com</t>
  </si>
  <si>
    <t>stadthausgasse 117</t>
  </si>
  <si>
    <t>4153 Basel</t>
  </si>
  <si>
    <t>00491743133841</t>
  </si>
  <si>
    <t>Heike</t>
  </si>
  <si>
    <t>Merkel</t>
  </si>
  <si>
    <t>snicki@hotmail.de</t>
  </si>
  <si>
    <t>Belchenring 155</t>
  </si>
  <si>
    <t>4225 Allschwil</t>
  </si>
  <si>
    <t>Maucher</t>
  </si>
  <si>
    <t>hmaucher@yahoo.de</t>
  </si>
  <si>
    <t>stadthausgasse 118</t>
  </si>
  <si>
    <t>4154 Basel</t>
  </si>
  <si>
    <t>0787076988</t>
  </si>
  <si>
    <t>Willkomm</t>
  </si>
  <si>
    <t>h.willkomm@web.de</t>
  </si>
  <si>
    <t>Belchenring 156</t>
  </si>
  <si>
    <t>4226 Allschwil</t>
  </si>
  <si>
    <t>0795255627</t>
  </si>
  <si>
    <t>heike</t>
  </si>
  <si>
    <t>albertsen</t>
  </si>
  <si>
    <t>heialbertsen@gmx.ch</t>
  </si>
  <si>
    <t>stadthausgasse 119</t>
  </si>
  <si>
    <t>4155 Basel</t>
  </si>
  <si>
    <t>Heiko</t>
  </si>
  <si>
    <t>Hoffmann</t>
  </si>
  <si>
    <t>epost.heiko@web.de</t>
  </si>
  <si>
    <t>Belchenring 157</t>
  </si>
  <si>
    <t>4227 Allschwil</t>
  </si>
  <si>
    <t>0795010668</t>
  </si>
  <si>
    <t>Heinz</t>
  </si>
  <si>
    <t>Moor</t>
  </si>
  <si>
    <t>heinz.moor@baloise.ch</t>
  </si>
  <si>
    <t>stadthausgasse 120</t>
  </si>
  <si>
    <t>4156 Basel</t>
  </si>
  <si>
    <t>0788981276</t>
  </si>
  <si>
    <t>Heitham</t>
  </si>
  <si>
    <t>Chehab</t>
  </si>
  <si>
    <t>heitham.c@web.de</t>
  </si>
  <si>
    <t>Belchenring 158</t>
  </si>
  <si>
    <t>4228 Allschwil</t>
  </si>
  <si>
    <t>Helene</t>
  </si>
  <si>
    <t>Cauwel</t>
  </si>
  <si>
    <t>helenecauwel@free.fr </t>
  </si>
  <si>
    <t>stadthausgasse 121</t>
  </si>
  <si>
    <t>4157 Basel</t>
  </si>
  <si>
    <t>Hendrik</t>
  </si>
  <si>
    <t>Dietrich</t>
  </si>
  <si>
    <t>hendrik-dietrich@gmx.ch</t>
  </si>
  <si>
    <t>Belchenring 159</t>
  </si>
  <si>
    <t>4229 Allschwil</t>
  </si>
  <si>
    <t>Henry</t>
  </si>
  <si>
    <t>Croce</t>
  </si>
  <si>
    <t>hendrik_croce@hotmail.com</t>
  </si>
  <si>
    <t>stadthausgasse 122</t>
  </si>
  <si>
    <t>4158 Basel</t>
  </si>
  <si>
    <t>0793497593</t>
  </si>
  <si>
    <t>Hernandez</t>
  </si>
  <si>
    <t>Alfredo </t>
  </si>
  <si>
    <t>alfredohernandez74@hotmail.com</t>
  </si>
  <si>
    <t>Belchenring 160</t>
  </si>
  <si>
    <t>4230 Allschwil</t>
  </si>
  <si>
    <t>0797853451</t>
  </si>
  <si>
    <t>Héctor</t>
  </si>
  <si>
    <t>Röthlisberger</t>
  </si>
  <si>
    <t>e_r_hector@gmx.net</t>
  </si>
  <si>
    <t>stadthausgasse 123</t>
  </si>
  <si>
    <t>4159 Basel</t>
  </si>
  <si>
    <t>Ida</t>
  </si>
  <si>
    <t>Sprich</t>
  </si>
  <si>
    <t>sida@gmx.ch</t>
  </si>
  <si>
    <t>Belchenring 161</t>
  </si>
  <si>
    <t>4231 Allschwil</t>
  </si>
  <si>
    <t>Igor</t>
  </si>
  <si>
    <t>Gavranovic</t>
  </si>
  <si>
    <t>igor.gavranovic@hotmail.com</t>
  </si>
  <si>
    <t>stadthausgasse 124</t>
  </si>
  <si>
    <t>4160 Basel</t>
  </si>
  <si>
    <t>0763064849</t>
  </si>
  <si>
    <t>Ilhan</t>
  </si>
  <si>
    <t>Kizildere</t>
  </si>
  <si>
    <t>ilhan.kizildere1@Hotmail.com</t>
  </si>
  <si>
    <t>Welschmattstrasse 43</t>
  </si>
  <si>
    <t>Ilirian</t>
  </si>
  <si>
    <t>Zeqiri</t>
  </si>
  <si>
    <t>ilirian.zeqiri@gmail.com</t>
  </si>
  <si>
    <t>stadthausgasse 125</t>
  </si>
  <si>
    <t>4161 Basel</t>
  </si>
  <si>
    <t>0762161061</t>
  </si>
  <si>
    <t>ILLY</t>
  </si>
  <si>
    <t>Anne-Lise</t>
  </si>
  <si>
    <t>anne-lise.illy@laposte.net</t>
  </si>
  <si>
    <t>Belchenring 163</t>
  </si>
  <si>
    <t>4233 Allschwil</t>
  </si>
  <si>
    <t>0792970318</t>
  </si>
  <si>
    <t>Imelda</t>
  </si>
  <si>
    <t>Jeker</t>
  </si>
  <si>
    <t>imelda.j@gmx.ch</t>
  </si>
  <si>
    <t>stadthausgasse 126</t>
  </si>
  <si>
    <t>4162 Basel</t>
  </si>
  <si>
    <t>0765631901</t>
  </si>
  <si>
    <t>Ina</t>
  </si>
  <si>
    <t>Rostalski</t>
  </si>
  <si>
    <t>ina.rostalski@gmx.de</t>
  </si>
  <si>
    <t>Belchenring 164</t>
  </si>
  <si>
    <t>4234 Allschwil</t>
  </si>
  <si>
    <t>0796104887</t>
  </si>
  <si>
    <t>Irina</t>
  </si>
  <si>
    <t>Cueni</t>
  </si>
  <si>
    <t>isc578@gmail.com</t>
  </si>
  <si>
    <t>stadthausgasse 127</t>
  </si>
  <si>
    <t>4163 Basel</t>
  </si>
  <si>
    <t>0796670159</t>
  </si>
  <si>
    <t>Iris</t>
  </si>
  <si>
    <t>Gerber</t>
  </si>
  <si>
    <t>sissu@bluewin.ch</t>
  </si>
  <si>
    <t>Belchenring 165</t>
  </si>
  <si>
    <t>4235 Allschwil</t>
  </si>
  <si>
    <t>0763230870</t>
  </si>
  <si>
    <t>Isabel</t>
  </si>
  <si>
    <t>Sanchez</t>
  </si>
  <si>
    <t>sanchezmabel@hotmail.com</t>
  </si>
  <si>
    <t>stadthausgasse 128</t>
  </si>
  <si>
    <t>4164 Basel</t>
  </si>
  <si>
    <t>Osterwalder</t>
  </si>
  <si>
    <t>i.osterwalder@gmx.ch</t>
  </si>
  <si>
    <t>Belchenring 166</t>
  </si>
  <si>
    <t>4236 Allschwil</t>
  </si>
  <si>
    <t>Isabell</t>
  </si>
  <si>
    <t>Schumann</t>
  </si>
  <si>
    <t>schumann@intergga.ch</t>
  </si>
  <si>
    <t>stadthausgasse 129</t>
  </si>
  <si>
    <t>4165 Basel</t>
  </si>
  <si>
    <t>0796655030</t>
  </si>
  <si>
    <t>Isabelle</t>
  </si>
  <si>
    <t>meier_isabelle@bluewin.ch</t>
  </si>
  <si>
    <t>Belchenring 167</t>
  </si>
  <si>
    <t>4237 Allschwil</t>
  </si>
  <si>
    <t>Haenny</t>
  </si>
  <si>
    <t>isabelle_haenny@hotmail.com</t>
  </si>
  <si>
    <t>stadthausgasse 130</t>
  </si>
  <si>
    <t>4166 Basel</t>
  </si>
  <si>
    <t>0763201059 </t>
  </si>
  <si>
    <t>Glaser</t>
  </si>
  <si>
    <t>Isabelle.Glaser@gmx.ch</t>
  </si>
  <si>
    <t>Belchenring 168</t>
  </si>
  <si>
    <t>4238 Allschwil</t>
  </si>
  <si>
    <t>0797793352</t>
  </si>
  <si>
    <t>Weiss</t>
  </si>
  <si>
    <t>isabelle.weiss@gmx.net</t>
  </si>
  <si>
    <t>stadthausgasse 131</t>
  </si>
  <si>
    <t>4167 Basel</t>
  </si>
  <si>
    <t>isidoro</t>
  </si>
  <si>
    <t>quattrocchi</t>
  </si>
  <si>
    <t>isidorko@gmail.com</t>
  </si>
  <si>
    <t>Belchenring 169</t>
  </si>
  <si>
    <t>4239 Allschwil</t>
  </si>
  <si>
    <t>0764389090</t>
  </si>
  <si>
    <t>Ivana</t>
  </si>
  <si>
    <t>Ledermann</t>
  </si>
  <si>
    <t>ivana.ledermann@freesurf.ch</t>
  </si>
  <si>
    <t>stadthausgasse 132</t>
  </si>
  <si>
    <t>4168 Basel</t>
  </si>
  <si>
    <t>0762226020</t>
  </si>
  <si>
    <t>Iwan</t>
  </si>
  <si>
    <t>Serrano</t>
  </si>
  <si>
    <t>iwan.serrano@gmx.net</t>
  </si>
  <si>
    <t>Belchenring 170</t>
  </si>
  <si>
    <t>4240 Allschwil</t>
  </si>
  <si>
    <t>0793611950</t>
  </si>
  <si>
    <t>Jacqueline</t>
  </si>
  <si>
    <t>Meuter</t>
  </si>
  <si>
    <t>tulipano7@yahoo.com</t>
  </si>
  <si>
    <t>stadthausgasse 133</t>
  </si>
  <si>
    <t>4169 Basel</t>
  </si>
  <si>
    <t>Froehlich</t>
  </si>
  <si>
    <t>anan.froehlich@hotmail.de</t>
  </si>
  <si>
    <t>Belchenring 171</t>
  </si>
  <si>
    <t>4241 Allschwil</t>
  </si>
  <si>
    <t>Schöpfer</t>
  </si>
  <si>
    <t>janou1@web.de</t>
  </si>
  <si>
    <t>stadthausgasse 134</t>
  </si>
  <si>
    <t>4170 Basel</t>
  </si>
  <si>
    <t>0792462470</t>
  </si>
  <si>
    <t>Erhart</t>
  </si>
  <si>
    <t>Jacqueline.erhart@bluewin.ch</t>
  </si>
  <si>
    <t>Belchenring 172</t>
  </si>
  <si>
    <t>4242 Allschwil</t>
  </si>
  <si>
    <t>0792816739</t>
  </si>
  <si>
    <t>Mabiala-Adler</t>
  </si>
  <si>
    <t>fololo@teleport.ch</t>
  </si>
  <si>
    <t>stadthausgasse 135</t>
  </si>
  <si>
    <t>4171 Basel</t>
  </si>
  <si>
    <t>0796366872</t>
  </si>
  <si>
    <t>Jan </t>
  </si>
  <si>
    <t>Wüthrich</t>
  </si>
  <si>
    <t>janwuethrich@hotmail.com</t>
  </si>
  <si>
    <t>Belchenring 173</t>
  </si>
  <si>
    <t>4243 Allschwil</t>
  </si>
  <si>
    <t>0787997158</t>
  </si>
  <si>
    <t>Janina</t>
  </si>
  <si>
    <t>Schombach</t>
  </si>
  <si>
    <t>Janina@schombach.com</t>
  </si>
  <si>
    <t>stadthausgasse 136</t>
  </si>
  <si>
    <t>4172 Basel</t>
  </si>
  <si>
    <t>Janine</t>
  </si>
  <si>
    <t>Celotto</t>
  </si>
  <si>
    <t>celotto@gmx.ch</t>
  </si>
  <si>
    <t>Belchenring 174</t>
  </si>
  <si>
    <t>4244 Allschwil</t>
  </si>
  <si>
    <t>0765018119</t>
  </si>
  <si>
    <t>janine</t>
  </si>
  <si>
    <t>cabalzar</t>
  </si>
  <si>
    <t>janine.cabalzar@hotmail.com</t>
  </si>
  <si>
    <t>stadthausgasse 137</t>
  </si>
  <si>
    <t>4173 Basel</t>
  </si>
  <si>
    <t>0795202312</t>
  </si>
  <si>
    <t>Jannis</t>
  </si>
  <si>
    <t>sharlinjane@gmail.com</t>
  </si>
  <si>
    <t>Belchenring 175</t>
  </si>
  <si>
    <t>4245 Allschwil</t>
  </si>
  <si>
    <t>Jasmin </t>
  </si>
  <si>
    <t>Fritz</t>
  </si>
  <si>
    <t>jasmin_fritz@gmx.de</t>
  </si>
  <si>
    <t>stadthausgasse 138</t>
  </si>
  <si>
    <t>4174 Basel</t>
  </si>
  <si>
    <t>0764983053</t>
  </si>
  <si>
    <t>Jaylin </t>
  </si>
  <si>
    <t>Durango</t>
  </si>
  <si>
    <t>Jaylin@bluewin.ch</t>
  </si>
  <si>
    <t>Belchenring 176</t>
  </si>
  <si>
    <t>4246 Allschwil</t>
  </si>
  <si>
    <t>jean</t>
  </si>
  <si>
    <t>quancard</t>
  </si>
  <si>
    <t>jeanquancard@gmail.com</t>
  </si>
  <si>
    <t>stadthausgasse 139</t>
  </si>
  <si>
    <t>4175 Basel</t>
  </si>
  <si>
    <t>Jeanine</t>
  </si>
  <si>
    <t>Monnier</t>
  </si>
  <si>
    <t>j.monnier@gmx.ch</t>
  </si>
  <si>
    <t>Belchenring 177</t>
  </si>
  <si>
    <t>4247 Allschwil</t>
  </si>
  <si>
    <t>0017620530215</t>
  </si>
  <si>
    <t>Jennifer</t>
  </si>
  <si>
    <t>Dierle</t>
  </si>
  <si>
    <t>jdierle@gmx.net</t>
  </si>
  <si>
    <t>stadthausgasse 140</t>
  </si>
  <si>
    <t>4176 Basel</t>
  </si>
  <si>
    <t>0798870945</t>
  </si>
  <si>
    <t>Lopez</t>
  </si>
  <si>
    <t>Pushflow</t>
  </si>
  <si>
    <t>jenny.espaa@gmail.com</t>
  </si>
  <si>
    <t>Binningerstrasse 44a</t>
  </si>
  <si>
    <t>0796589469</t>
  </si>
  <si>
    <t>Jens</t>
  </si>
  <si>
    <t>Lampe</t>
  </si>
  <si>
    <t>jclampe@me.com</t>
  </si>
  <si>
    <t>stadthausgasse 141</t>
  </si>
  <si>
    <t>4177 Basel</t>
  </si>
  <si>
    <t>0795879939</t>
  </si>
  <si>
    <t>Jerome</t>
  </si>
  <si>
    <t>Giraudel</t>
  </si>
  <si>
    <t>jgiraudel@yahoo.com</t>
  </si>
  <si>
    <t>Belchenring 179</t>
  </si>
  <si>
    <t>4249 Allschwil</t>
  </si>
  <si>
    <t>0764110002</t>
  </si>
  <si>
    <t>Jessica</t>
  </si>
  <si>
    <t>Lanz</t>
  </si>
  <si>
    <t>jessica.lanz@gmail.com</t>
  </si>
  <si>
    <t>stadthausgasse 142</t>
  </si>
  <si>
    <t>4178 Basel</t>
  </si>
  <si>
    <t>0765188732</t>
  </si>
  <si>
    <t>Joanna</t>
  </si>
  <si>
    <t>Wierzcholski</t>
  </si>
  <si>
    <t>joanna.w@bluemail.ch</t>
  </si>
  <si>
    <t>Belchenring 180</t>
  </si>
  <si>
    <t>4250 Allschwil</t>
  </si>
  <si>
    <t>0033661352941</t>
  </si>
  <si>
    <t>Joanny</t>
  </si>
  <si>
    <t>Krafft</t>
  </si>
  <si>
    <t>marion.krafft@gmail.com</t>
  </si>
  <si>
    <t>stadthausgasse 143</t>
  </si>
  <si>
    <t>4179 Basel</t>
  </si>
  <si>
    <t>0764080838</t>
  </si>
  <si>
    <t>Joao</t>
  </si>
  <si>
    <t>Bacelo</t>
  </si>
  <si>
    <t>joao.bacelo@fmi.ch</t>
  </si>
  <si>
    <t>Belchenring 181</t>
  </si>
  <si>
    <t>4251 Allschwil</t>
  </si>
  <si>
    <t>Jochen</t>
  </si>
  <si>
    <t>sunce-moje@gmx.de</t>
  </si>
  <si>
    <t>stadthausgasse 144</t>
  </si>
  <si>
    <t>4180 Basel</t>
  </si>
  <si>
    <t>Johanna</t>
  </si>
  <si>
    <t>Hermann</t>
  </si>
  <si>
    <t>hermann-joha@web.de</t>
  </si>
  <si>
    <t>Belchenring 182</t>
  </si>
  <si>
    <t>4252 Allschwil</t>
  </si>
  <si>
    <t>0774519956</t>
  </si>
  <si>
    <t>Gaignard</t>
  </si>
  <si>
    <t>johanna_gaignard@hotmail.com</t>
  </si>
  <si>
    <t>stadthausgasse 145</t>
  </si>
  <si>
    <t>4181 Basel</t>
  </si>
  <si>
    <t>0793023673</t>
  </si>
  <si>
    <t>Johnny</t>
  </si>
  <si>
    <t>Rupp</t>
  </si>
  <si>
    <t>johnnyrupp@yahoo.de</t>
  </si>
  <si>
    <t>Belchenring 183</t>
  </si>
  <si>
    <t>4253 Allschwil</t>
  </si>
  <si>
    <t>0795777728</t>
  </si>
  <si>
    <t>Jolanda</t>
  </si>
  <si>
    <t>Frey</t>
  </si>
  <si>
    <t>widmer_jolanda@bluewin.ch</t>
  </si>
  <si>
    <t>stadthausgasse 146</t>
  </si>
  <si>
    <t>4182 Basel</t>
  </si>
  <si>
    <t>0795151200</t>
  </si>
  <si>
    <t>Jose Angel</t>
  </si>
  <si>
    <t>Walsh</t>
  </si>
  <si>
    <t>jose.walsh@clariant.com</t>
  </si>
  <si>
    <t>Belchenring 184</t>
  </si>
  <si>
    <t>4254 Allschwil</t>
  </si>
  <si>
    <t>0789440117</t>
  </si>
  <si>
    <t>José</t>
  </si>
  <si>
    <t>Delgados</t>
  </si>
  <si>
    <t>delgados@intergga.ch</t>
  </si>
  <si>
    <t>stadthausgasse 147</t>
  </si>
  <si>
    <t>4183 Basel</t>
  </si>
  <si>
    <t>0786956504</t>
  </si>
  <si>
    <t>Bello</t>
  </si>
  <si>
    <t>jose.bello@gmx.ch</t>
  </si>
  <si>
    <t>Belchenring 185</t>
  </si>
  <si>
    <t>4255 Allschwil</t>
  </si>
  <si>
    <t>0788882706</t>
  </si>
  <si>
    <t>Joël</t>
  </si>
  <si>
    <t>Engetschwiler Rueda</t>
  </si>
  <si>
    <t>joel.engetschwiler@gmx.ch</t>
  </si>
  <si>
    <t>stadthausgasse 148</t>
  </si>
  <si>
    <t>4184 Basel</t>
  </si>
  <si>
    <t>0764420413</t>
  </si>
  <si>
    <t>Juan</t>
  </si>
  <si>
    <t>Calvo</t>
  </si>
  <si>
    <t>calvo.juan@hotmail.com</t>
  </si>
  <si>
    <t>Belchenring 186</t>
  </si>
  <si>
    <t>4256 Allschwil</t>
  </si>
  <si>
    <t>0789300866</t>
  </si>
  <si>
    <t>Zhang</t>
  </si>
  <si>
    <t>juange1014@gmail.com</t>
  </si>
  <si>
    <t>stadthausgasse 149</t>
  </si>
  <si>
    <t>4185 Basel</t>
  </si>
  <si>
    <t>Judith</t>
  </si>
  <si>
    <t>Meury</t>
  </si>
  <si>
    <t>judithmeury@hotmail.com</t>
  </si>
  <si>
    <t>Belchenring 187</t>
  </si>
  <si>
    <t>4257 Allschwil</t>
  </si>
  <si>
    <t>Julia</t>
  </si>
  <si>
    <t>Lobanova</t>
  </si>
  <si>
    <t>julietteromeo@mail.ru</t>
  </si>
  <si>
    <t>stadthausgasse 150</t>
  </si>
  <si>
    <t>4186 Basel</t>
  </si>
  <si>
    <t>0762041977</t>
  </si>
  <si>
    <t>Klopp</t>
  </si>
  <si>
    <t>juliaklopp@yahoo.com</t>
  </si>
  <si>
    <t>Belchenring 188</t>
  </si>
  <si>
    <t>4258 Allschwil</t>
  </si>
  <si>
    <t>Juliane</t>
  </si>
  <si>
    <t>Frei</t>
  </si>
  <si>
    <t>juliane.basel@gmail.com</t>
  </si>
  <si>
    <t>stadthausgasse 151</t>
  </si>
  <si>
    <t>4187 Basel</t>
  </si>
  <si>
    <t>0796743236</t>
  </si>
  <si>
    <t>Jutta</t>
  </si>
  <si>
    <t>Guthauser</t>
  </si>
  <si>
    <t>ralipe99@yahoo.com</t>
  </si>
  <si>
    <t>Belchenring 189</t>
  </si>
  <si>
    <t>4259 Allschwil</t>
  </si>
  <si>
    <t>0786748794</t>
  </si>
  <si>
    <t>Eberlin</t>
  </si>
  <si>
    <t>jutta_eberlin68@yahoo.de</t>
  </si>
  <si>
    <t>stadthausgasse 152</t>
  </si>
  <si>
    <t>4188 Basel</t>
  </si>
  <si>
    <t>0787786606</t>
  </si>
  <si>
    <t>Jörg</t>
  </si>
  <si>
    <t>Schmill</t>
  </si>
  <si>
    <t>schmill@comm-care.ch</t>
  </si>
  <si>
    <t>Belchenring 190</t>
  </si>
  <si>
    <t>4260 Allschwil</t>
  </si>
  <si>
    <t>004917686175794</t>
  </si>
  <si>
    <t>Staub</t>
  </si>
  <si>
    <t>joergstaub@gmx.de</t>
  </si>
  <si>
    <t>stadthausgasse 153</t>
  </si>
  <si>
    <t>4189 Basel</t>
  </si>
  <si>
    <t>0797899007</t>
  </si>
  <si>
    <t>Jürg </t>
  </si>
  <si>
    <t>Werber</t>
  </si>
  <si>
    <t>soul69finger@gmail.com</t>
  </si>
  <si>
    <t>Belchenring 191</t>
  </si>
  <si>
    <t>4261 Allschwil</t>
  </si>
  <si>
    <t>0764900234</t>
  </si>
  <si>
    <t>Jürg und Barbara </t>
  </si>
  <si>
    <t>Eidenbenz-da Silva</t>
  </si>
  <si>
    <t>badasil@hotmail.com</t>
  </si>
  <si>
    <t>stadthausgasse 154</t>
  </si>
  <si>
    <t>4190 Basel</t>
  </si>
  <si>
    <t>Jürgen</t>
  </si>
  <si>
    <t>Ketterer</t>
  </si>
  <si>
    <t>juergen.k@gmx.ch</t>
  </si>
  <si>
    <t>Belchenring 192</t>
  </si>
  <si>
    <t>4262 Allschwil</t>
  </si>
  <si>
    <t>0798003818</t>
  </si>
  <si>
    <t>Kamelia</t>
  </si>
  <si>
    <t>Farahbod</t>
  </si>
  <si>
    <t>k_f24@hotmail.com</t>
  </si>
  <si>
    <t>stadthausgasse 155</t>
  </si>
  <si>
    <t>4191 Basel</t>
  </si>
  <si>
    <t>0793713633</t>
  </si>
  <si>
    <t>Karen</t>
  </si>
  <si>
    <t>Forbes</t>
  </si>
  <si>
    <t>karen.forbes61@gmail.com</t>
  </si>
  <si>
    <t>Belchenring 193</t>
  </si>
  <si>
    <t>4263 Allschwil</t>
  </si>
  <si>
    <t>Karin</t>
  </si>
  <si>
    <t>Meyer</t>
  </si>
  <si>
    <t>k.meyer@bluewin.ch</t>
  </si>
  <si>
    <t>stadthausgasse 156</t>
  </si>
  <si>
    <t>4192 Basel</t>
  </si>
  <si>
    <t>katharina</t>
  </si>
  <si>
    <t>egger</t>
  </si>
  <si>
    <t>katharina.egger@gmx.ch</t>
  </si>
  <si>
    <t>Belchenring 194</t>
  </si>
  <si>
    <t>4264 Allschwil</t>
  </si>
  <si>
    <t>0786571588 </t>
  </si>
  <si>
    <t>Katherina</t>
  </si>
  <si>
    <t>Hasenböhler</t>
  </si>
  <si>
    <t>frozentitans@hotmail.com</t>
  </si>
  <si>
    <t>stadthausgasse 157</t>
  </si>
  <si>
    <t>4193 Basel</t>
  </si>
  <si>
    <t>Kathrin </t>
  </si>
  <si>
    <t>Gerlach</t>
  </si>
  <si>
    <t>kathrin.gerlach@bs.ch</t>
  </si>
  <si>
    <t>Belchenring 195</t>
  </si>
  <si>
    <t>4265 Allschwil</t>
  </si>
  <si>
    <t>Katia </t>
  </si>
  <si>
    <t>Redondo</t>
  </si>
  <si>
    <t>katia.redondo@bluewin.ch</t>
  </si>
  <si>
    <t>stadthausgasse 158</t>
  </si>
  <si>
    <t>4194 Basel</t>
  </si>
  <si>
    <t>Katja</t>
  </si>
  <si>
    <t>Ivanova</t>
  </si>
  <si>
    <t>stoka@gmx.ch</t>
  </si>
  <si>
    <t>Belchenring 196</t>
  </si>
  <si>
    <t>4266 Allschwil</t>
  </si>
  <si>
    <t>0763468425</t>
  </si>
  <si>
    <t>Katrin </t>
  </si>
  <si>
    <t>Ziereisen</t>
  </si>
  <si>
    <t>katrin.ziereisen@sunrise.ch</t>
  </si>
  <si>
    <t>stadthausgasse 159</t>
  </si>
  <si>
    <t>4195 Basel</t>
  </si>
  <si>
    <t>0767055113</t>
  </si>
  <si>
    <t>Katrin</t>
  </si>
  <si>
    <t>Westritschnig</t>
  </si>
  <si>
    <t>katrin.westritschnig@gmail.com</t>
  </si>
  <si>
    <t>Belchenring 197</t>
  </si>
  <si>
    <t>4267 Allschwil</t>
  </si>
  <si>
    <t>0762808873</t>
  </si>
  <si>
    <t>Keating</t>
  </si>
  <si>
    <t>Fiona</t>
  </si>
  <si>
    <t>fionakeating@mac.com</t>
  </si>
  <si>
    <t>stadthausgasse 160</t>
  </si>
  <si>
    <t>4196 Basel</t>
  </si>
  <si>
    <t>Kelly</t>
  </si>
  <si>
    <t>Luiz</t>
  </si>
  <si>
    <t>kelly_luiz@hotmail.com</t>
  </si>
  <si>
    <t>Belchenring 198</t>
  </si>
  <si>
    <t>4268 Allschwil</t>
  </si>
  <si>
    <t>0764331862</t>
  </si>
  <si>
    <t>Kevin</t>
  </si>
  <si>
    <t>Short</t>
  </si>
  <si>
    <t>kshort111@aol.com</t>
  </si>
  <si>
    <t>stadthausgasse 161</t>
  </si>
  <si>
    <t>4197 Basel</t>
  </si>
  <si>
    <t>0797622228</t>
  </si>
  <si>
    <t>Kim</t>
  </si>
  <si>
    <t>Gensetter</t>
  </si>
  <si>
    <t>kimgensetter@bluewin.ch</t>
  </si>
  <si>
    <t>Belchenring 199</t>
  </si>
  <si>
    <t>4269 Allschwil</t>
  </si>
  <si>
    <t>0764569295</t>
  </si>
  <si>
    <t>Grunder</t>
  </si>
  <si>
    <t>k-grunder@bluewin.ch</t>
  </si>
  <si>
    <t>stadthausgasse 162</t>
  </si>
  <si>
    <t>4198 Basel</t>
  </si>
  <si>
    <t>0765331279</t>
  </si>
  <si>
    <t>Kirsten</t>
  </si>
  <si>
    <t>Hanson</t>
  </si>
  <si>
    <t>kirsten_hanson_le@yahoo.de</t>
  </si>
  <si>
    <t>Belchenring 200</t>
  </si>
  <si>
    <t>4270 Allschwil</t>
  </si>
  <si>
    <t>0793903133</t>
  </si>
  <si>
    <t>Klara</t>
  </si>
  <si>
    <t>Stracuk</t>
  </si>
  <si>
    <t>astracuk@hotmail.com</t>
  </si>
  <si>
    <t>stadthausgasse 163</t>
  </si>
  <si>
    <t>4199 Basel</t>
  </si>
  <si>
    <t>Klaus</t>
  </si>
  <si>
    <t>santa82@gmx.de</t>
  </si>
  <si>
    <t>Belchenring 201</t>
  </si>
  <si>
    <t>4271 Allschwil</t>
  </si>
  <si>
    <t>0049795484728</t>
  </si>
  <si>
    <t>Klinger</t>
  </si>
  <si>
    <t>Valerie</t>
  </si>
  <si>
    <t>c_metaxas@gmx.ch</t>
  </si>
  <si>
    <t>stadthausgasse 164</t>
  </si>
  <si>
    <t>4200 Basel</t>
  </si>
  <si>
    <t>0787791735</t>
  </si>
  <si>
    <t>koella</t>
  </si>
  <si>
    <t>caroline</t>
  </si>
  <si>
    <t>caroline.koella@bluewin.ch</t>
  </si>
  <si>
    <t>Belchenring 202</t>
  </si>
  <si>
    <t>4272 Allschwil</t>
  </si>
  <si>
    <t>0787541752</t>
  </si>
  <si>
    <t>Kristina</t>
  </si>
  <si>
    <t>Krebs</t>
  </si>
  <si>
    <t>kristina.k@gmx.net</t>
  </si>
  <si>
    <t>stadthausgasse 165</t>
  </si>
  <si>
    <t>4201 Basel</t>
  </si>
  <si>
    <t>0799292516 </t>
  </si>
  <si>
    <t>Kudakwashe</t>
  </si>
  <si>
    <t>Mudzi</t>
  </si>
  <si>
    <t>kudakwashemudzi@yahoo.com</t>
  </si>
  <si>
    <t>Belchenring 203</t>
  </si>
  <si>
    <t>4273 Allschwil</t>
  </si>
  <si>
    <t>0797269908</t>
  </si>
  <si>
    <t>Käthi</t>
  </si>
  <si>
    <t>Katarina.plattner@digitaldocument.de</t>
  </si>
  <si>
    <t>stadthausgasse 166</t>
  </si>
  <si>
    <t>4202 Basel</t>
  </si>
  <si>
    <t>Lars</t>
  </si>
  <si>
    <t>Höcherl</t>
  </si>
  <si>
    <t>Lars-Hoecherl@gmx.de</t>
  </si>
  <si>
    <t>Belchenring 204</t>
  </si>
  <si>
    <t>4274 Allschwil</t>
  </si>
  <si>
    <t>00786143254 </t>
  </si>
  <si>
    <t>Laura</t>
  </si>
  <si>
    <t>Quintana</t>
  </si>
  <si>
    <t>pimpmyburger@hotmail.com</t>
  </si>
  <si>
    <t>stadthausgasse 167</t>
  </si>
  <si>
    <t>4203 Basel</t>
  </si>
  <si>
    <t>de los Santos</t>
  </si>
  <si>
    <t>demila@bluewin.ch</t>
  </si>
  <si>
    <t>Belchenring 205</t>
  </si>
  <si>
    <t>4275 Allschwil</t>
  </si>
  <si>
    <t>0765751912</t>
  </si>
  <si>
    <t>Kägi</t>
  </si>
  <si>
    <t>laura_kaegi@hotmail.com</t>
  </si>
  <si>
    <t>stadthausgasse 168</t>
  </si>
  <si>
    <t>4204 Basel</t>
  </si>
  <si>
    <t>0763779416</t>
  </si>
  <si>
    <t>Battistella</t>
  </si>
  <si>
    <t>laurabadu@hotmail.com</t>
  </si>
  <si>
    <t>Belchenring 206</t>
  </si>
  <si>
    <t>4276 Allschwil</t>
  </si>
  <si>
    <t>0793660510</t>
  </si>
  <si>
    <t>Dudler</t>
  </si>
  <si>
    <t>Laura@dudi.ch</t>
  </si>
  <si>
    <t>stadthausgasse 169</t>
  </si>
  <si>
    <t>4205 Basel</t>
  </si>
  <si>
    <t>0797244385</t>
  </si>
  <si>
    <t>Lea</t>
  </si>
  <si>
    <t>Minzloff</t>
  </si>
  <si>
    <t>leaminzloff@mac.com</t>
  </si>
  <si>
    <t>Belchenring 207</t>
  </si>
  <si>
    <t>4277 Allschwil</t>
  </si>
  <si>
    <t>Leah</t>
  </si>
  <si>
    <t>Dimapindan</t>
  </si>
  <si>
    <t>dimapindan@hotmail.com</t>
  </si>
  <si>
    <t>stadthausgasse 170</t>
  </si>
  <si>
    <t>4206 Basel</t>
  </si>
  <si>
    <t>0765073712</t>
  </si>
  <si>
    <t>Lekundo</t>
  </si>
  <si>
    <t>Tingitana</t>
  </si>
  <si>
    <t>leka.tingitana@gmail.com</t>
  </si>
  <si>
    <t>Belchenring 208</t>
  </si>
  <si>
    <t>4278 Allschwil</t>
  </si>
  <si>
    <t>0794055058</t>
  </si>
  <si>
    <t>Lena</t>
  </si>
  <si>
    <t>Wanitsch</t>
  </si>
  <si>
    <t>lenawanitsch@gmx.ch</t>
  </si>
  <si>
    <t>stadthausgasse 171</t>
  </si>
  <si>
    <t>4207 Basel</t>
  </si>
  <si>
    <t>0787591078</t>
  </si>
  <si>
    <t>Leon (Denise)</t>
  </si>
  <si>
    <t>Rigoni</t>
  </si>
  <si>
    <t>denise.rigoni@bluewin.ch</t>
  </si>
  <si>
    <t>Belchenring 209</t>
  </si>
  <si>
    <t>4279 Allschwil</t>
  </si>
  <si>
    <t>0793336710</t>
  </si>
  <si>
    <t>Lili</t>
  </si>
  <si>
    <t>Kurt</t>
  </si>
  <si>
    <t>lilikurt@bluewin.ch</t>
  </si>
  <si>
    <t>stadthausgasse 172</t>
  </si>
  <si>
    <t>4208 Basel</t>
  </si>
  <si>
    <t>004915223251211</t>
  </si>
  <si>
    <t>Lilian</t>
  </si>
  <si>
    <t>Rünzi</t>
  </si>
  <si>
    <t>lilian_ruenzi@gmx.de</t>
  </si>
  <si>
    <t>Belchenring 210</t>
  </si>
  <si>
    <t>4280 Allschwil</t>
  </si>
  <si>
    <t>0793499991</t>
  </si>
  <si>
    <t>Linda</t>
  </si>
  <si>
    <t>Kast</t>
  </si>
  <si>
    <t>linda.kast@actelion.com</t>
  </si>
  <si>
    <t>stadthausgasse 173</t>
  </si>
  <si>
    <t>4209 Basel</t>
  </si>
  <si>
    <t>Chrit</t>
  </si>
  <si>
    <t>lindachrit@gmail.com</t>
  </si>
  <si>
    <t>Belchenring 211</t>
  </si>
  <si>
    <t>4281 Allschwil</t>
  </si>
  <si>
    <t>0772599212</t>
  </si>
  <si>
    <t>Lisa</t>
  </si>
  <si>
    <t>Bürgin</t>
  </si>
  <si>
    <t>lisa@intergga.ch</t>
  </si>
  <si>
    <t>stadthausgasse 174</t>
  </si>
  <si>
    <t>4210 Basel</t>
  </si>
  <si>
    <t>0763665007</t>
  </si>
  <si>
    <t>Loredana</t>
  </si>
  <si>
    <t>Messina</t>
  </si>
  <si>
    <t>loredana690@hotmail.com</t>
  </si>
  <si>
    <t>Belchenring 212</t>
  </si>
  <si>
    <t>4282 Allschwil</t>
  </si>
  <si>
    <t>0793902557</t>
  </si>
  <si>
    <t>Nucerito</t>
  </si>
  <si>
    <t>n.lori@bluewin.ch</t>
  </si>
  <si>
    <t>stadthausgasse 175</t>
  </si>
  <si>
    <t>4211 Basel</t>
  </si>
  <si>
    <t>0794191249</t>
  </si>
  <si>
    <t>Lorraine</t>
  </si>
  <si>
    <t>Gemperli</t>
  </si>
  <si>
    <t>l_gemperli@hotmail.com</t>
  </si>
  <si>
    <t>Belchenring 213</t>
  </si>
  <si>
    <t>4283 Allschwil</t>
  </si>
  <si>
    <t>0792229104</t>
  </si>
  <si>
    <t>Thompson</t>
  </si>
  <si>
    <t>quichelorraine519@hotmail.com</t>
  </si>
  <si>
    <t>stadthausgasse 176</t>
  </si>
  <si>
    <t>4212 Basel</t>
  </si>
  <si>
    <t>0786208107</t>
  </si>
  <si>
    <t>Louisa </t>
  </si>
  <si>
    <t>Drori</t>
  </si>
  <si>
    <t>fdrori@balcab.ch</t>
  </si>
  <si>
    <t>Belchenring 214</t>
  </si>
  <si>
    <t>4284 Allschwil</t>
  </si>
  <si>
    <t>0797251636</t>
  </si>
  <si>
    <t>Luana</t>
  </si>
  <si>
    <t>Giacomazzi</t>
  </si>
  <si>
    <t>luana.giacomazzi@gmx.ch</t>
  </si>
  <si>
    <t>stadthausgasse 177</t>
  </si>
  <si>
    <t>4213 Basel</t>
  </si>
  <si>
    <t>0796529486</t>
  </si>
  <si>
    <t>Luca</t>
  </si>
  <si>
    <t>Cedaro</t>
  </si>
  <si>
    <t>luca.cedaro@baloise.ch</t>
  </si>
  <si>
    <t>Belchenring 215</t>
  </si>
  <si>
    <t>4285 Allschwil</t>
  </si>
  <si>
    <t>0787197767</t>
  </si>
  <si>
    <t>Lucia</t>
  </si>
  <si>
    <t>Cerminara</t>
  </si>
  <si>
    <t>alessandro.cerminara@usb.ch</t>
  </si>
  <si>
    <t>stadthausgasse 178</t>
  </si>
  <si>
    <t>4214 Basel</t>
  </si>
  <si>
    <t>0765171919</t>
  </si>
  <si>
    <t>Lucien</t>
  </si>
  <si>
    <t>Holzapfel</t>
  </si>
  <si>
    <t>lucien_holzapfel@yahoo.de</t>
  </si>
  <si>
    <t>Belchenring 216</t>
  </si>
  <si>
    <t>4286 Allschwil</t>
  </si>
  <si>
    <t>0765664241</t>
  </si>
  <si>
    <t>Lucy</t>
  </si>
  <si>
    <t>Rüdiger</t>
  </si>
  <si>
    <t>rueluc@yahoo.de</t>
  </si>
  <si>
    <t>stadthausgasse 179</t>
  </si>
  <si>
    <t>4215 Basel</t>
  </si>
  <si>
    <t>0789209858</t>
  </si>
  <si>
    <t>Ludovic </t>
  </si>
  <si>
    <t>Van Hellemont</t>
  </si>
  <si>
    <t>ludovicvanhellemont@yahoo.com</t>
  </si>
  <si>
    <t>Belchenring 217</t>
  </si>
  <si>
    <t>4287 Allschwil</t>
  </si>
  <si>
    <t>0796638368</t>
  </si>
  <si>
    <t>Luis</t>
  </si>
  <si>
    <t>Magalhaes</t>
  </si>
  <si>
    <t>luismfmagalhaes@hotmail.com</t>
  </si>
  <si>
    <t>stadthausgasse 180</t>
  </si>
  <si>
    <t>4216 Basel</t>
  </si>
  <si>
    <t>0765615900</t>
  </si>
  <si>
    <t>luisa</t>
  </si>
  <si>
    <t>silvestri</t>
  </si>
  <si>
    <t>luisa.silvestri@gmx.ch</t>
  </si>
  <si>
    <t>Belchenring 218</t>
  </si>
  <si>
    <t>4288 Allschwil</t>
  </si>
  <si>
    <t>Lukas</t>
  </si>
  <si>
    <t>Mundwiler</t>
  </si>
  <si>
    <t>sulu.mundwiler@datacomm.ch</t>
  </si>
  <si>
    <t>stadthausgasse 181</t>
  </si>
  <si>
    <t>4217 Basel</t>
  </si>
  <si>
    <t>0764320607</t>
  </si>
  <si>
    <t>Künzi</t>
  </si>
  <si>
    <t>luka6784@hotmail.com</t>
  </si>
  <si>
    <t>Belchenring 219</t>
  </si>
  <si>
    <t>4289 Allschwil</t>
  </si>
  <si>
    <t>udad@gmx.ch</t>
  </si>
  <si>
    <t>stadthausgasse 182</t>
  </si>
  <si>
    <t>4218 Basel</t>
  </si>
  <si>
    <t>Luna</t>
  </si>
  <si>
    <t>Bekker</t>
  </si>
  <si>
    <t>lunabekker@hotmail.com</t>
  </si>
  <si>
    <t>Belchenring 220</t>
  </si>
  <si>
    <t>4290 Allschwil</t>
  </si>
  <si>
    <t>Lydia</t>
  </si>
  <si>
    <t>Lampadaridou</t>
  </si>
  <si>
    <t>lydia.lampadaridou@credit-suisse.com</t>
  </si>
  <si>
    <t>stadthausgasse 183</t>
  </si>
  <si>
    <t>4219 Basel</t>
  </si>
  <si>
    <t>0787534301</t>
  </si>
  <si>
    <t>lydia.balazs@gmail.com</t>
  </si>
  <si>
    <t>Belchenring 221</t>
  </si>
  <si>
    <t>4291 Allschwil</t>
  </si>
  <si>
    <t>Mahmoud</t>
  </si>
  <si>
    <t>El Shemerly</t>
  </si>
  <si>
    <t>shemerly68@hotmail.com</t>
  </si>
  <si>
    <t>stadthausgasse 184</t>
  </si>
  <si>
    <t>4220 Basel</t>
  </si>
  <si>
    <t>0794622345</t>
  </si>
  <si>
    <t>Maja</t>
  </si>
  <si>
    <t>Grossglauser</t>
  </si>
  <si>
    <t>maja.grossglauser@ch.pwc.com</t>
  </si>
  <si>
    <t>Belchenring 222</t>
  </si>
  <si>
    <t>4292 Allschwil</t>
  </si>
  <si>
    <t>Malin </t>
  </si>
  <si>
    <t>Ek</t>
  </si>
  <si>
    <t>malin4ek@hotmail.com</t>
  </si>
  <si>
    <t>stadthausgasse 185</t>
  </si>
  <si>
    <t>4221 Basel</t>
  </si>
  <si>
    <t>Manfred</t>
  </si>
  <si>
    <t>hermann-man@web.de</t>
  </si>
  <si>
    <t>Belchenring 223</t>
  </si>
  <si>
    <t>4293 Allschwil</t>
  </si>
  <si>
    <t>0791371795</t>
  </si>
  <si>
    <t>Manoja</t>
  </si>
  <si>
    <t>Kandasamy</t>
  </si>
  <si>
    <t>manojak@outlook.de</t>
  </si>
  <si>
    <t>stadthausgasse 186</t>
  </si>
  <si>
    <t>4222 Basel</t>
  </si>
  <si>
    <t>Manuel</t>
  </si>
  <si>
    <t>Manuswiss@posteo.ch</t>
  </si>
  <si>
    <t>Belchenring 224</t>
  </si>
  <si>
    <t>4294 Allschwil</t>
  </si>
  <si>
    <t>0763423486</t>
  </si>
  <si>
    <t>Manuela</t>
  </si>
  <si>
    <t>Masin</t>
  </si>
  <si>
    <t>m.masin@bluewin.ch</t>
  </si>
  <si>
    <t>stadthausgasse 187</t>
  </si>
  <si>
    <t>4223 Basel</t>
  </si>
  <si>
    <t>Battaglini</t>
  </si>
  <si>
    <t>mbattaglini@bluewin.ch</t>
  </si>
  <si>
    <t>Belchenring 225</t>
  </si>
  <si>
    <t>4295 Allschwil</t>
  </si>
  <si>
    <t>0794432553</t>
  </si>
  <si>
    <t>Mara</t>
  </si>
  <si>
    <t>Kessler</t>
  </si>
  <si>
    <t>christoph.kessler@bluewin.ch</t>
  </si>
  <si>
    <t>stadthausgasse 188</t>
  </si>
  <si>
    <t>4224 Basel</t>
  </si>
  <si>
    <t>Caminati</t>
  </si>
  <si>
    <t>maracaminati@hotmail.com</t>
  </si>
  <si>
    <t>Belchenring 226</t>
  </si>
  <si>
    <t>4296 Allschwil</t>
  </si>
  <si>
    <t>0793880402</t>
  </si>
  <si>
    <t>Oggier</t>
  </si>
  <si>
    <t>moggier@gmail.com</t>
  </si>
  <si>
    <t>stadthausgasse 189</t>
  </si>
  <si>
    <t>4225 Basel</t>
  </si>
  <si>
    <t>0786452833</t>
  </si>
  <si>
    <t>Splisgardt</t>
  </si>
  <si>
    <t>m.splisgardt@bluewin.ch</t>
  </si>
  <si>
    <t>Belchenring 227</t>
  </si>
  <si>
    <t>4297 Allschwil</t>
  </si>
  <si>
    <t>0765883260</t>
  </si>
  <si>
    <t>Willmann</t>
  </si>
  <si>
    <t>masa-se@hotmail.com</t>
  </si>
  <si>
    <t>stadthausgasse 190</t>
  </si>
  <si>
    <t>4226 Basel</t>
  </si>
  <si>
    <t>0763748211</t>
  </si>
  <si>
    <t>marcel </t>
  </si>
  <si>
    <t>engelbrecht</t>
  </si>
  <si>
    <t>marcel.engelbrecht@gmx.net</t>
  </si>
  <si>
    <t>Belchenring 228</t>
  </si>
  <si>
    <t>4298 Allschwil</t>
  </si>
  <si>
    <t>0767532736</t>
  </si>
  <si>
    <t>Marcia</t>
  </si>
  <si>
    <t>Marggraf</t>
  </si>
  <si>
    <t>marcianex@yahoo.com</t>
  </si>
  <si>
    <t>stadthausgasse 191</t>
  </si>
  <si>
    <t>4227 Basel</t>
  </si>
  <si>
    <t>Marco</t>
  </si>
  <si>
    <t>Urfer</t>
  </si>
  <si>
    <t>marco.urfer@gmail.com</t>
  </si>
  <si>
    <t>Belchenring 229</t>
  </si>
  <si>
    <t>4299 Allschwil</t>
  </si>
  <si>
    <t>0774093611 </t>
  </si>
  <si>
    <t>Marco </t>
  </si>
  <si>
    <t>Gioco</t>
  </si>
  <si>
    <t>marco.gioco@gmail.com</t>
  </si>
  <si>
    <t>stadthausgasse 192</t>
  </si>
  <si>
    <t>4228 Basel</t>
  </si>
  <si>
    <t>0788652225</t>
  </si>
  <si>
    <t>marco.blanco@elektro-hunziker.ch</t>
  </si>
  <si>
    <t>Belchenring 230</t>
  </si>
  <si>
    <t>4300 Allschwil</t>
  </si>
  <si>
    <t>0765455929</t>
  </si>
  <si>
    <t>Bleuler</t>
  </si>
  <si>
    <t>marco.bleuler@wuerth-ag.ch</t>
  </si>
  <si>
    <t>stadthausgasse 193</t>
  </si>
  <si>
    <t>4229 Basel</t>
  </si>
  <si>
    <t>0797237619</t>
  </si>
  <si>
    <t>Cavadini</t>
  </si>
  <si>
    <t>marco.renato.cavadini@gmail.com</t>
  </si>
  <si>
    <t>Belchenring 231</t>
  </si>
  <si>
    <t>4301 Allschwil</t>
  </si>
  <si>
    <t>0793316120</t>
  </si>
  <si>
    <t>Marcus</t>
  </si>
  <si>
    <t>Herren</t>
  </si>
  <si>
    <t>marcus.d.herren@gmail.com</t>
  </si>
  <si>
    <t>stadthausgasse 194</t>
  </si>
  <si>
    <t>4230 Basel</t>
  </si>
  <si>
    <t>0764088819</t>
  </si>
  <si>
    <t>Ferré</t>
  </si>
  <si>
    <t>mariaferre76@hotmail.com</t>
  </si>
  <si>
    <t>Belchenring 232</t>
  </si>
  <si>
    <t>4302 Allschwil</t>
  </si>
  <si>
    <t>0774141221</t>
  </si>
  <si>
    <t>Mele</t>
  </si>
  <si>
    <t>maria_elem@yahoo.com</t>
  </si>
  <si>
    <t>stadthausgasse 195</t>
  </si>
  <si>
    <t>4231 Basel</t>
  </si>
  <si>
    <t>0795096718</t>
  </si>
  <si>
    <t>Rizzo</t>
  </si>
  <si>
    <t>mary.rizzo@ymail.com</t>
  </si>
  <si>
    <t>Belchenring 233</t>
  </si>
  <si>
    <t>4303 Allschwil</t>
  </si>
  <si>
    <t>0796416237</t>
  </si>
  <si>
    <t>Pazos</t>
  </si>
  <si>
    <t>maria.pazos@cutandbrush.ch</t>
  </si>
  <si>
    <t>stadthausgasse 196</t>
  </si>
  <si>
    <t>4232 Basel</t>
  </si>
  <si>
    <t>0794165020</t>
  </si>
  <si>
    <t>Marija </t>
  </si>
  <si>
    <t>Jencic</t>
  </si>
  <si>
    <t>marija_j86@hotmail.com</t>
  </si>
  <si>
    <t>Belchenring 234</t>
  </si>
  <si>
    <t>4304 Allschwil</t>
  </si>
  <si>
    <t>0764593237</t>
  </si>
  <si>
    <t>Marija</t>
  </si>
  <si>
    <t>Markovic</t>
  </si>
  <si>
    <t>marija.markovic@yahoo.de</t>
  </si>
  <si>
    <t>stadthausgasse 197</t>
  </si>
  <si>
    <t>4233 Basel</t>
  </si>
  <si>
    <t>0794165020 </t>
  </si>
  <si>
    <t>Jencic </t>
  </si>
  <si>
    <t>marija_j86@gmx.ch </t>
  </si>
  <si>
    <t>Belchenring 235</t>
  </si>
  <si>
    <t>4305 Allschwil</t>
  </si>
  <si>
    <t>0794317474</t>
  </si>
  <si>
    <t>Marina</t>
  </si>
  <si>
    <t>Prins</t>
  </si>
  <si>
    <t>processconsulting@poet.ch</t>
  </si>
  <si>
    <t>stadthausgasse 198</t>
  </si>
  <si>
    <t>4234 Basel</t>
  </si>
  <si>
    <t>0765756847</t>
  </si>
  <si>
    <t>marina</t>
  </si>
  <si>
    <t>cantafio</t>
  </si>
  <si>
    <t>marina_lajolla@hotmail.com</t>
  </si>
  <si>
    <t>Belchenring 236</t>
  </si>
  <si>
    <t>4306 Allschwil</t>
  </si>
  <si>
    <t>marina-berner@web.de</t>
  </si>
  <si>
    <t>stadthausgasse 199</t>
  </si>
  <si>
    <t>4235 Basel</t>
  </si>
  <si>
    <t>Pfeifer</t>
  </si>
  <si>
    <t>marinapfeifer@gmail.com</t>
  </si>
  <si>
    <t>Belchenring 237</t>
  </si>
  <si>
    <t>4307 Allschwil</t>
  </si>
  <si>
    <t>0787172568</t>
  </si>
  <si>
    <t>Mark</t>
  </si>
  <si>
    <t>Rawyler</t>
  </si>
  <si>
    <t>spycart@bluewin.ch</t>
  </si>
  <si>
    <t>stadthausgasse 200</t>
  </si>
  <si>
    <t>4236 Basel</t>
  </si>
  <si>
    <t>0799093888</t>
  </si>
  <si>
    <t>Markus</t>
  </si>
  <si>
    <t>Schuerch</t>
  </si>
  <si>
    <t>ssg@bluewin.ch</t>
  </si>
  <si>
    <t>Belchenring 238</t>
  </si>
  <si>
    <t>4308 Allschwil</t>
  </si>
  <si>
    <t>0795790115</t>
  </si>
  <si>
    <t>Reisgies</t>
  </si>
  <si>
    <t>m.reisgies@gmail.com</t>
  </si>
  <si>
    <t>stadthausgasse 201</t>
  </si>
  <si>
    <t>4237 Basel</t>
  </si>
  <si>
    <t>0793073711</t>
  </si>
  <si>
    <t>Markus </t>
  </si>
  <si>
    <t>Niggli</t>
  </si>
  <si>
    <t>gorana.capkun-niggli@novartis.com</t>
  </si>
  <si>
    <t>Belchenring 239</t>
  </si>
  <si>
    <t>4309 Allschwil</t>
  </si>
  <si>
    <t>0788230829</t>
  </si>
  <si>
    <t>Marlies</t>
  </si>
  <si>
    <t>Eichenberger</t>
  </si>
  <si>
    <t>meichenberger@bluewin.ch</t>
  </si>
  <si>
    <t>stadthausgasse 202</t>
  </si>
  <si>
    <t>4238 Basel</t>
  </si>
  <si>
    <t>0797052743</t>
  </si>
  <si>
    <t>Marlis</t>
  </si>
  <si>
    <t>Lübcke</t>
  </si>
  <si>
    <t>Marlis.Luebcke@baloise.ch</t>
  </si>
  <si>
    <t>Belchenring 240</t>
  </si>
  <si>
    <t>4310 Allschwil</t>
  </si>
  <si>
    <t>0796792628</t>
  </si>
  <si>
    <t>Martial</t>
  </si>
  <si>
    <t>Just</t>
  </si>
  <si>
    <t>martial.just@bluewin.ch</t>
  </si>
  <si>
    <t>stadthausgasse 203</t>
  </si>
  <si>
    <t>4239 Basel</t>
  </si>
  <si>
    <t>0762064600</t>
  </si>
  <si>
    <t>Bannwart</t>
  </si>
  <si>
    <t>mbannwart@hotmail.com</t>
  </si>
  <si>
    <t>Belchenring 241</t>
  </si>
  <si>
    <t>4311 Allschwil</t>
  </si>
  <si>
    <t>0787718740</t>
  </si>
  <si>
    <t>Dobr</t>
  </si>
  <si>
    <t>meridius@gmx.ch</t>
  </si>
  <si>
    <t>stadthausgasse 204</t>
  </si>
  <si>
    <t>4240 Basel</t>
  </si>
  <si>
    <t>0795135081</t>
  </si>
  <si>
    <t>martin</t>
  </si>
  <si>
    <t>rausch</t>
  </si>
  <si>
    <t>martin.rausch@hotmail.ch</t>
  </si>
  <si>
    <t>Belchenring 242</t>
  </si>
  <si>
    <t>4312 Allschwil</t>
  </si>
  <si>
    <t>Sautter</t>
  </si>
  <si>
    <t>Martin Sautter </t>
  </si>
  <si>
    <t>stadthausgasse 205</t>
  </si>
  <si>
    <t>4241 Basel</t>
  </si>
  <si>
    <t>0792142421</t>
  </si>
  <si>
    <t>Ermini</t>
  </si>
  <si>
    <t>m.ermini@tareno.com</t>
  </si>
  <si>
    <t>Belchenring 243</t>
  </si>
  <si>
    <t>4313 Allschwil</t>
  </si>
  <si>
    <t>Martina </t>
  </si>
  <si>
    <t>Bracamonte</t>
  </si>
  <si>
    <t>alcirab@gmx.ch</t>
  </si>
  <si>
    <t>stadthausgasse 206</t>
  </si>
  <si>
    <t>4242 Basel</t>
  </si>
  <si>
    <t>Martina</t>
  </si>
  <si>
    <t>Holzhüter</t>
  </si>
  <si>
    <t>martina.holzhueter@gmx.de</t>
  </si>
  <si>
    <t>Belchenring 244</t>
  </si>
  <si>
    <t>4314 Allschwil</t>
  </si>
  <si>
    <t>0767591564</t>
  </si>
  <si>
    <t>Mitterhuber</t>
  </si>
  <si>
    <t>martina.mitterhuber@fmi.ch</t>
  </si>
  <si>
    <t>stadthausgasse 207</t>
  </si>
  <si>
    <t>4243 Basel</t>
  </si>
  <si>
    <t>0765775723</t>
  </si>
  <si>
    <t>Meister</t>
  </si>
  <si>
    <t>mmartina.meister@gmail.com</t>
  </si>
  <si>
    <t>Belchenring 245</t>
  </si>
  <si>
    <t>4315 Allschwil</t>
  </si>
  <si>
    <t>Bühler</t>
  </si>
  <si>
    <t>martina-buehler@gmx.ch</t>
  </si>
  <si>
    <t>stadthausgasse 208</t>
  </si>
  <si>
    <t>4244 Basel</t>
  </si>
  <si>
    <t>0764797096</t>
  </si>
  <si>
    <t>Marzena</t>
  </si>
  <si>
    <t>Plewniok</t>
  </si>
  <si>
    <t>marzenaplewniok@hotmail.com</t>
  </si>
  <si>
    <t>Belchenring 246</t>
  </si>
  <si>
    <t>4316 Allschwil</t>
  </si>
  <si>
    <t>Toczko</t>
  </si>
  <si>
    <t>marzenatoczko@hotmail.com</t>
  </si>
  <si>
    <t>stadthausgasse 209</t>
  </si>
  <si>
    <t>4245 Basel</t>
  </si>
  <si>
    <t>0774545155</t>
  </si>
  <si>
    <t>Massimo</t>
  </si>
  <si>
    <t>Massoletti</t>
  </si>
  <si>
    <t>mmassoletti@intergga.ch</t>
  </si>
  <si>
    <t>Belchenring 247</t>
  </si>
  <si>
    <t>4317 Allschwil</t>
  </si>
  <si>
    <t>Matthias</t>
  </si>
  <si>
    <t>Zimmermann</t>
  </si>
  <si>
    <t>Matthias.Zimmermann@carrier-ref.ch</t>
  </si>
  <si>
    <t>stadthausgasse 210</t>
  </si>
  <si>
    <t>4246 Basel</t>
  </si>
  <si>
    <t>0764979900</t>
  </si>
  <si>
    <t>Gloor</t>
  </si>
  <si>
    <t>matthi111@hotmail.com</t>
  </si>
  <si>
    <t>Belchenring 248</t>
  </si>
  <si>
    <t>4318 Allschwil</t>
  </si>
  <si>
    <t>Sturm</t>
  </si>
  <si>
    <t>matt.sturm@gmx.de</t>
  </si>
  <si>
    <t>stadthausgasse 211</t>
  </si>
  <si>
    <t>4247 Basel</t>
  </si>
  <si>
    <t>0796602010</t>
  </si>
  <si>
    <t>Ebner</t>
  </si>
  <si>
    <t>matthias.ebner@sunrise.ch</t>
  </si>
  <si>
    <t>Belchenring 249</t>
  </si>
  <si>
    <t>4319 Allschwil</t>
  </si>
  <si>
    <t>0763304217</t>
  </si>
  <si>
    <t>Kreutz</t>
  </si>
  <si>
    <t>matthias.kreutz@mac.com</t>
  </si>
  <si>
    <t>stadthausgasse 212</t>
  </si>
  <si>
    <t>4248 Basel</t>
  </si>
  <si>
    <t>Bräuninger</t>
  </si>
  <si>
    <t>m.braeuninger@gmx.net</t>
  </si>
  <si>
    <t>Belchenring 250</t>
  </si>
  <si>
    <t>4320 Allschwil</t>
  </si>
  <si>
    <t>0764521829</t>
  </si>
  <si>
    <t>Trapp</t>
  </si>
  <si>
    <t>rider76@freenet.de</t>
  </si>
  <si>
    <t>stadthausgasse 213</t>
  </si>
  <si>
    <t>4249 Basel</t>
  </si>
  <si>
    <t>0786037137</t>
  </si>
  <si>
    <t>Maurizio</t>
  </si>
  <si>
    <t>Parenti</t>
  </si>
  <si>
    <t>mparenti@yahoo.com</t>
  </si>
  <si>
    <t>Belchenring 251</t>
  </si>
  <si>
    <t>4321 Allschwil</t>
  </si>
  <si>
    <t>Maya</t>
  </si>
  <si>
    <t>Bräm</t>
  </si>
  <si>
    <t>mdbraem@smile.ch</t>
  </si>
  <si>
    <t>stadthausgasse 214</t>
  </si>
  <si>
    <t>4250 Basel</t>
  </si>
  <si>
    <t>0798746706</t>
  </si>
  <si>
    <t>Melanie</t>
  </si>
  <si>
    <t>Backer</t>
  </si>
  <si>
    <t>melbee29.mb@gmail.com</t>
  </si>
  <si>
    <t>Belchenring 252</t>
  </si>
  <si>
    <t>4322 Allschwil</t>
  </si>
  <si>
    <t>Nast</t>
  </si>
  <si>
    <t>nast.melanie@gmx.de</t>
  </si>
  <si>
    <t>stadthausgasse 215</t>
  </si>
  <si>
    <t>4251 Basel</t>
  </si>
  <si>
    <t>0786539099</t>
  </si>
  <si>
    <t>Mercurio</t>
  </si>
  <si>
    <t>Marturana</t>
  </si>
  <si>
    <t>mercuriomarturana@hotmail.com</t>
  </si>
  <si>
    <t>Belchenring 253</t>
  </si>
  <si>
    <t>4323 Allschwil</t>
  </si>
  <si>
    <t>Michael</t>
  </si>
  <si>
    <t>Hilty</t>
  </si>
  <si>
    <t>michael.hilty@baloise.ch</t>
  </si>
  <si>
    <t>stadthausgasse 216</t>
  </si>
  <si>
    <t>4252 Basel</t>
  </si>
  <si>
    <t>0786386337</t>
  </si>
  <si>
    <t>Atici</t>
  </si>
  <si>
    <t>michael.atici@gmx.ch</t>
  </si>
  <si>
    <t>Belchenring 254</t>
  </si>
  <si>
    <t>4324 Allschwil</t>
  </si>
  <si>
    <t>Frischknecht</t>
  </si>
  <si>
    <t>frischknecht@gmx.ch</t>
  </si>
  <si>
    <t>stadthausgasse 217</t>
  </si>
  <si>
    <t>4253 Basel</t>
  </si>
  <si>
    <t>0788993795</t>
  </si>
  <si>
    <t>Beugger</t>
  </si>
  <si>
    <t>mbeugger@web.de</t>
  </si>
  <si>
    <t>Belchenring 255</t>
  </si>
  <si>
    <t>4325 Allschwil</t>
  </si>
  <si>
    <t>0774463180</t>
  </si>
  <si>
    <t>Dhur</t>
  </si>
  <si>
    <t>michel81@yahoo.com</t>
  </si>
  <si>
    <t>stadthausgasse 218</t>
  </si>
  <si>
    <t>4254 Basel</t>
  </si>
  <si>
    <t>0787104465</t>
  </si>
  <si>
    <t>Brandner</t>
  </si>
  <si>
    <t>mconfusion@ymail.com</t>
  </si>
  <si>
    <t>Belchenring 256</t>
  </si>
  <si>
    <t>4326 Allschwil</t>
  </si>
  <si>
    <t>0793777249</t>
  </si>
  <si>
    <t>m.jenal@gmail.com</t>
  </si>
  <si>
    <t>stadthausgasse 219</t>
  </si>
  <si>
    <t>4255 Basel</t>
  </si>
  <si>
    <t>fordolino1@gmx.net</t>
  </si>
  <si>
    <t>Belchenring 257</t>
  </si>
  <si>
    <t>4327 Allschwil</t>
  </si>
  <si>
    <t>0796379145</t>
  </si>
  <si>
    <t>Michelle </t>
  </si>
  <si>
    <t>Schweizer</t>
  </si>
  <si>
    <t>michelleschweizer88@hotmail.com</t>
  </si>
  <si>
    <t>stadthausgasse 220</t>
  </si>
  <si>
    <t>4256 Basel</t>
  </si>
  <si>
    <t>0793627756</t>
  </si>
  <si>
    <t>Michelle</t>
  </si>
  <si>
    <t>Roggo</t>
  </si>
  <si>
    <t>michelle222@hotmail.ch</t>
  </si>
  <si>
    <t>St. Jakobs-Str. 126</t>
  </si>
  <si>
    <t>Basel</t>
  </si>
  <si>
    <t>0774063832</t>
  </si>
  <si>
    <t>Milica</t>
  </si>
  <si>
    <t>milicamarkovic@hotmail.com</t>
  </si>
  <si>
    <t>stadthausgasse 221</t>
  </si>
  <si>
    <t>4257 Basel</t>
  </si>
  <si>
    <t>Miriam </t>
  </si>
  <si>
    <t>Hüsler</t>
  </si>
  <si>
    <t>miriam.huesler@bluemail.ch</t>
  </si>
  <si>
    <t>Belchenring 259</t>
  </si>
  <si>
    <t>4329 Allschwil</t>
  </si>
  <si>
    <t>0796551478</t>
  </si>
  <si>
    <t>Miriam</t>
  </si>
  <si>
    <t>Marrone</t>
  </si>
  <si>
    <t>miriam_lady_83@hotmail.com</t>
  </si>
  <si>
    <t>stadthausgasse 222</t>
  </si>
  <si>
    <t>4258 Basel</t>
  </si>
  <si>
    <t>07634645616</t>
  </si>
  <si>
    <t>Mirjam</t>
  </si>
  <si>
    <t>Allgaier</t>
  </si>
  <si>
    <t>mirjam_wolf_allgaier@web.de</t>
  </si>
  <si>
    <t>Belchenring 260</t>
  </si>
  <si>
    <t>4330 Allschwil</t>
  </si>
  <si>
    <t>0765593723</t>
  </si>
  <si>
    <t>Häge</t>
  </si>
  <si>
    <t>Mirjam.Haege@gmx.de</t>
  </si>
  <si>
    <t>stadthausgasse 223</t>
  </si>
  <si>
    <t>4259 Basel</t>
  </si>
  <si>
    <t>0796286234</t>
  </si>
  <si>
    <t>Pierig</t>
  </si>
  <si>
    <t>mirjampierig@brainheart.ch</t>
  </si>
  <si>
    <t>Belchenring 261</t>
  </si>
  <si>
    <t>4331 Allschwil</t>
  </si>
  <si>
    <t>mirjam</t>
  </si>
  <si>
    <t>arpagaus</t>
  </si>
  <si>
    <t>mirjam.arpagaus@gmail.com</t>
  </si>
  <si>
    <t>stadthausgasse 224</t>
  </si>
  <si>
    <t>4260 Basel</t>
  </si>
  <si>
    <t>Kottmann</t>
  </si>
  <si>
    <t>mirjam.kottmann@gmail.com</t>
  </si>
  <si>
    <t>Belchenring 262</t>
  </si>
  <si>
    <t>4332 Allschwil</t>
  </si>
  <si>
    <t>0788715308</t>
  </si>
  <si>
    <t>Kern</t>
  </si>
  <si>
    <t>greenandpink@gmx.ch</t>
  </si>
  <si>
    <t>stadthausgasse 225</t>
  </si>
  <si>
    <t>4261 Basel</t>
  </si>
  <si>
    <t>0763909707</t>
  </si>
  <si>
    <t>Mischa</t>
  </si>
  <si>
    <t>Veith</t>
  </si>
  <si>
    <t>mischaveith@yahoo.com</t>
  </si>
  <si>
    <t>Belchenring 263</t>
  </si>
  <si>
    <t>4333 Allschwil</t>
  </si>
  <si>
    <t>pfeuti</t>
  </si>
  <si>
    <t>mischa.pfeuti@hotmail.com</t>
  </si>
  <si>
    <t>stadthausgasse 226</t>
  </si>
  <si>
    <t>4262 Basel</t>
  </si>
  <si>
    <t>0792737745</t>
  </si>
  <si>
    <t>monica</t>
  </si>
  <si>
    <t>elmayan</t>
  </si>
  <si>
    <t>Monica@Elmayan.ch</t>
  </si>
  <si>
    <t>Belchenring 264</t>
  </si>
  <si>
    <t>4334 Allschwil</t>
  </si>
  <si>
    <t>0765233411</t>
  </si>
  <si>
    <t>Monica </t>
  </si>
  <si>
    <t>Galante</t>
  </si>
  <si>
    <t>monica.galante@gmx.ch</t>
  </si>
  <si>
    <t>stadthausgasse 227</t>
  </si>
  <si>
    <t>4263 Basel</t>
  </si>
  <si>
    <t>0792388945</t>
  </si>
  <si>
    <t>Monique</t>
  </si>
  <si>
    <t>Chevalley</t>
  </si>
  <si>
    <t>monique.chevalley@gmx.ch</t>
  </si>
  <si>
    <t>Belchenring 265</t>
  </si>
  <si>
    <t>4335 Allschwil</t>
  </si>
  <si>
    <t>0764498598</t>
  </si>
  <si>
    <t>Muriel</t>
  </si>
  <si>
    <t>Gächter</t>
  </si>
  <si>
    <t>mbyja77@yahoo.de</t>
  </si>
  <si>
    <t>Belchenring 266</t>
  </si>
  <si>
    <t>4336 Allschwil</t>
  </si>
  <si>
    <t>0763800378</t>
  </si>
  <si>
    <t>Nadia</t>
  </si>
  <si>
    <t>Kovacs</t>
  </si>
  <si>
    <t>n.bautista@gutzwiller.ch</t>
  </si>
  <si>
    <t>Nadine</t>
  </si>
  <si>
    <t>Yasikoff</t>
  </si>
  <si>
    <t>n.yasikoff@bluewin.ch</t>
  </si>
  <si>
    <t>Belchenring 267</t>
  </si>
  <si>
    <t>4337 Allschwil</t>
  </si>
  <si>
    <t>0796821326</t>
  </si>
  <si>
    <t>Schecker</t>
  </si>
  <si>
    <t>Nadine.schecker@novartis.com</t>
  </si>
  <si>
    <t>stadthausgasse 230</t>
  </si>
  <si>
    <t>4266 Basel</t>
  </si>
  <si>
    <t>0799470629</t>
  </si>
  <si>
    <t>Adler</t>
  </si>
  <si>
    <t>nadeadler@hotmail.com</t>
  </si>
  <si>
    <t>Belchenring 268</t>
  </si>
  <si>
    <t>4338 Allschwil</t>
  </si>
  <si>
    <t>0794696359</t>
  </si>
  <si>
    <t>Nadja</t>
  </si>
  <si>
    <t>Iellamo</t>
  </si>
  <si>
    <t>f.nadja@gmx.ch</t>
  </si>
  <si>
    <t>stadthausgasse 231</t>
  </si>
  <si>
    <t>4267 Basel</t>
  </si>
  <si>
    <t>0786174406</t>
  </si>
  <si>
    <t>Schneider</t>
  </si>
  <si>
    <t>nadno@freenet.de</t>
  </si>
  <si>
    <t>Belchenring 269</t>
  </si>
  <si>
    <t>4339 Allschwil</t>
  </si>
  <si>
    <t>0797446326</t>
  </si>
  <si>
    <t>Natalie</t>
  </si>
  <si>
    <t>de Groot</t>
  </si>
  <si>
    <t>n_c_schmid@yahoo.com</t>
  </si>
  <si>
    <t>stadthausgasse 232</t>
  </si>
  <si>
    <t>4268 Basel</t>
  </si>
  <si>
    <t>Natascha</t>
  </si>
  <si>
    <t>Lorkovic</t>
  </si>
  <si>
    <t>lorkovic@vtxmail.ch</t>
  </si>
  <si>
    <t>Belchenring 270</t>
  </si>
  <si>
    <t>4340 Allschwil</t>
  </si>
  <si>
    <t>Nathalie</t>
  </si>
  <si>
    <t>Schaufelberger</t>
  </si>
  <si>
    <t>nathalie.schaufelberger@samariter.ch</t>
  </si>
  <si>
    <t>stadthausgasse 233</t>
  </si>
  <si>
    <t>4269 Basel</t>
  </si>
  <si>
    <t>0765739591</t>
  </si>
  <si>
    <t>Laissue</t>
  </si>
  <si>
    <t>n.laissue@bluewin.ch</t>
  </si>
  <si>
    <t>Belchenring 271</t>
  </si>
  <si>
    <t>4341 Allschwil</t>
  </si>
  <si>
    <t>0774736416</t>
  </si>
  <si>
    <t>nathi.glaser@gmx.ch</t>
  </si>
  <si>
    <t>stadthausgasse 234</t>
  </si>
  <si>
    <t>4270 Basel</t>
  </si>
  <si>
    <t>0764166464</t>
  </si>
  <si>
    <t>Menz</t>
  </si>
  <si>
    <t>nathalie.menz@teleport.ch</t>
  </si>
  <si>
    <t>Belchenring 272</t>
  </si>
  <si>
    <t>4342 Allschwil</t>
  </si>
  <si>
    <t>0786331554</t>
  </si>
  <si>
    <t>neng</t>
  </si>
  <si>
    <t>Mbah</t>
  </si>
  <si>
    <t>ningyyo@hotmail.com</t>
  </si>
  <si>
    <t>stadthausgasse 235</t>
  </si>
  <si>
    <t>4271 Basel</t>
  </si>
  <si>
    <t>0788541469</t>
  </si>
  <si>
    <t>Nghia</t>
  </si>
  <si>
    <t>Hua</t>
  </si>
  <si>
    <t>yizee.tabs@gmail.com</t>
  </si>
  <si>
    <t>Belchenring 273</t>
  </si>
  <si>
    <t>4343 Allschwil</t>
  </si>
  <si>
    <t>Nico</t>
  </si>
  <si>
    <t>Botticella</t>
  </si>
  <si>
    <t>nicolabotticella@hotmail.com</t>
  </si>
  <si>
    <t>stadthausgasse 236</t>
  </si>
  <si>
    <t>4272 Basel</t>
  </si>
  <si>
    <t>0774750611</t>
  </si>
  <si>
    <t>Nicola</t>
  </si>
  <si>
    <t>Patrickson</t>
  </si>
  <si>
    <t>nicola.patrickson@gmail.com</t>
  </si>
  <si>
    <t>Belchenring 274</t>
  </si>
  <si>
    <t>4344 Allschwil</t>
  </si>
  <si>
    <t>0786612585</t>
  </si>
  <si>
    <t>Nicolas</t>
  </si>
  <si>
    <t>Furrer</t>
  </si>
  <si>
    <t>nicolas.furrer@bluewin.ch</t>
  </si>
  <si>
    <t>stadthausgasse 237</t>
  </si>
  <si>
    <t>4273 Basel</t>
  </si>
  <si>
    <t>Nicole</t>
  </si>
  <si>
    <t>Posewski</t>
  </si>
  <si>
    <t>be@action. ms</t>
  </si>
  <si>
    <t>Belchenring 275</t>
  </si>
  <si>
    <t>4345 Allschwil</t>
  </si>
  <si>
    <t>0788178512</t>
  </si>
  <si>
    <t>Blunier</t>
  </si>
  <si>
    <t>blunier1@gmx.ch</t>
  </si>
  <si>
    <t>stadthausgasse 238</t>
  </si>
  <si>
    <t>4274 Basel</t>
  </si>
  <si>
    <t>0796985887</t>
  </si>
  <si>
    <t>Hufschmid</t>
  </si>
  <si>
    <t>nicolehuf@hotmail.com</t>
  </si>
  <si>
    <t>Belchenring 276</t>
  </si>
  <si>
    <t>4346 Allschwil</t>
  </si>
  <si>
    <t>0796092658</t>
  </si>
  <si>
    <t>Saner</t>
  </si>
  <si>
    <t>nicole.saner@bluewin.ch</t>
  </si>
  <si>
    <t>stadthausgasse 239</t>
  </si>
  <si>
    <t>4275 Basel</t>
  </si>
  <si>
    <t>0765295388</t>
  </si>
  <si>
    <t>Holler</t>
  </si>
  <si>
    <t>nholler@gmx.ch</t>
  </si>
  <si>
    <t>Belchenring 277</t>
  </si>
  <si>
    <t>4347 Allschwil</t>
  </si>
  <si>
    <t>0794095710</t>
  </si>
  <si>
    <t>n_meier@bluewin.ch</t>
  </si>
  <si>
    <t>stadthausgasse 240</t>
  </si>
  <si>
    <t>4276 Basel</t>
  </si>
  <si>
    <t>Schaad</t>
  </si>
  <si>
    <t>nicoleschaad@gmail.com</t>
  </si>
  <si>
    <t>Belchenring 278</t>
  </si>
  <si>
    <t>4348 Allschwil</t>
  </si>
  <si>
    <t>0767964712</t>
  </si>
  <si>
    <t>Nidhi</t>
  </si>
  <si>
    <t>Dani</t>
  </si>
  <si>
    <t>nidhidani@gmail.com</t>
  </si>
  <si>
    <t>stadthausgasse 241</t>
  </si>
  <si>
    <t>4277 Basel</t>
  </si>
  <si>
    <t>0765615957</t>
  </si>
  <si>
    <t>Nikola</t>
  </si>
  <si>
    <t>Kokosar</t>
  </si>
  <si>
    <t>blue-moon@gmx.ch</t>
  </si>
  <si>
    <t>Belchenring 279</t>
  </si>
  <si>
    <t>4349 Allschwil</t>
  </si>
  <si>
    <t>Nina</t>
  </si>
  <si>
    <t>Janson</t>
  </si>
  <si>
    <t>n.janzon@gmx.de</t>
  </si>
  <si>
    <t>stadthausgasse 242</t>
  </si>
  <si>
    <t>4278 Basel</t>
  </si>
  <si>
    <t>Noemi</t>
  </si>
  <si>
    <t>Rauscher</t>
  </si>
  <si>
    <t>noemiraus@yahoo.com</t>
  </si>
  <si>
    <t>Belchenring 280</t>
  </si>
  <si>
    <t>4350 Allschwil</t>
  </si>
  <si>
    <t>004915123837742</t>
  </si>
  <si>
    <t>Nona</t>
  </si>
  <si>
    <t>Modrow</t>
  </si>
  <si>
    <t>nona.m@web.de</t>
  </si>
  <si>
    <t>stadthausgasse 243</t>
  </si>
  <si>
    <t>4279 Basel</t>
  </si>
  <si>
    <t>nurhak</t>
  </si>
  <si>
    <t>dogan</t>
  </si>
  <si>
    <t>nurhak_d@hotmail.com</t>
  </si>
  <si>
    <t>Belchenring 281</t>
  </si>
  <si>
    <t>4351 Allschwil</t>
  </si>
  <si>
    <t>0788704282</t>
  </si>
  <si>
    <t>Nuria</t>
  </si>
  <si>
    <t>Beceiro</t>
  </si>
  <si>
    <t>nuriabeceiro@gmx.ch</t>
  </si>
  <si>
    <t>stadthausgasse 244</t>
  </si>
  <si>
    <t>4280 Basel</t>
  </si>
  <si>
    <t>oksana</t>
  </si>
  <si>
    <t>soloviy</t>
  </si>
  <si>
    <t>oksysolo@gmail.com</t>
  </si>
  <si>
    <t>Belchenring 282</t>
  </si>
  <si>
    <t>4352 Allschwil</t>
  </si>
  <si>
    <t>Olaf</t>
  </si>
  <si>
    <t>olaf.marggraf@sunrise.ch</t>
  </si>
  <si>
    <t>stadthausgasse 245</t>
  </si>
  <si>
    <t>4281 Basel</t>
  </si>
  <si>
    <t>0033633775522</t>
  </si>
  <si>
    <t>Olivier</t>
  </si>
  <si>
    <t>Bao</t>
  </si>
  <si>
    <t>olibao@free.fr</t>
  </si>
  <si>
    <t>Belchenring 283</t>
  </si>
  <si>
    <t>4353 Allschwil</t>
  </si>
  <si>
    <t>0793749251</t>
  </si>
  <si>
    <t>Wyss</t>
  </si>
  <si>
    <t>olivier_wyss@bluewin.ch</t>
  </si>
  <si>
    <t>stadthausgasse 246</t>
  </si>
  <si>
    <t>4282 Basel</t>
  </si>
  <si>
    <t>0794572948</t>
  </si>
  <si>
    <t>Omar</t>
  </si>
  <si>
    <t>Momente</t>
  </si>
  <si>
    <t>momente@gmx.ch</t>
  </si>
  <si>
    <t>Belchenring 284</t>
  </si>
  <si>
    <t>4354 Allschwil</t>
  </si>
  <si>
    <t>Ortwin</t>
  </si>
  <si>
    <t>Folk</t>
  </si>
  <si>
    <t>folk@gmx.de</t>
  </si>
  <si>
    <t>stadthausgasse 247</t>
  </si>
  <si>
    <t>4283 Basel</t>
  </si>
  <si>
    <t>0786664834</t>
  </si>
  <si>
    <t>Oscar</t>
  </si>
  <si>
    <t>Carluccio</t>
  </si>
  <si>
    <t>Denisebuergi@gmx.ch</t>
  </si>
  <si>
    <t>Belchenring 285</t>
  </si>
  <si>
    <t>4355 Allschwil</t>
  </si>
  <si>
    <t>Otto</t>
  </si>
  <si>
    <t>Fajardo</t>
  </si>
  <si>
    <t>elcaballero_carmelo@hotmail.com</t>
  </si>
  <si>
    <t>stadthausgasse 248</t>
  </si>
  <si>
    <t>4284 Basel</t>
  </si>
  <si>
    <t>0799646996</t>
  </si>
  <si>
    <t>otto</t>
  </si>
  <si>
    <t>rudin</t>
  </si>
  <si>
    <t>otto.rudin@krueger.ch</t>
  </si>
  <si>
    <t>Belchenring 286</t>
  </si>
  <si>
    <t>4356 Allschwil</t>
  </si>
  <si>
    <t>Pascal</t>
  </si>
  <si>
    <t>Risi</t>
  </si>
  <si>
    <t>pascalrisi@gmx.ch</t>
  </si>
  <si>
    <t>stadthausgasse 249</t>
  </si>
  <si>
    <t>4285 Basel</t>
  </si>
  <si>
    <t>Patricia</t>
  </si>
  <si>
    <t>Scrocco</t>
  </si>
  <si>
    <t>scrocco.patricia@wanadoo.fr</t>
  </si>
  <si>
    <t>Belchenring 287</t>
  </si>
  <si>
    <t>4357 Allschwil</t>
  </si>
  <si>
    <t>0793152965</t>
  </si>
  <si>
    <t>Bülhoff</t>
  </si>
  <si>
    <t>patricia_buelhoff@bluewin.ch</t>
  </si>
  <si>
    <t>stadthausgasse 250</t>
  </si>
  <si>
    <t>4286 Basel</t>
  </si>
  <si>
    <t>0762830787</t>
  </si>
  <si>
    <t>patricia_lopez883@msn.com</t>
  </si>
  <si>
    <t>Belchenring 288</t>
  </si>
  <si>
    <t>4358 Allschwil</t>
  </si>
  <si>
    <t>0792827150</t>
  </si>
  <si>
    <t>Patrick</t>
  </si>
  <si>
    <t>Villiger</t>
  </si>
  <si>
    <t>pat.villiger@gmx.ch</t>
  </si>
  <si>
    <t>stadthausgasse 251</t>
  </si>
  <si>
    <t>4287 Basel</t>
  </si>
  <si>
    <t>0763398811</t>
  </si>
  <si>
    <t>Koutny</t>
  </si>
  <si>
    <t>patrick_koutny@bluewin.ch</t>
  </si>
  <si>
    <t>Belchenring 289</t>
  </si>
  <si>
    <t>4359 Allschwil</t>
  </si>
  <si>
    <t>Arnet</t>
  </si>
  <si>
    <t>patrickarnet@bluewin.ch</t>
  </si>
  <si>
    <t>stadthausgasse 252</t>
  </si>
  <si>
    <t>4288 Basel</t>
  </si>
  <si>
    <t>0789040401</t>
  </si>
  <si>
    <t>Patrizia</t>
  </si>
  <si>
    <t>Iseli</t>
  </si>
  <si>
    <t>patrizia.iseli@wuerth-ag.ch</t>
  </si>
  <si>
    <t>Belchenring 290</t>
  </si>
  <si>
    <t>4360 Allschwil</t>
  </si>
  <si>
    <t>0764892669</t>
  </si>
  <si>
    <t>Paul</t>
  </si>
  <si>
    <t>Andre</t>
  </si>
  <si>
    <t>paulxavierandre@gmail.com</t>
  </si>
  <si>
    <t>stadthausgasse 253</t>
  </si>
  <si>
    <t>4289 Basel</t>
  </si>
  <si>
    <t>Peppino</t>
  </si>
  <si>
    <t>Melino</t>
  </si>
  <si>
    <t>p_melino@t-online.de</t>
  </si>
  <si>
    <t>Belchenring 291</t>
  </si>
  <si>
    <t>4361 Allschwil</t>
  </si>
  <si>
    <t>00788094127 </t>
  </si>
  <si>
    <t>Perez</t>
  </si>
  <si>
    <t>Sheila</t>
  </si>
  <si>
    <t>sheila_perez@hotmail.com</t>
  </si>
  <si>
    <t>stadthausgasse 254</t>
  </si>
  <si>
    <t>4290 Basel</t>
  </si>
  <si>
    <t>Peter</t>
  </si>
  <si>
    <t>pbuerki@teleport.ch</t>
  </si>
  <si>
    <t>Belchenring 292</t>
  </si>
  <si>
    <t>4362 Allschwil</t>
  </si>
  <si>
    <t>0797330991</t>
  </si>
  <si>
    <t>Frankenbach</t>
  </si>
  <si>
    <t>peter.frankenbach@gmx.ch</t>
  </si>
  <si>
    <t>stadthausgasse 255</t>
  </si>
  <si>
    <t>4291 Basel</t>
  </si>
  <si>
    <t>0786336105</t>
  </si>
  <si>
    <t>peter</t>
  </si>
  <si>
    <t>kuhn</t>
  </si>
  <si>
    <t>peter.kuhn@intergga.ch</t>
  </si>
  <si>
    <t>Belchenring 293</t>
  </si>
  <si>
    <t>4363 Allschwil</t>
  </si>
  <si>
    <t>0765862931</t>
  </si>
  <si>
    <t>Senn</t>
  </si>
  <si>
    <t>pedroman@sunrise.ch</t>
  </si>
  <si>
    <t>stadthausgasse 256</t>
  </si>
  <si>
    <t>4292 Basel</t>
  </si>
  <si>
    <t>Petra</t>
  </si>
  <si>
    <t>Espenschied</t>
  </si>
  <si>
    <t>petra.espenschied@gmail.com</t>
  </si>
  <si>
    <t>Belchenring 294</t>
  </si>
  <si>
    <t>4364 Allschwil</t>
  </si>
  <si>
    <t>0797236146</t>
  </si>
  <si>
    <t>Baumgarten</t>
  </si>
  <si>
    <t>petra.baumgarten@novartis.com</t>
  </si>
  <si>
    <t>stadthausgasse 257</t>
  </si>
  <si>
    <t>4293 Basel</t>
  </si>
  <si>
    <t>petra</t>
  </si>
  <si>
    <t>Passuello</t>
  </si>
  <si>
    <t>ppassuello@hotmail.com</t>
  </si>
  <si>
    <t>Belchenring 295</t>
  </si>
  <si>
    <t>4365 Allschwil</t>
  </si>
  <si>
    <t>0791390846</t>
  </si>
  <si>
    <t>Philip</t>
  </si>
  <si>
    <t>Reimer</t>
  </si>
  <si>
    <t>preimer@gmail.com</t>
  </si>
  <si>
    <t>Belchenring 296</t>
  </si>
  <si>
    <t>4366 Allschwil</t>
  </si>
  <si>
    <t>0763897607</t>
  </si>
  <si>
    <t>Philipp</t>
  </si>
  <si>
    <t>philipp.furrer@gmail.com</t>
  </si>
  <si>
    <t>stadthausgasse 259</t>
  </si>
  <si>
    <t>4295 Basel</t>
  </si>
  <si>
    <t>0794279812</t>
  </si>
  <si>
    <t>Bischof</t>
  </si>
  <si>
    <t>philipp.bischof@mobi.ch</t>
  </si>
  <si>
    <t>Belchenring 297</t>
  </si>
  <si>
    <t>4367 Allschwil</t>
  </si>
  <si>
    <t>Leibundgut</t>
  </si>
  <si>
    <t>baghi@intergga.ch</t>
  </si>
  <si>
    <t>stadthausgasse 260</t>
  </si>
  <si>
    <t>4296 Basel</t>
  </si>
  <si>
    <t>0793805368</t>
  </si>
  <si>
    <t>Philippe </t>
  </si>
  <si>
    <t>Hofstetter</t>
  </si>
  <si>
    <t>hofi@intergga.ch</t>
  </si>
  <si>
    <t>Belchenring 298</t>
  </si>
  <si>
    <t>4368 Allschwil</t>
  </si>
  <si>
    <t>0793211418</t>
  </si>
  <si>
    <t>Pierre</t>
  </si>
  <si>
    <t>Kaufmann</t>
  </si>
  <si>
    <t>ani_iljazovic@hotmail.com</t>
  </si>
  <si>
    <t>stadthausgasse 261</t>
  </si>
  <si>
    <t>4297 Basel</t>
  </si>
  <si>
    <t>0795449060</t>
  </si>
  <si>
    <t>Pirmin</t>
  </si>
  <si>
    <t>Fröhlicher</t>
  </si>
  <si>
    <t>pirmin@solnet.ch</t>
  </si>
  <si>
    <t>Belchenring 299</t>
  </si>
  <si>
    <t>4369 Allschwil</t>
  </si>
  <si>
    <t>Priska</t>
  </si>
  <si>
    <t>Giger</t>
  </si>
  <si>
    <t>giger.basel@diabetesgesellschaft.ch</t>
  </si>
  <si>
    <t>stadthausgasse 262</t>
  </si>
  <si>
    <t>4298 Basel</t>
  </si>
  <si>
    <t>0796920992</t>
  </si>
  <si>
    <t>Rachael</t>
  </si>
  <si>
    <t>Holman</t>
  </si>
  <si>
    <t>aus_rachael@yahoo.de</t>
  </si>
  <si>
    <t>Belchenring 300</t>
  </si>
  <si>
    <t>4370 Allschwil</t>
  </si>
  <si>
    <t>0792903544</t>
  </si>
  <si>
    <t>Rachel</t>
  </si>
  <si>
    <t>Tomek</t>
  </si>
  <si>
    <t>rae_tomek@hotmail.com</t>
  </si>
  <si>
    <t>stadthausgasse 263</t>
  </si>
  <si>
    <t>4299 Basel</t>
  </si>
  <si>
    <t>0794372090</t>
  </si>
  <si>
    <t>Raffaele</t>
  </si>
  <si>
    <t>Conte</t>
  </si>
  <si>
    <t>raconte76@yahoo.de</t>
  </si>
  <si>
    <t>Belchenring 301</t>
  </si>
  <si>
    <t>4371 Allschwil</t>
  </si>
  <si>
    <t>0774059544</t>
  </si>
  <si>
    <t>Rahel</t>
  </si>
  <si>
    <t>Hahn</t>
  </si>
  <si>
    <t>rahel.hahn@hotmail.com</t>
  </si>
  <si>
    <t>stadthausgasse 264</t>
  </si>
  <si>
    <t>4300 Basel</t>
  </si>
  <si>
    <t>00491762535277</t>
  </si>
  <si>
    <t>Ralf</t>
  </si>
  <si>
    <t>Zywicki</t>
  </si>
  <si>
    <t>Ralle1974@hotmail.com</t>
  </si>
  <si>
    <t>Belchenring 302</t>
  </si>
  <si>
    <t>4372 Allschwil</t>
  </si>
  <si>
    <t>0797420567</t>
  </si>
  <si>
    <t>Ramona</t>
  </si>
  <si>
    <t>Markl</t>
  </si>
  <si>
    <t>ramona.markl@gmx.ch</t>
  </si>
  <si>
    <t>stadthausgasse 265</t>
  </si>
  <si>
    <t>4301 Basel</t>
  </si>
  <si>
    <t>0796013737</t>
  </si>
  <si>
    <t>Raphael</t>
  </si>
  <si>
    <t>Hilpert</t>
  </si>
  <si>
    <t>raphee85@hotmail.com</t>
  </si>
  <si>
    <t>Belchenring 303</t>
  </si>
  <si>
    <t>4373 Allschwil</t>
  </si>
  <si>
    <t>0788864741</t>
  </si>
  <si>
    <t>Schurr</t>
  </si>
  <si>
    <t>raphael.schurr@gmail.com</t>
  </si>
  <si>
    <t>stadthausgasse 266</t>
  </si>
  <si>
    <t>4302 Basel</t>
  </si>
  <si>
    <t>0797116402</t>
  </si>
  <si>
    <t>Rebeca</t>
  </si>
  <si>
    <t>Steinhöfel-Cordova</t>
  </si>
  <si>
    <t>reby@gmx.net</t>
  </si>
  <si>
    <t>Belchenring 304</t>
  </si>
  <si>
    <t>4374 Allschwil</t>
  </si>
  <si>
    <t>0765267348</t>
  </si>
  <si>
    <t>Rebekkah</t>
  </si>
  <si>
    <t>Laeuchli</t>
  </si>
  <si>
    <t>rebekkah@laeuchli.com</t>
  </si>
  <si>
    <t>stadthausgasse 267</t>
  </si>
  <si>
    <t>4303 Basel</t>
  </si>
  <si>
    <t>0795846718</t>
  </si>
  <si>
    <t>Regula</t>
  </si>
  <si>
    <t>Trueb</t>
  </si>
  <si>
    <t>regula_trueb@hotmail.com</t>
  </si>
  <si>
    <t>Belchenring 305</t>
  </si>
  <si>
    <t>4375 Allschwil</t>
  </si>
  <si>
    <t>0792425336</t>
  </si>
  <si>
    <t>Remo</t>
  </si>
  <si>
    <t>Peduzzi</t>
  </si>
  <si>
    <t>Remo.peduzzi@ gmail.com</t>
  </si>
  <si>
    <t>stadthausgasse 268</t>
  </si>
  <si>
    <t>4304 Basel</t>
  </si>
  <si>
    <t>Rena</t>
  </si>
  <si>
    <t>Suter</t>
  </si>
  <si>
    <t>renasuter@hotmail.com</t>
  </si>
  <si>
    <t>Belchenring 306</t>
  </si>
  <si>
    <t>4376 Allschwil</t>
  </si>
  <si>
    <t>0794687098</t>
  </si>
  <si>
    <t>Renata</t>
  </si>
  <si>
    <t>Kirsching</t>
  </si>
  <si>
    <t>renata.kirsching@gmail.com</t>
  </si>
  <si>
    <t>stadthausgasse 269</t>
  </si>
  <si>
    <t>4305 Basel</t>
  </si>
  <si>
    <t>0792407289</t>
  </si>
  <si>
    <t>René</t>
  </si>
  <si>
    <t>Depmer</t>
  </si>
  <si>
    <t>Rdepmer@bluewin.ch</t>
  </si>
  <si>
    <t>Belchenring 307</t>
  </si>
  <si>
    <t>4377 Allschwil</t>
  </si>
  <si>
    <t>Reto</t>
  </si>
  <si>
    <t>Möri</t>
  </si>
  <si>
    <t>retomoeri@bluewin.ch</t>
  </si>
  <si>
    <t>stadthausgasse 270</t>
  </si>
  <si>
    <t>4306 Basel</t>
  </si>
  <si>
    <t>0797886419 </t>
  </si>
  <si>
    <t>Richard</t>
  </si>
  <si>
    <t>Koch</t>
  </si>
  <si>
    <t>rich_au_koch@hotmail.com</t>
  </si>
  <si>
    <t>Belchenring 308</t>
  </si>
  <si>
    <t>4378 Allschwil</t>
  </si>
  <si>
    <t>0762419423</t>
  </si>
  <si>
    <t>Robert</t>
  </si>
  <si>
    <t>Staske</t>
  </si>
  <si>
    <t>robstaske@gmx.de</t>
  </si>
  <si>
    <t>stadthausgasse 271</t>
  </si>
  <si>
    <t>4307 Basel</t>
  </si>
  <si>
    <t>0793441839</t>
  </si>
  <si>
    <t>Roberta</t>
  </si>
  <si>
    <t>Roberta.rizzo@stud.unibas.ch</t>
  </si>
  <si>
    <t>Belchenring 309</t>
  </si>
  <si>
    <t>4379 Allschwil</t>
  </si>
  <si>
    <t>0797356066</t>
  </si>
  <si>
    <t>Roberto</t>
  </si>
  <si>
    <t>Balmer</t>
  </si>
  <si>
    <t>roberto.balmer@gmail.com</t>
  </si>
  <si>
    <t>stadthausgasse 272</t>
  </si>
  <si>
    <t>4308 Basel</t>
  </si>
  <si>
    <t>Mantil</t>
  </si>
  <si>
    <t>nor.man@hotmail.de</t>
  </si>
  <si>
    <t>Belchenring 310</t>
  </si>
  <si>
    <t>4380 Allschwil</t>
  </si>
  <si>
    <t>Rocio</t>
  </si>
  <si>
    <t>Alvarez</t>
  </si>
  <si>
    <t>primas1983@hotmail.com</t>
  </si>
  <si>
    <t>stadthausgasse 273</t>
  </si>
  <si>
    <t>4309 Basel</t>
  </si>
  <si>
    <t>0786871199</t>
  </si>
  <si>
    <t>Roland </t>
  </si>
  <si>
    <t>rm.cq@bluewin.ch</t>
  </si>
  <si>
    <t>Belchenring 311</t>
  </si>
  <si>
    <t>4381 Allschwil</t>
  </si>
  <si>
    <t>0796887479</t>
  </si>
  <si>
    <t>Roland</t>
  </si>
  <si>
    <t>Marty</t>
  </si>
  <si>
    <t>rolandmarty@bluewin.ch</t>
  </si>
  <si>
    <t>stadthausgasse 274</t>
  </si>
  <si>
    <t>4310 Basel</t>
  </si>
  <si>
    <t>Romina</t>
  </si>
  <si>
    <t>Vecchi</t>
  </si>
  <si>
    <t>romina.vecchi@bluewin.ch</t>
  </si>
  <si>
    <t>Belchenring 312</t>
  </si>
  <si>
    <t>4382 Allschwil</t>
  </si>
  <si>
    <t>Rosa</t>
  </si>
  <si>
    <t>Canete</t>
  </si>
  <si>
    <t>rosa.canete@balcab.ch</t>
  </si>
  <si>
    <t>stadthausgasse 275</t>
  </si>
  <si>
    <t>4311 Basel</t>
  </si>
  <si>
    <t>Rosemarie</t>
  </si>
  <si>
    <t>Heller</t>
  </si>
  <si>
    <t>rosemarie.heller@gmx.ch</t>
  </si>
  <si>
    <t>Belchenring 313</t>
  </si>
  <si>
    <t>4383 Allschwil</t>
  </si>
  <si>
    <t>Rosina</t>
  </si>
  <si>
    <t>Glur</t>
  </si>
  <si>
    <t>rosinaglur@hotmail.com</t>
  </si>
  <si>
    <t>stadthausgasse 276</t>
  </si>
  <si>
    <t>4312 Basel</t>
  </si>
  <si>
    <t>0795429134</t>
  </si>
  <si>
    <t>Rouden</t>
  </si>
  <si>
    <t>Christophe</t>
  </si>
  <si>
    <t>crouden@swissonline.ch</t>
  </si>
  <si>
    <t>Belchenring 314</t>
  </si>
  <si>
    <t>4384 Allschwil</t>
  </si>
  <si>
    <t>0794606509</t>
  </si>
  <si>
    <t>Rowena</t>
  </si>
  <si>
    <t>Vettiger</t>
  </si>
  <si>
    <t>rowena_vettiger@yahoo.com</t>
  </si>
  <si>
    <t>stadthausgasse 277</t>
  </si>
  <si>
    <t>4313 Basel</t>
  </si>
  <si>
    <t>0795412114</t>
  </si>
  <si>
    <t>Rudolf</t>
  </si>
  <si>
    <t>Schnuderl</t>
  </si>
  <si>
    <t>schnuderlr@gmail.com</t>
  </si>
  <si>
    <t>Belchenring 315</t>
  </si>
  <si>
    <t>4385 Allschwil</t>
  </si>
  <si>
    <t>Rupen</t>
  </si>
  <si>
    <t>rupen@elmayan.ch</t>
  </si>
  <si>
    <t>stadthausgasse 278</t>
  </si>
  <si>
    <t>4314 Basel</t>
  </si>
  <si>
    <t>0797575617</t>
  </si>
  <si>
    <t>Sabine</t>
  </si>
  <si>
    <t>Keiser</t>
  </si>
  <si>
    <t>sabine_keiser@hotmail.com</t>
  </si>
  <si>
    <t>Belchenring 316</t>
  </si>
  <si>
    <t>4386 Allschwil</t>
  </si>
  <si>
    <t>Storost</t>
  </si>
  <si>
    <t>sb.storost@gmail.com</t>
  </si>
  <si>
    <t>stadthausgasse 279</t>
  </si>
  <si>
    <t>4315 Basel</t>
  </si>
  <si>
    <t>0765809270</t>
  </si>
  <si>
    <t>Disch</t>
  </si>
  <si>
    <t>sabine.disch@gmx.ch</t>
  </si>
  <si>
    <t>Belchenring 317</t>
  </si>
  <si>
    <t>4387 Allschwil</t>
  </si>
  <si>
    <t>0792335300</t>
  </si>
  <si>
    <t>Sabine </t>
  </si>
  <si>
    <t>Heinimann</t>
  </si>
  <si>
    <t>sabineheinimann@hotmail.com</t>
  </si>
  <si>
    <t>stadthausgasse 280</t>
  </si>
  <si>
    <t>4316 Basel</t>
  </si>
  <si>
    <t>00157722493232</t>
  </si>
  <si>
    <t>Lehmann</t>
  </si>
  <si>
    <t>immi70@web.de</t>
  </si>
  <si>
    <t>Belchenring 318</t>
  </si>
  <si>
    <t>4388 Allschwil</t>
  </si>
  <si>
    <t>0796138599</t>
  </si>
  <si>
    <t>sabrina</t>
  </si>
  <si>
    <t>fontana</t>
  </si>
  <si>
    <t>sabrina.fontana@bluemail.ch</t>
  </si>
  <si>
    <t>stadthausgasse 281</t>
  </si>
  <si>
    <t>4317 Basel</t>
  </si>
  <si>
    <t>Sabrina</t>
  </si>
  <si>
    <t>Biedermann</t>
  </si>
  <si>
    <t>s.biedermann@hotmail.com</t>
  </si>
  <si>
    <t>Belchenring 319</t>
  </si>
  <si>
    <t>4389 Allschwil</t>
  </si>
  <si>
    <t>0791744908</t>
  </si>
  <si>
    <t>sabrina.heller@gmx.ch</t>
  </si>
  <si>
    <t>stadthausgasse 282</t>
  </si>
  <si>
    <t>4318 Basel</t>
  </si>
  <si>
    <t>0766134133</t>
  </si>
  <si>
    <t>Sabrina-Lee</t>
  </si>
  <si>
    <t>Jungbauer</t>
  </si>
  <si>
    <t>sabrina.jungbauer@gmx.net</t>
  </si>
  <si>
    <t>Belchenring 320</t>
  </si>
  <si>
    <t>4390 Allschwil</t>
  </si>
  <si>
    <t>0787931266</t>
  </si>
  <si>
    <t>Sagar</t>
  </si>
  <si>
    <t>Daddikar</t>
  </si>
  <si>
    <t>sagar.daddikar@gmail.com</t>
  </si>
  <si>
    <t>stadthausgasse 283</t>
  </si>
  <si>
    <t>4319 Basel</t>
  </si>
  <si>
    <t>Kashinath Daddikar</t>
  </si>
  <si>
    <t>sagar.kashinath_daddikar@novartis.com</t>
  </si>
  <si>
    <t>Belchenring 321</t>
  </si>
  <si>
    <t>4391 Allschwil</t>
  </si>
  <si>
    <t>Salome </t>
  </si>
  <si>
    <t>Wittwer</t>
  </si>
  <si>
    <t>salome_wittwer@hotmail.com</t>
  </si>
  <si>
    <t>stadthausgasse 284</t>
  </si>
  <si>
    <t>4320 Basel</t>
  </si>
  <si>
    <t>Salome</t>
  </si>
  <si>
    <t>Zindel</t>
  </si>
  <si>
    <t>m.salome-zindel@gmx.ch</t>
  </si>
  <si>
    <t>Belchenring 322</t>
  </si>
  <si>
    <t>4392 Allschwil</t>
  </si>
  <si>
    <t>0763707869</t>
  </si>
  <si>
    <t>Samira</t>
  </si>
  <si>
    <t>Makhdoomi</t>
  </si>
  <si>
    <t>samira_makhdoomi7@yahoo.com</t>
  </si>
  <si>
    <t>stadthausgasse 285</t>
  </si>
  <si>
    <t>4321 Basel</t>
  </si>
  <si>
    <t>0793757553</t>
  </si>
  <si>
    <t>Samuel</t>
  </si>
  <si>
    <t>Spinnler</t>
  </si>
  <si>
    <t>jester.spinnler@live.de</t>
  </si>
  <si>
    <t>Belchenring 323</t>
  </si>
  <si>
    <t>4393 Allschwil</t>
  </si>
  <si>
    <t>Sandeepan</t>
  </si>
  <si>
    <t>Chakrawertti</t>
  </si>
  <si>
    <t>sandeepan.chakrawertti@gmail.com</t>
  </si>
  <si>
    <t>stadthausgasse 286</t>
  </si>
  <si>
    <t>4322 Basel</t>
  </si>
  <si>
    <t>Sandra</t>
  </si>
  <si>
    <t>sandrag@bluewin.ch</t>
  </si>
  <si>
    <t>Belchenring 324</t>
  </si>
  <si>
    <t>4394 Allschwil</t>
  </si>
  <si>
    <t>0765741309</t>
  </si>
  <si>
    <t>Engelbrecht</t>
  </si>
  <si>
    <t>sandra.engelbrecht@gmx.ch</t>
  </si>
  <si>
    <t>stadthausgasse 287</t>
  </si>
  <si>
    <t>4323 Basel</t>
  </si>
  <si>
    <t>0765112415</t>
  </si>
  <si>
    <t>Aenishänslin</t>
  </si>
  <si>
    <t>sandra.aenishaenslin@gmail.com</t>
  </si>
  <si>
    <t>Belchenring 325</t>
  </si>
  <si>
    <t>4395 Allschwil</t>
  </si>
  <si>
    <t>0787705866</t>
  </si>
  <si>
    <t>Schenk</t>
  </si>
  <si>
    <t>sandraschenk@yahoo.com</t>
  </si>
  <si>
    <t>stadthausgasse 288</t>
  </si>
  <si>
    <t>4324 Basel</t>
  </si>
  <si>
    <t>0788189977</t>
  </si>
  <si>
    <t>Brügger</t>
  </si>
  <si>
    <t>sandyschoof@hotmail.com</t>
  </si>
  <si>
    <t>Belchenring 326</t>
  </si>
  <si>
    <t>4396 Allschwil</t>
  </si>
  <si>
    <t>0788432229</t>
  </si>
  <si>
    <t>Inderbitzin</t>
  </si>
  <si>
    <t>sandra.skorpion@bluewin.ch</t>
  </si>
  <si>
    <t>stadthausgasse 289</t>
  </si>
  <si>
    <t>4325 Basel</t>
  </si>
  <si>
    <t>0788782093</t>
  </si>
  <si>
    <t>Saillen</t>
  </si>
  <si>
    <t>saillensan@gmail.com</t>
  </si>
  <si>
    <t>Belchenring 327</t>
  </si>
  <si>
    <t>4397 Allschwil</t>
  </si>
  <si>
    <t>001727178358</t>
  </si>
  <si>
    <t>sandra</t>
  </si>
  <si>
    <t>steinebrunner</t>
  </si>
  <si>
    <t>sakulti0816@gmail.com</t>
  </si>
  <si>
    <t>stadthausgasse 290</t>
  </si>
  <si>
    <t>4326 Basel</t>
  </si>
  <si>
    <t>Di Cesare</t>
  </si>
  <si>
    <t>e-schock@gmx.ch</t>
  </si>
  <si>
    <t>Belchenring 328</t>
  </si>
  <si>
    <t>4398 Allschwil</t>
  </si>
  <si>
    <t>0787783190</t>
  </si>
  <si>
    <t>Sandro</t>
  </si>
  <si>
    <t>Castelli</t>
  </si>
  <si>
    <t>salsasandro@gmail.com</t>
  </si>
  <si>
    <t>stadthausgasse 291</t>
  </si>
  <si>
    <t>4327 Basel</t>
  </si>
  <si>
    <t>0786159399</t>
  </si>
  <si>
    <t>Sanja</t>
  </si>
  <si>
    <t>Kais</t>
  </si>
  <si>
    <t>sanja.kais@gmail.com</t>
  </si>
  <si>
    <t>Belchenring 329</t>
  </si>
  <si>
    <t>4399 Allschwil</t>
  </si>
  <si>
    <t>0764822874</t>
  </si>
  <si>
    <t>Sara</t>
  </si>
  <si>
    <t>Schmid</t>
  </si>
  <si>
    <t>sa_mid@hotmail.com</t>
  </si>
  <si>
    <t>stadthausgasse 292</t>
  </si>
  <si>
    <t>4328 Basel</t>
  </si>
  <si>
    <t>0774360215</t>
  </si>
  <si>
    <t>Biderbost</t>
  </si>
  <si>
    <t>sara_b@gmx.ch</t>
  </si>
  <si>
    <t>Belchenring 330</t>
  </si>
  <si>
    <t>4400 Allschwil</t>
  </si>
  <si>
    <t>Sara Maria </t>
  </si>
  <si>
    <t>Proserpi</t>
  </si>
  <si>
    <t>SaraProserpi@hotmail.com</t>
  </si>
  <si>
    <t>stadthausgasse 293</t>
  </si>
  <si>
    <t>4329 Basel</t>
  </si>
  <si>
    <t>0795269025</t>
  </si>
  <si>
    <t>Sarah</t>
  </si>
  <si>
    <t>Schläpfer</t>
  </si>
  <si>
    <t>schlaepfer.sarah@bluewin.ch</t>
  </si>
  <si>
    <t>Belchenring 331</t>
  </si>
  <si>
    <t>4401 Allschwil</t>
  </si>
  <si>
    <t>0796035059</t>
  </si>
  <si>
    <t>Barbet</t>
  </si>
  <si>
    <t>sarah.barbet@hotmail.com</t>
  </si>
  <si>
    <t>stadthausgasse 294</t>
  </si>
  <si>
    <t>4330 Basel</t>
  </si>
  <si>
    <t>0786540501</t>
  </si>
  <si>
    <t>Seck</t>
  </si>
  <si>
    <t>sarahseck@bluemail.ch</t>
  </si>
  <si>
    <t>Belchenring 332</t>
  </si>
  <si>
    <t>4402 Allschwil</t>
  </si>
  <si>
    <t>0796752410</t>
  </si>
  <si>
    <t>Pola</t>
  </si>
  <si>
    <t>zentrale@thomannfischer.ch</t>
  </si>
  <si>
    <t>stadthausgasse 295</t>
  </si>
  <si>
    <t>4331 Basel</t>
  </si>
  <si>
    <t>0763196685</t>
  </si>
  <si>
    <t>Savina </t>
  </si>
  <si>
    <t>Osswald</t>
  </si>
  <si>
    <t>s.osswald@balcab.ch</t>
  </si>
  <si>
    <t>Belchenring 333</t>
  </si>
  <si>
    <t>4403 Allschwil</t>
  </si>
  <si>
    <t>0794372036</t>
  </si>
  <si>
    <t>sbaragli</t>
  </si>
  <si>
    <t>laura</t>
  </si>
  <si>
    <t>laura.sbaragli2gmail.com</t>
  </si>
  <si>
    <t>stadthausgasse 296</t>
  </si>
  <si>
    <t>4332 Basel</t>
  </si>
  <si>
    <t>Sebastian </t>
  </si>
  <si>
    <t>Tasch</t>
  </si>
  <si>
    <t>sebastian.tasch@novartis.com</t>
  </si>
  <si>
    <t>Belchenring 334</t>
  </si>
  <si>
    <t>4404 Allschwil</t>
  </si>
  <si>
    <t>0788096904</t>
  </si>
  <si>
    <t>de Luca</t>
  </si>
  <si>
    <t>sebastian.deluca@bluewin.ch</t>
  </si>
  <si>
    <t>stadthausgasse 297</t>
  </si>
  <si>
    <t>4333 Basel</t>
  </si>
  <si>
    <t>Selin</t>
  </si>
  <si>
    <t>selin_holder@hotmail.com</t>
  </si>
  <si>
    <t>Belchenring 335</t>
  </si>
  <si>
    <t>4405 Allschwil</t>
  </si>
  <si>
    <t>0793058419</t>
  </si>
  <si>
    <t>Selina</t>
  </si>
  <si>
    <t>Wenger</t>
  </si>
  <si>
    <t>selina.we@bluewin.ch</t>
  </si>
  <si>
    <t>stadthausgasse 298</t>
  </si>
  <si>
    <t>4334 Basel</t>
  </si>
  <si>
    <t>0793807100</t>
  </si>
  <si>
    <t>Seline</t>
  </si>
  <si>
    <t>Alves</t>
  </si>
  <si>
    <t>seline.alves@gmail.com</t>
  </si>
  <si>
    <t>Belchenring 336</t>
  </si>
  <si>
    <t>4406 Allschwil</t>
  </si>
  <si>
    <t>0795634664</t>
  </si>
  <si>
    <t>Seraina</t>
  </si>
  <si>
    <t>Vial</t>
  </si>
  <si>
    <t>Seraina.vial2@sbb.ch</t>
  </si>
  <si>
    <t>stadthausgasse 299</t>
  </si>
  <si>
    <t>4335 Basel</t>
  </si>
  <si>
    <t>Sergi</t>
  </si>
  <si>
    <t>sergibasel@gmail.com</t>
  </si>
  <si>
    <t>stadthausgasse 300</t>
  </si>
  <si>
    <t>4336 Basel</t>
  </si>
  <si>
    <t>Sibylle</t>
  </si>
  <si>
    <t>Rüedi</t>
  </si>
  <si>
    <t>sibylle.rueedi@gmail.com</t>
  </si>
  <si>
    <t>Belchenring 338</t>
  </si>
  <si>
    <t>4408 Allschwil</t>
  </si>
  <si>
    <t>0786835733</t>
  </si>
  <si>
    <t>Sidney</t>
  </si>
  <si>
    <t>Soejima</t>
  </si>
  <si>
    <t>sonic@balcab.ch</t>
  </si>
  <si>
    <t>stadthausgasse 301</t>
  </si>
  <si>
    <t>4337 Basel</t>
  </si>
  <si>
    <t>0793540511</t>
  </si>
  <si>
    <t>Silva</t>
  </si>
  <si>
    <t>Küng</t>
  </si>
  <si>
    <t>silva.kueng@gmx.ch</t>
  </si>
  <si>
    <t>Belchenring 339</t>
  </si>
  <si>
    <t>4409 Allschwil</t>
  </si>
  <si>
    <t>0763647344</t>
  </si>
  <si>
    <t>Silvia</t>
  </si>
  <si>
    <t>Bänziger</t>
  </si>
  <si>
    <t>silvia.baenziger@bluewin.ch</t>
  </si>
  <si>
    <t>stadthausgasse 302</t>
  </si>
  <si>
    <t>4338 Basel</t>
  </si>
  <si>
    <t>0765105158</t>
  </si>
  <si>
    <t>Gonzalez</t>
  </si>
  <si>
    <t>silvia.gonzalez@gmx.ch</t>
  </si>
  <si>
    <t>stadthausgasse 303</t>
  </si>
  <si>
    <t>4339 Basel</t>
  </si>
  <si>
    <t>Sastre Majado</t>
  </si>
  <si>
    <t>silvia.sastre_majado@novartis.com</t>
  </si>
  <si>
    <t>Belchenring 341</t>
  </si>
  <si>
    <t>4411 Allschwil</t>
  </si>
  <si>
    <t>0798210531</t>
  </si>
  <si>
    <t>Silvio</t>
  </si>
  <si>
    <t>silvioschaad@gmail.com</t>
  </si>
  <si>
    <t>stadthausgasse 304</t>
  </si>
  <si>
    <t>4340 Basel</t>
  </si>
  <si>
    <t>0764215108</t>
  </si>
  <si>
    <t>Simon</t>
  </si>
  <si>
    <t>Simon_M_Mueller@hotmail.com</t>
  </si>
  <si>
    <t>Belchenring 342</t>
  </si>
  <si>
    <t>4412 Allschwil</t>
  </si>
  <si>
    <t>s.spinnler@gmx.net</t>
  </si>
  <si>
    <t>stadthausgasse 305</t>
  </si>
  <si>
    <t>4341 Basel</t>
  </si>
  <si>
    <t>Simone </t>
  </si>
  <si>
    <t>simonebruegger@bluewin.ch</t>
  </si>
  <si>
    <t>Belchenring 343</t>
  </si>
  <si>
    <t>4413 Allschwil</t>
  </si>
  <si>
    <t>Simone</t>
  </si>
  <si>
    <t>simonegerber@freesurf.ch</t>
  </si>
  <si>
    <t>stadthausgasse 306</t>
  </si>
  <si>
    <t>4342 Basel</t>
  </si>
  <si>
    <t>Saenz</t>
  </si>
  <si>
    <t>simone.saenz@gmail.com</t>
  </si>
  <si>
    <t>Belchenring 344</t>
  </si>
  <si>
    <t>4414 Allschwil</t>
  </si>
  <si>
    <t>0788998317</t>
  </si>
  <si>
    <t>Zierath</t>
  </si>
  <si>
    <t>simone.zierath@gmx.ch</t>
  </si>
  <si>
    <t>stadthausgasse 307</t>
  </si>
  <si>
    <t>4343 Basel</t>
  </si>
  <si>
    <t>0794705706</t>
  </si>
  <si>
    <t>Simone Nadia</t>
  </si>
  <si>
    <t>Schnidrig</t>
  </si>
  <si>
    <t>simone.schnidrig@gmx.net</t>
  </si>
  <si>
    <t>Belchenring 345</t>
  </si>
  <si>
    <t>4415 Allschwil</t>
  </si>
  <si>
    <t>000491636832662</t>
  </si>
  <si>
    <t>Sina</t>
  </si>
  <si>
    <t>Morgenstern</t>
  </si>
  <si>
    <t>sina.morgenstern@gmx.net</t>
  </si>
  <si>
    <t>stadthausgasse 308</t>
  </si>
  <si>
    <t>4344 Basel</t>
  </si>
  <si>
    <t>0774418103</t>
  </si>
  <si>
    <t>Solange</t>
  </si>
  <si>
    <t>Caviezel</t>
  </si>
  <si>
    <t>scavi@gmx.ch</t>
  </si>
  <si>
    <t>Belchenring 346</t>
  </si>
  <si>
    <t>4416 Allschwil</t>
  </si>
  <si>
    <t>0787326656</t>
  </si>
  <si>
    <t>Sonia</t>
  </si>
  <si>
    <t>Borrell</t>
  </si>
  <si>
    <t>soniaborrell@msn.com</t>
  </si>
  <si>
    <t>stadthausgasse 309</t>
  </si>
  <si>
    <t>4345 Basel</t>
  </si>
  <si>
    <t>0788508746</t>
  </si>
  <si>
    <t>Sonja</t>
  </si>
  <si>
    <t>Borer</t>
  </si>
  <si>
    <t>sonjaibo@hotmail.com</t>
  </si>
  <si>
    <t>Belchenring 347</t>
  </si>
  <si>
    <t>4417 Allschwil</t>
  </si>
  <si>
    <t>Soraya</t>
  </si>
  <si>
    <t>Scherer</t>
  </si>
  <si>
    <t>soraya.scherer@bluewin.ch</t>
  </si>
  <si>
    <t>stadthausgasse 310</t>
  </si>
  <si>
    <t>4346 Basel</t>
  </si>
  <si>
    <t>0794552601</t>
  </si>
  <si>
    <t>Stefan</t>
  </si>
  <si>
    <t>Stefan.Grogg@bluewin.ch</t>
  </si>
  <si>
    <t>Belchenring 348</t>
  </si>
  <si>
    <t>4418 Allschwil</t>
  </si>
  <si>
    <t>0786636093</t>
  </si>
  <si>
    <t>Schlosser</t>
  </si>
  <si>
    <t>Stefan_mc_beal@gmx.de</t>
  </si>
  <si>
    <t>stadthausgasse 311</t>
  </si>
  <si>
    <t>4347 Basel</t>
  </si>
  <si>
    <t>0765804992</t>
  </si>
  <si>
    <t>Dätwyler</t>
  </si>
  <si>
    <t>daetty@gmx.ch</t>
  </si>
  <si>
    <t>Belchenring 349</t>
  </si>
  <si>
    <t>4419 Allschwil</t>
  </si>
  <si>
    <t>0795664258</t>
  </si>
  <si>
    <t>christina.steiner@bman.ch</t>
  </si>
  <si>
    <t>stadthausgasse 312</t>
  </si>
  <si>
    <t>4348 Basel</t>
  </si>
  <si>
    <t>0793435812</t>
  </si>
  <si>
    <t>Stephan</t>
  </si>
  <si>
    <t>Schöwel</t>
  </si>
  <si>
    <t>stephan.schoewel@hotmail.com</t>
  </si>
  <si>
    <t>Belchenring 350</t>
  </si>
  <si>
    <t>4420 Allschwil</t>
  </si>
  <si>
    <t>0765786710</t>
  </si>
  <si>
    <t>m</t>
  </si>
  <si>
    <t>stephan@berger.ph</t>
  </si>
  <si>
    <t>Dittingerstrasse 5</t>
  </si>
  <si>
    <t>Stephan </t>
  </si>
  <si>
    <t>chenaux</t>
  </si>
  <si>
    <t>Dr.chenaux@web.de</t>
  </si>
  <si>
    <t>Belchenring 351</t>
  </si>
  <si>
    <t>4421 Allschwil</t>
  </si>
  <si>
    <t>0787340500</t>
  </si>
  <si>
    <t>Reinhard</t>
  </si>
  <si>
    <t>185914@gmail.com</t>
  </si>
  <si>
    <t>stadthausgasse 314</t>
  </si>
  <si>
    <t>4350 Basel</t>
  </si>
  <si>
    <t>0797049462</t>
  </si>
  <si>
    <t>Stephanie </t>
  </si>
  <si>
    <t>Salm</t>
  </si>
  <si>
    <t>stephanie.salm@bluewin.ch</t>
  </si>
  <si>
    <t>Belchenring 352</t>
  </si>
  <si>
    <t>4422 Allschwil</t>
  </si>
  <si>
    <t>0786699212</t>
  </si>
  <si>
    <t>stephanie</t>
  </si>
  <si>
    <t>kallen</t>
  </si>
  <si>
    <t>steffi_laura@hotmail.com</t>
  </si>
  <si>
    <t>stadthausgasse 315</t>
  </si>
  <si>
    <t>4351 Basel</t>
  </si>
  <si>
    <t>0786707868</t>
  </si>
  <si>
    <t>sue</t>
  </si>
  <si>
    <t>gessler</t>
  </si>
  <si>
    <t>sue.gessler@bluewin.ch</t>
  </si>
  <si>
    <t>Belchenring 353</t>
  </si>
  <si>
    <t>4423 Allschwil</t>
  </si>
  <si>
    <t>0763179073</t>
  </si>
  <si>
    <t>Susana</t>
  </si>
  <si>
    <t>Conde</t>
  </si>
  <si>
    <t>conde-susana@hotmail.com</t>
  </si>
  <si>
    <t>stadthausgasse 316</t>
  </si>
  <si>
    <t>4352 Basel</t>
  </si>
  <si>
    <t>0764668189</t>
  </si>
  <si>
    <t>Susanna</t>
  </si>
  <si>
    <t>Andres</t>
  </si>
  <si>
    <t>sandre@gmx.ch</t>
  </si>
  <si>
    <t>Belchenring 354</t>
  </si>
  <si>
    <t>4424 Allschwil</t>
  </si>
  <si>
    <t>0763997503</t>
  </si>
  <si>
    <t>Susanne</t>
  </si>
  <si>
    <t>Klette</t>
  </si>
  <si>
    <t>susanne-klette@gmx.de</t>
  </si>
  <si>
    <t>stadthausgasse 317</t>
  </si>
  <si>
    <t>4353 Basel</t>
  </si>
  <si>
    <t>00491777921718</t>
  </si>
  <si>
    <t>Susanne </t>
  </si>
  <si>
    <t>Weingarth</t>
  </si>
  <si>
    <t>susanne.weingarth@web.de</t>
  </si>
  <si>
    <t>Belchenring 355</t>
  </si>
  <si>
    <t>4425 Allschwil</t>
  </si>
  <si>
    <t>Susi</t>
  </si>
  <si>
    <t>Grummel</t>
  </si>
  <si>
    <t>susi.grummel@bluewin.ch</t>
  </si>
  <si>
    <t>stadthausgasse 318</t>
  </si>
  <si>
    <t>4354 Basel</t>
  </si>
  <si>
    <t>Suzanne</t>
  </si>
  <si>
    <t>Gajewski</t>
  </si>
  <si>
    <t>suzy.gajewski@gmail.com</t>
  </si>
  <si>
    <t>Belchenring 356</t>
  </si>
  <si>
    <t>4426 Allschwil</t>
  </si>
  <si>
    <t>0794299942</t>
  </si>
  <si>
    <t>Sven</t>
  </si>
  <si>
    <t>Oser</t>
  </si>
  <si>
    <t>oser.sven@gmx.ch</t>
  </si>
  <si>
    <t>stadthausgasse 319</t>
  </si>
  <si>
    <t>4355 Basel</t>
  </si>
  <si>
    <t>0793593173</t>
  </si>
  <si>
    <t>Sybille</t>
  </si>
  <si>
    <t>Schib</t>
  </si>
  <si>
    <t>sschib@bluewin.ch</t>
  </si>
  <si>
    <t>Belchenring 357</t>
  </si>
  <si>
    <t>4427 Allschwil</t>
  </si>
  <si>
    <t>0762830503</t>
  </si>
  <si>
    <t>Sylvia</t>
  </si>
  <si>
    <t>Tippmann</t>
  </si>
  <si>
    <t>sylvia.tippmann@gmail.com</t>
  </si>
  <si>
    <t>stadthausgasse 320</t>
  </si>
  <si>
    <t>4356 Basel</t>
  </si>
  <si>
    <t>Sämi</t>
  </si>
  <si>
    <t>yelloww.snoww@gmail.com</t>
  </si>
  <si>
    <t>Belchenring 358</t>
  </si>
  <si>
    <t>4428 Allschwil</t>
  </si>
  <si>
    <t>Tabea</t>
  </si>
  <si>
    <t>Rothfuchs</t>
  </si>
  <si>
    <t>trothfuchs@gmx.ch</t>
  </si>
  <si>
    <t>stadthausgasse 321</t>
  </si>
  <si>
    <t>4357 Basel</t>
  </si>
  <si>
    <t>0798123789</t>
  </si>
  <si>
    <t>Tabea </t>
  </si>
  <si>
    <t>Zwimpfer</t>
  </si>
  <si>
    <t>tabea.zwimpfer@hotmail.com</t>
  </si>
  <si>
    <t>Belchenring 359</t>
  </si>
  <si>
    <t>4429 Allschwil</t>
  </si>
  <si>
    <t>0794125848</t>
  </si>
  <si>
    <t>Tamar</t>
  </si>
  <si>
    <t>tamaryael@mac.com</t>
  </si>
  <si>
    <t>stadthausgasse 322</t>
  </si>
  <si>
    <t>4358 Basel</t>
  </si>
  <si>
    <t>0793069838</t>
  </si>
  <si>
    <t>Tania</t>
  </si>
  <si>
    <t>tania-felix@bluewin.ch</t>
  </si>
  <si>
    <t>Oltnerstrasse 13a</t>
  </si>
  <si>
    <t>4614 Hägendorf</t>
  </si>
  <si>
    <t>Tanja</t>
  </si>
  <si>
    <t>Waldmeier</t>
  </si>
  <si>
    <t>t.waldmeier@gmx.ch</t>
  </si>
  <si>
    <t>stadthausgasse 323</t>
  </si>
  <si>
    <t>4359 Basel</t>
  </si>
  <si>
    <t>Wenzler</t>
  </si>
  <si>
    <t>t.wenzler@web.de</t>
  </si>
  <si>
    <t>Belchenring 361</t>
  </si>
  <si>
    <t>4431 Allschwil</t>
  </si>
  <si>
    <t>0788680804</t>
  </si>
  <si>
    <t>Canonica</t>
  </si>
  <si>
    <t>tanonica@gmx.net</t>
  </si>
  <si>
    <t>stadthausgasse 324</t>
  </si>
  <si>
    <t>4360 Basel</t>
  </si>
  <si>
    <t>Huttinger</t>
  </si>
  <si>
    <t>T_Huttinger@web.de</t>
  </si>
  <si>
    <t>Belchenring 362</t>
  </si>
  <si>
    <t>4432 Allschwil</t>
  </si>
  <si>
    <t>0795902032</t>
  </si>
  <si>
    <t>Rauch</t>
  </si>
  <si>
    <t>tp.rauch@gmail.com</t>
  </si>
  <si>
    <t>stadthausgasse 325</t>
  </si>
  <si>
    <t>4361 Basel</t>
  </si>
  <si>
    <t>0798248725</t>
  </si>
  <si>
    <t>Thaler</t>
  </si>
  <si>
    <t>susanne.thaler@bluemail.ch</t>
  </si>
  <si>
    <t>Belchenring 363</t>
  </si>
  <si>
    <t>4433 Allschwil</t>
  </si>
  <si>
    <t>0792755523</t>
  </si>
  <si>
    <t>Thierry</t>
  </si>
  <si>
    <t>Barbey</t>
  </si>
  <si>
    <t>thierry_barbey@gmx.ch</t>
  </si>
  <si>
    <t>stadthausgasse 326</t>
  </si>
  <si>
    <t>4362 Basel</t>
  </si>
  <si>
    <t>Etter</t>
  </si>
  <si>
    <t>ettert@wanadoo.fr</t>
  </si>
  <si>
    <t>Belchenring 364</t>
  </si>
  <si>
    <t>4434 Allschwil</t>
  </si>
  <si>
    <t>Thierry / Sabine</t>
  </si>
  <si>
    <t>Hartmann / Meyer</t>
  </si>
  <si>
    <t>atavola@vtxmail.ch</t>
  </si>
  <si>
    <t>stadthausgasse 327</t>
  </si>
  <si>
    <t>4363 Basel</t>
  </si>
  <si>
    <t>0787978108</t>
  </si>
  <si>
    <t>thilo</t>
  </si>
  <si>
    <t>kollmann</t>
  </si>
  <si>
    <t>thilokollmann@yahoo.com</t>
  </si>
  <si>
    <t>Belchenring 365</t>
  </si>
  <si>
    <t>4435 Allschwil</t>
  </si>
  <si>
    <t>0765586790</t>
  </si>
  <si>
    <t>Thomas</t>
  </si>
  <si>
    <t>tm@thomas-martin.ch</t>
  </si>
  <si>
    <t>stadthausgasse 328</t>
  </si>
  <si>
    <t>4364 Basel</t>
  </si>
  <si>
    <t>00491736704289</t>
  </si>
  <si>
    <t>Kunzelmann</t>
  </si>
  <si>
    <t>thomas_Kunzelmann@web.de</t>
  </si>
  <si>
    <t>Belchenring 366</t>
  </si>
  <si>
    <t>4436 Allschwil</t>
  </si>
  <si>
    <t>0767018176</t>
  </si>
  <si>
    <t>Stering</t>
  </si>
  <si>
    <t>thomas@stering.de</t>
  </si>
  <si>
    <t>stadthausgasse 329</t>
  </si>
  <si>
    <t>4365 Basel</t>
  </si>
  <si>
    <t>0033625072092</t>
  </si>
  <si>
    <t>Thomas </t>
  </si>
  <si>
    <t>Muheim</t>
  </si>
  <si>
    <t>th.muheim@gmail.com</t>
  </si>
  <si>
    <t>Belchenring 367</t>
  </si>
  <si>
    <t>4437 Allschwil</t>
  </si>
  <si>
    <t>0795087942</t>
  </si>
  <si>
    <t>Dux</t>
  </si>
  <si>
    <t>privat@dux.eu.com</t>
  </si>
  <si>
    <t>stadthausgasse 330</t>
  </si>
  <si>
    <t>4366 Basel</t>
  </si>
  <si>
    <t>Hintermann</t>
  </si>
  <si>
    <t>hintermann@ems-ph.org</t>
  </si>
  <si>
    <t>Belchenring 368</t>
  </si>
  <si>
    <t>4438 Allschwil</t>
  </si>
  <si>
    <t>0765290726</t>
  </si>
  <si>
    <t>Tim</t>
  </si>
  <si>
    <t>Sturgess</t>
  </si>
  <si>
    <t>tim.sturgess@gmx.ch</t>
  </si>
  <si>
    <t>stadthausgasse 331</t>
  </si>
  <si>
    <t>4367 Basel</t>
  </si>
  <si>
    <t>Tina</t>
  </si>
  <si>
    <t>kaufmann_tina@yahoo.de</t>
  </si>
  <si>
    <t>Belchenring 369</t>
  </si>
  <si>
    <t>4439 Allschwil</t>
  </si>
  <si>
    <t>0787327776</t>
  </si>
  <si>
    <t>Tobias</t>
  </si>
  <si>
    <t>Tobias_Hauser@hotmail.com</t>
  </si>
  <si>
    <t>stadthausgasse 332</t>
  </si>
  <si>
    <t>4368 Basel</t>
  </si>
  <si>
    <t>0793718074</t>
  </si>
  <si>
    <t>tobias.frei@intergga.ch</t>
  </si>
  <si>
    <t>Belchenring 370</t>
  </si>
  <si>
    <t>4440 Allschwil</t>
  </si>
  <si>
    <t>0787483753</t>
  </si>
  <si>
    <t>Tomke</t>
  </si>
  <si>
    <t>Bresser</t>
  </si>
  <si>
    <t>tommi.bresser@gmail.com</t>
  </si>
  <si>
    <t>stadthausgasse 333</t>
  </si>
  <si>
    <t>4369 Basel</t>
  </si>
  <si>
    <t>0787468079</t>
  </si>
  <si>
    <t>Tommaso</t>
  </si>
  <si>
    <t>Achille</t>
  </si>
  <si>
    <t>tommaso.achille@dacosoft.ch</t>
  </si>
  <si>
    <t>Belchenring 371</t>
  </si>
  <si>
    <t>4441 Allschwil</t>
  </si>
  <si>
    <t>0767024547</t>
  </si>
  <si>
    <t>Ton</t>
  </si>
  <si>
    <t>Offermans</t>
  </si>
  <si>
    <t>ton.offermans@gmx.ch</t>
  </si>
  <si>
    <t>Gempenstrasse 4</t>
  </si>
  <si>
    <t>Birsfenden</t>
  </si>
  <si>
    <t>0786581001</t>
  </si>
  <si>
    <t>Toni</t>
  </si>
  <si>
    <t>Fadda</t>
  </si>
  <si>
    <t>antonio.fadda@gmx.ch</t>
  </si>
  <si>
    <t>Belchenring 372</t>
  </si>
  <si>
    <t>4442 Allschwil</t>
  </si>
  <si>
    <t>0795118097</t>
  </si>
  <si>
    <t>Tony </t>
  </si>
  <si>
    <t>Van</t>
  </si>
  <si>
    <t>tony.van888@googlemail.com</t>
  </si>
  <si>
    <t>stadthausgasse 335</t>
  </si>
  <si>
    <t>4371 Basel</t>
  </si>
  <si>
    <t>Ueli</t>
  </si>
  <si>
    <t>Agustoni</t>
  </si>
  <si>
    <t>ueli.agustoni@hotmail.com</t>
  </si>
  <si>
    <t>Belchenring 373</t>
  </si>
  <si>
    <t>4443 Allschwil</t>
  </si>
  <si>
    <t>0793220257</t>
  </si>
  <si>
    <t>Ulisse</t>
  </si>
  <si>
    <t>Picardi</t>
  </si>
  <si>
    <t>u.picardi@gmx.ch</t>
  </si>
  <si>
    <t>stadthausgasse 336</t>
  </si>
  <si>
    <t>4372 Basel</t>
  </si>
  <si>
    <t>00491709010938</t>
  </si>
  <si>
    <t>Ulla</t>
  </si>
  <si>
    <t>Hauck</t>
  </si>
  <si>
    <t>ulla-hauck@onlinehome.de</t>
  </si>
  <si>
    <t>Belchenring 374</t>
  </si>
  <si>
    <t>4444 Allschwil</t>
  </si>
  <si>
    <t>Urban</t>
  </si>
  <si>
    <t>urban_huesler@bluemail.ch</t>
  </si>
  <si>
    <t>stadthausgasse 337</t>
  </si>
  <si>
    <t>4373 Basel</t>
  </si>
  <si>
    <t>0794551117</t>
  </si>
  <si>
    <t>Urs</t>
  </si>
  <si>
    <t>Prétôt</t>
  </si>
  <si>
    <t>up.pretot@datacomm.ch</t>
  </si>
  <si>
    <t>Belchenring 375</t>
  </si>
  <si>
    <t>4445 Allschwil</t>
  </si>
  <si>
    <t>0792908751</t>
  </si>
  <si>
    <t>Baumann</t>
  </si>
  <si>
    <t>urs-ba@bluewin.ch</t>
  </si>
  <si>
    <t>stadthausgasse 338</t>
  </si>
  <si>
    <t>4374 Basel</t>
  </si>
  <si>
    <t>0794439888</t>
  </si>
  <si>
    <t>Von Känel</t>
  </si>
  <si>
    <t>ursvonkaenel@gmail.com</t>
  </si>
  <si>
    <t>Belchenring 376</t>
  </si>
  <si>
    <t>4446 Allschwil</t>
  </si>
  <si>
    <t>0792256386</t>
  </si>
  <si>
    <t>Ursula</t>
  </si>
  <si>
    <t>Knobel</t>
  </si>
  <si>
    <t>kyo-urs@bluewin.ch</t>
  </si>
  <si>
    <t>stadthausgasse 339</t>
  </si>
  <si>
    <t>4375 Basel</t>
  </si>
  <si>
    <t>0795017250</t>
  </si>
  <si>
    <t>Weder</t>
  </si>
  <si>
    <t>weder.ursula@gmail.com</t>
  </si>
  <si>
    <t>Belchenring 377</t>
  </si>
  <si>
    <t>4447 Allschwil</t>
  </si>
  <si>
    <t>Weick</t>
  </si>
  <si>
    <t>uweick@hispeed.ch</t>
  </si>
  <si>
    <t>stadthausgasse 340</t>
  </si>
  <si>
    <t>4376 Basel</t>
  </si>
  <si>
    <t>Gembler</t>
  </si>
  <si>
    <t>u.gembler@web.de</t>
  </si>
  <si>
    <t>Belchenring 378</t>
  </si>
  <si>
    <t>4448 Allschwil</t>
  </si>
  <si>
    <t>0774544518</t>
  </si>
  <si>
    <t>Uta</t>
  </si>
  <si>
    <t>Kühne</t>
  </si>
  <si>
    <t>utakuehne@intergga.ch</t>
  </si>
  <si>
    <t>stadthausgasse 341</t>
  </si>
  <si>
    <t>4377 Basel</t>
  </si>
  <si>
    <t>0764892525</t>
  </si>
  <si>
    <t>valentina</t>
  </si>
  <si>
    <t>patalano</t>
  </si>
  <si>
    <t>vale_71090@hotmail.com</t>
  </si>
  <si>
    <t>Belchenring 379</t>
  </si>
  <si>
    <t>4449 Allschwil</t>
  </si>
  <si>
    <t>valeska</t>
  </si>
  <si>
    <t>ellermann</t>
  </si>
  <si>
    <t>valeskaellermann@hotmail.com</t>
  </si>
  <si>
    <t>stadthausgasse 342</t>
  </si>
  <si>
    <t>4378 Basel</t>
  </si>
  <si>
    <t>0793945203</t>
  </si>
  <si>
    <t>Valérie</t>
  </si>
  <si>
    <t>valerie.schaub@econophone.ch</t>
  </si>
  <si>
    <t>Belchenring 380</t>
  </si>
  <si>
    <t>4450 Allschwil</t>
  </si>
  <si>
    <t>0792457417</t>
  </si>
  <si>
    <t>Vanessa</t>
  </si>
  <si>
    <t>Gatelein</t>
  </si>
  <si>
    <t>vanessa@gatelein.com</t>
  </si>
  <si>
    <t>stadthausgasse 343</t>
  </si>
  <si>
    <t>4379 Basel</t>
  </si>
  <si>
    <t>0763062527</t>
  </si>
  <si>
    <t>Vanessa </t>
  </si>
  <si>
    <t>Leuthardt</t>
  </si>
  <si>
    <t>vanessaleuthardt@hotmail.com</t>
  </si>
  <si>
    <t>Belchenring 381</t>
  </si>
  <si>
    <t>4451 Allschwil</t>
  </si>
  <si>
    <t>0798624389</t>
  </si>
  <si>
    <t>Vera</t>
  </si>
  <si>
    <t>Guntern</t>
  </si>
  <si>
    <t>vera.guntern@gmail.com</t>
  </si>
  <si>
    <t>stadthausgasse 344</t>
  </si>
  <si>
    <t>4380 Basel</t>
  </si>
  <si>
    <t>0797886491</t>
  </si>
  <si>
    <t>Verena </t>
  </si>
  <si>
    <t>Perius</t>
  </si>
  <si>
    <t>verena.perius@novartis.com</t>
  </si>
  <si>
    <t>Belchenring 382</t>
  </si>
  <si>
    <t>4452 Allschwil</t>
  </si>
  <si>
    <t>Verena</t>
  </si>
  <si>
    <t>Voegtli</t>
  </si>
  <si>
    <t>voegtli.hohl@intergga.ch</t>
  </si>
  <si>
    <t>stadthausgasse 345</t>
  </si>
  <si>
    <t>4381 Basel</t>
  </si>
  <si>
    <t>Veronica</t>
  </si>
  <si>
    <t>Garcia</t>
  </si>
  <si>
    <t>verogarcia91@hotmail.com</t>
  </si>
  <si>
    <t>Belchenring 383</t>
  </si>
  <si>
    <t>4453 Allschwil</t>
  </si>
  <si>
    <t>Veronique</t>
  </si>
  <si>
    <t>Kalck</t>
  </si>
  <si>
    <t>veronique.kalck@fmi.ch</t>
  </si>
  <si>
    <t>stadthausgasse 346</t>
  </si>
  <si>
    <t>4382 Basel</t>
  </si>
  <si>
    <t>0797467752</t>
  </si>
  <si>
    <t>Vesna</t>
  </si>
  <si>
    <t>Sormaz</t>
  </si>
  <si>
    <t>vesna.sormaz@bluewin.ch</t>
  </si>
  <si>
    <t>Belchenring 384</t>
  </si>
  <si>
    <t>4454 Allschwil</t>
  </si>
  <si>
    <t>0787172426</t>
  </si>
  <si>
    <t>Vicente </t>
  </si>
  <si>
    <t>Marti</t>
  </si>
  <si>
    <t>vicentemarti@hotmail.com</t>
  </si>
  <si>
    <t>stadthausgasse 347</t>
  </si>
  <si>
    <t>4383 Basel</t>
  </si>
  <si>
    <t>0033631473392</t>
  </si>
  <si>
    <t>Vivienne</t>
  </si>
  <si>
    <t>Dankwerth</t>
  </si>
  <si>
    <t>v.danwerth@hotmail.fr</t>
  </si>
  <si>
    <t>Belchenring 385</t>
  </si>
  <si>
    <t>4455 Allschwil</t>
  </si>
  <si>
    <t>0764239804</t>
  </si>
  <si>
    <t>Werner</t>
  </si>
  <si>
    <t>Fischer</t>
  </si>
  <si>
    <t>werner.fischer@hotmail.com</t>
  </si>
  <si>
    <t>stadthausgasse 348</t>
  </si>
  <si>
    <t>4384 Basel</t>
  </si>
  <si>
    <t>0767495907</t>
  </si>
  <si>
    <t>Wolf-D.</t>
  </si>
  <si>
    <t>Peters</t>
  </si>
  <si>
    <t>wdpeters@vtxmail.ch</t>
  </si>
  <si>
    <t>Belchenring 386</t>
  </si>
  <si>
    <t>4456 Allschwil</t>
  </si>
  <si>
    <t>0788208668</t>
  </si>
  <si>
    <t>xenia</t>
  </si>
  <si>
    <t>x.keller@gmx.ch</t>
  </si>
  <si>
    <t>stadthausgasse 349</t>
  </si>
  <si>
    <t>4385 Basel</t>
  </si>
  <si>
    <t>0793579549</t>
  </si>
  <si>
    <t>Yannyck/Ana</t>
  </si>
  <si>
    <t>Uhlmann</t>
  </si>
  <si>
    <t>yannick@bluewin.ch</t>
  </si>
  <si>
    <t>Belchenring 387</t>
  </si>
  <si>
    <t>4457 Allschwil</t>
  </si>
  <si>
    <t>0786583868</t>
  </si>
  <si>
    <t>yenny</t>
  </si>
  <si>
    <t>kohar</t>
  </si>
  <si>
    <t>ykohar@hotmail.com</t>
  </si>
  <si>
    <t>stadthausgasse 350</t>
  </si>
  <si>
    <t>4386 Basel</t>
  </si>
  <si>
    <t>0796434340</t>
  </si>
  <si>
    <t>Yolanda</t>
  </si>
  <si>
    <t>parayolanda@hotmail.com</t>
  </si>
  <si>
    <t>Belchenring 388</t>
  </si>
  <si>
    <t>4458 Allschwil</t>
  </si>
  <si>
    <t>0788740856</t>
  </si>
  <si>
    <t>Yves</t>
  </si>
  <si>
    <t>y.degroot@bluewin.ch</t>
  </si>
  <si>
    <t>stadthausgasse 351</t>
  </si>
  <si>
    <t>4387 Basel</t>
  </si>
  <si>
    <t>Yvonne</t>
  </si>
  <si>
    <t>yvosch78@hotmail.com</t>
  </si>
  <si>
    <t>Belchenring 389</t>
  </si>
  <si>
    <t>4459 Allschwil</t>
  </si>
  <si>
    <t>0764963893</t>
  </si>
  <si>
    <t>Geissbühler</t>
  </si>
  <si>
    <t>yvonneg99@hotmail.com</t>
  </si>
  <si>
    <t>stadthausgasse 352</t>
  </si>
  <si>
    <t>4388 Basel</t>
  </si>
  <si>
    <t>0774264448</t>
  </si>
  <si>
    <t>Hofer</t>
  </si>
  <si>
    <t>yvonne.hofer@gmx.net</t>
  </si>
  <si>
    <t>Belchenring 390</t>
  </si>
  <si>
    <t>4460 Allschwil</t>
  </si>
  <si>
    <t>0798251023</t>
  </si>
  <si>
    <t>Zariana</t>
  </si>
  <si>
    <t>Nikolova</t>
  </si>
  <si>
    <t>zariana_nikolova@hotmail.com</t>
  </si>
  <si>
    <t>stadthausgasse 353</t>
  </si>
  <si>
    <t>4389 Basel</t>
  </si>
  <si>
    <t>0767013701</t>
  </si>
  <si>
    <t>ziec</t>
  </si>
  <si>
    <t>fabian</t>
  </si>
  <si>
    <t>f.ziec@bluewin.ch</t>
  </si>
  <si>
    <t>Belchenring 391</t>
  </si>
  <si>
    <t>4461 Allschwil</t>
  </si>
  <si>
    <t>Zoe</t>
  </si>
  <si>
    <t>Backholer </t>
  </si>
  <si>
    <t>zoebackholer@yahoo.co.uk</t>
  </si>
  <si>
    <t>stadthausgasse 354</t>
  </si>
  <si>
    <t>4390 Basel</t>
  </si>
  <si>
    <t>0796598410</t>
  </si>
  <si>
    <t>Zora</t>
  </si>
  <si>
    <t>zora.steiner@hotmail.com</t>
  </si>
  <si>
    <t>Belchenring 392</t>
  </si>
  <si>
    <t>4462 Allschwil</t>
  </si>
  <si>
    <t>0763323020</t>
  </si>
  <si>
    <t>Lina</t>
  </si>
  <si>
    <t>Mendes</t>
  </si>
  <si>
    <t>lina.teixeira@windowslive.com</t>
  </si>
  <si>
    <t>0766815115</t>
  </si>
  <si>
    <t xml:space="preserve">Simone </t>
  </si>
  <si>
    <t>Branco</t>
  </si>
  <si>
    <t>br.simone1970@gmail.com</t>
  </si>
  <si>
    <t>Reinacherstrasse 67a</t>
  </si>
  <si>
    <t>4106 Therwil</t>
  </si>
  <si>
    <t>0763993580</t>
  </si>
  <si>
    <t>Romano</t>
  </si>
  <si>
    <t>sandra.couteiro@sunrise.ch</t>
  </si>
  <si>
    <t>0795575867</t>
  </si>
  <si>
    <t>Cristina</t>
  </si>
  <si>
    <t>Castro Reis</t>
  </si>
  <si>
    <t>cristina.castro.reis@live-com.pt</t>
  </si>
  <si>
    <t>0765836062</t>
  </si>
  <si>
    <t>Gülsüm</t>
  </si>
  <si>
    <t>Kocamis</t>
  </si>
  <si>
    <t>anagülsüm65@gmail.com</t>
  </si>
  <si>
    <t>0787413851</t>
  </si>
  <si>
    <t>Chenaux</t>
  </si>
  <si>
    <t>dr.chenaux@web.de</t>
  </si>
  <si>
    <t>Alberto</t>
  </si>
  <si>
    <t>Iannicca</t>
  </si>
  <si>
    <t>004976229933</t>
  </si>
  <si>
    <t>0787307086</t>
  </si>
  <si>
    <t>Melanja</t>
  </si>
  <si>
    <t>Striber</t>
  </si>
  <si>
    <t>0764899831</t>
  </si>
  <si>
    <t>Castillo</t>
  </si>
  <si>
    <t>samyalf@windowslive.com</t>
  </si>
  <si>
    <t>0787735159</t>
  </si>
  <si>
    <t>Prechtl</t>
  </si>
  <si>
    <t>h.a.prechtl@gmail.com</t>
  </si>
  <si>
    <t>Lee</t>
  </si>
  <si>
    <t>Caceres</t>
  </si>
  <si>
    <t>0794271264</t>
  </si>
  <si>
    <t>Strub</t>
  </si>
  <si>
    <t>0774126947</t>
  </si>
  <si>
    <t>Mirand</t>
  </si>
  <si>
    <t>Fidler</t>
  </si>
  <si>
    <t>Eger</t>
  </si>
  <si>
    <t>Kathrin</t>
  </si>
  <si>
    <t>Dremely</t>
  </si>
  <si>
    <t>Hausleer</t>
  </si>
  <si>
    <t>Ursina</t>
  </si>
  <si>
    <t>Nydegger</t>
  </si>
  <si>
    <t>Jensich</t>
  </si>
  <si>
    <t>Principale</t>
  </si>
  <si>
    <t>003362572092</t>
  </si>
  <si>
    <t>Moheim</t>
  </si>
  <si>
    <t>Jaqueline</t>
  </si>
  <si>
    <t>Gery</t>
  </si>
  <si>
    <t>Bernardette</t>
  </si>
  <si>
    <t>Vidal</t>
  </si>
  <si>
    <t>Ofrens</t>
  </si>
  <si>
    <t>004915756630661</t>
  </si>
  <si>
    <t>Beyer</t>
  </si>
  <si>
    <t>tina_kohl@yahoo.com</t>
  </si>
  <si>
    <t>0788511836</t>
  </si>
  <si>
    <t>Klay</t>
  </si>
  <si>
    <t>nicole.klaey@edubs.ch</t>
  </si>
  <si>
    <t>Cautmann</t>
  </si>
  <si>
    <t>Ingle</t>
  </si>
  <si>
    <t>Rashi</t>
  </si>
  <si>
    <t>0787278637</t>
  </si>
  <si>
    <t>Ayako</t>
  </si>
  <si>
    <t>Tezuka</t>
  </si>
  <si>
    <t>ayakito65@hotmail.com</t>
  </si>
  <si>
    <t>Senecio</t>
  </si>
  <si>
    <t>Schefes</t>
  </si>
  <si>
    <t>Baas</t>
  </si>
  <si>
    <t>djba@gmx.de</t>
  </si>
  <si>
    <t>0787735149</t>
  </si>
  <si>
    <t>00491742828276</t>
  </si>
  <si>
    <t>Martyna</t>
  </si>
  <si>
    <t>Drong</t>
  </si>
  <si>
    <t>martyna_drong@web.de</t>
  </si>
  <si>
    <t>00491629237107</t>
  </si>
  <si>
    <t>Maria-Luisa</t>
  </si>
  <si>
    <t>Catalano</t>
  </si>
  <si>
    <t>marylou.c@web.de</t>
  </si>
  <si>
    <t>0763600856</t>
  </si>
  <si>
    <t>Tamara</t>
  </si>
  <si>
    <t>Marangi</t>
  </si>
  <si>
    <t>tamara.marangi@gmail.com</t>
  </si>
  <si>
    <t>0792964512</t>
  </si>
  <si>
    <t>Wagner</t>
  </si>
  <si>
    <t>celine.l.wagner@gmail.com</t>
  </si>
  <si>
    <t>0762960611</t>
  </si>
  <si>
    <t>Allessandro</t>
  </si>
  <si>
    <t>Jodice</t>
  </si>
  <si>
    <t>jodice.alessandro@gmail.com</t>
  </si>
  <si>
    <t>0765263169</t>
  </si>
  <si>
    <t>Luppino</t>
  </si>
  <si>
    <t>fabio.luppino@yetnet.ch</t>
  </si>
  <si>
    <t>0794662056</t>
  </si>
  <si>
    <t>Cathrine</t>
  </si>
  <si>
    <t>Lutz</t>
  </si>
  <si>
    <t>cathrinelutz@gmail.com</t>
  </si>
  <si>
    <t>0792700462</t>
  </si>
  <si>
    <t>Messerli</t>
  </si>
  <si>
    <t>maya.messerli@hotmail.de</t>
  </si>
  <si>
    <t>0766757808</t>
  </si>
  <si>
    <t>Sonja Maria</t>
  </si>
  <si>
    <t>s.m.mueller@bluewin.ch</t>
  </si>
  <si>
    <t>0793075266</t>
  </si>
  <si>
    <t>Anna</t>
  </si>
  <si>
    <t>Goldiger</t>
  </si>
  <si>
    <t>annag@ebmnet.ch</t>
  </si>
  <si>
    <t>0764037677</t>
  </si>
  <si>
    <t>Rebekka</t>
  </si>
  <si>
    <t>Herrmann</t>
  </si>
  <si>
    <t>rebekka_h@gmx.ch</t>
  </si>
  <si>
    <t>0796972002</t>
  </si>
  <si>
    <t>Häfliger</t>
  </si>
  <si>
    <t>tanja.haefliger@vtxmail.ch</t>
  </si>
  <si>
    <t>0763813913</t>
  </si>
  <si>
    <t>Victor</t>
  </si>
  <si>
    <t>0764741034</t>
  </si>
  <si>
    <t>Sabatos</t>
  </si>
  <si>
    <t>0786369071</t>
  </si>
  <si>
    <t>Tatiana</t>
  </si>
  <si>
    <t>da Costa</t>
  </si>
  <si>
    <t>0788651862</t>
  </si>
  <si>
    <t>Pereira</t>
  </si>
  <si>
    <t>0796558337</t>
  </si>
  <si>
    <t>Huber</t>
  </si>
  <si>
    <t>huber.laura@bluewin.ch</t>
  </si>
  <si>
    <t>0799358634</t>
  </si>
  <si>
    <t>Beutler</t>
  </si>
  <si>
    <t>0793715931</t>
  </si>
  <si>
    <t xml:space="preserve">Erica </t>
  </si>
  <si>
    <t>0799487004</t>
  </si>
  <si>
    <t>Kopecz</t>
  </si>
  <si>
    <t>lk@kopecz.net</t>
  </si>
  <si>
    <t>0764485788</t>
  </si>
  <si>
    <t>Matias</t>
  </si>
  <si>
    <t>Familie</t>
  </si>
  <si>
    <t>0779582065</t>
  </si>
  <si>
    <t>Pallavi</t>
  </si>
  <si>
    <t>Peddi</t>
  </si>
  <si>
    <t>pallavipeddi@gmail.com</t>
  </si>
  <si>
    <t>0792474520</t>
  </si>
  <si>
    <t>Peter Rot-Strasse 107</t>
  </si>
  <si>
    <t>Bekannten</t>
  </si>
  <si>
    <t>00491732397156</t>
  </si>
  <si>
    <t>Katherine</t>
  </si>
  <si>
    <t>Bevensee</t>
  </si>
  <si>
    <t>kattybevensee@gmx.de</t>
  </si>
  <si>
    <t>0795514016</t>
  </si>
  <si>
    <t>Catarina</t>
  </si>
  <si>
    <t>br.catarina@hotmail.com</t>
  </si>
  <si>
    <t>0763208656</t>
  </si>
  <si>
    <t>Yllnorë</t>
  </si>
  <si>
    <t>Shehi</t>
  </si>
  <si>
    <t>shehiy@student.ethz.ch</t>
  </si>
  <si>
    <t>0787574316</t>
  </si>
  <si>
    <t>Morgulis</t>
  </si>
  <si>
    <t>raphael_morgulis@hotmail.com</t>
  </si>
  <si>
    <t>0787760576</t>
  </si>
  <si>
    <t>Meret</t>
  </si>
  <si>
    <t>Morin</t>
  </si>
  <si>
    <t>0794312432</t>
  </si>
  <si>
    <t>Vollenweider</t>
  </si>
  <si>
    <t>michel.vollenweider@gmx.ch</t>
  </si>
  <si>
    <t>0798154525</t>
  </si>
  <si>
    <t>Donati</t>
  </si>
  <si>
    <t>cat.donat@gmail.com</t>
  </si>
  <si>
    <t>0796731590</t>
  </si>
  <si>
    <t>Anja</t>
  </si>
  <si>
    <t>Kuona</t>
  </si>
  <si>
    <t>anjakuona@bluewin.ch</t>
  </si>
  <si>
    <t>0792248520</t>
  </si>
  <si>
    <t>Winkler</t>
  </si>
  <si>
    <t>swbsch@gmail.com</t>
  </si>
  <si>
    <t>0764948929</t>
  </si>
  <si>
    <t>Bruno</t>
  </si>
  <si>
    <t>bruno_branco_1993@hotmail.com</t>
  </si>
  <si>
    <t>0764229745</t>
  </si>
  <si>
    <t>Antonio</t>
  </si>
  <si>
    <t>Teixeira</t>
  </si>
  <si>
    <t>0764665111</t>
  </si>
  <si>
    <t>Barradas</t>
  </si>
  <si>
    <t>0796027377</t>
  </si>
  <si>
    <t>0761744328</t>
  </si>
  <si>
    <t>Luraschi</t>
  </si>
  <si>
    <t>0798177694</t>
  </si>
  <si>
    <t>Giorgia</t>
  </si>
  <si>
    <t>Thomann</t>
  </si>
  <si>
    <t>0765105340</t>
  </si>
  <si>
    <t>0763854517</t>
  </si>
  <si>
    <t>Rodrigues</t>
  </si>
  <si>
    <t>0787795944</t>
  </si>
  <si>
    <t>Noreen</t>
  </si>
  <si>
    <t>Tanner</t>
  </si>
  <si>
    <t>0786688183</t>
  </si>
  <si>
    <t>Rohn</t>
  </si>
  <si>
    <t>0792274276</t>
  </si>
  <si>
    <t>Katharina</t>
  </si>
  <si>
    <t>k-balmer@bluewin.ch</t>
  </si>
  <si>
    <t>0765793894</t>
  </si>
  <si>
    <t>c.cascaisdacosta@gmail.com</t>
  </si>
  <si>
    <t>Schwimmbadweg 1</t>
  </si>
  <si>
    <t>4144 Arlesheim</t>
  </si>
  <si>
    <t>0798254397</t>
  </si>
  <si>
    <t xml:space="preserve">Deana </t>
  </si>
  <si>
    <t>deana.w@hotmail.com</t>
  </si>
  <si>
    <t>Burgunderstrasse 15</t>
  </si>
  <si>
    <t>4153 Reinach</t>
  </si>
  <si>
    <t>0797794329</t>
  </si>
  <si>
    <t>Carlos Alex</t>
  </si>
  <si>
    <t>Loaiza Angel</t>
  </si>
  <si>
    <t>a.angel@moralive.ch</t>
  </si>
  <si>
    <t>0768162801</t>
  </si>
  <si>
    <t>Marziale</t>
  </si>
  <si>
    <t>alexander.marziale@gmx.de</t>
  </si>
  <si>
    <t>0789225164</t>
  </si>
  <si>
    <t>Marianna</t>
  </si>
  <si>
    <t>Romeo</t>
  </si>
  <si>
    <t>romeo.marianna91@gmail.com</t>
  </si>
  <si>
    <t>0786700335</t>
  </si>
  <si>
    <t>Tomic</t>
  </si>
  <si>
    <t>0798638041</t>
  </si>
  <si>
    <t>Aaron</t>
  </si>
  <si>
    <t>Tanglay</t>
  </si>
  <si>
    <t>0795313462</t>
  </si>
  <si>
    <t>Büttiker</t>
  </si>
  <si>
    <t>franziska.buettiker@gmail.com</t>
  </si>
  <si>
    <t>0793085607</t>
  </si>
  <si>
    <t>Brönnimann</t>
  </si>
  <si>
    <t>sabrina.broennimann@gmx.net</t>
  </si>
  <si>
    <t>0762504127</t>
  </si>
  <si>
    <t>Mergim</t>
  </si>
  <si>
    <t>Idrizzi</t>
  </si>
  <si>
    <t>0765007714</t>
  </si>
  <si>
    <t>Filipe</t>
  </si>
  <si>
    <t>De Macedo</t>
  </si>
  <si>
    <t>0793063539</t>
  </si>
  <si>
    <t>0763860124</t>
  </si>
  <si>
    <t>Liliam</t>
  </si>
  <si>
    <t>Ineichen</t>
  </si>
  <si>
    <t>0762790074</t>
  </si>
  <si>
    <t>Loretan</t>
  </si>
  <si>
    <t>0765850862</t>
  </si>
  <si>
    <t>Corina</t>
  </si>
  <si>
    <t>Pargaetzi</t>
  </si>
  <si>
    <t>c.pargaetzi@bluewin.ch</t>
  </si>
  <si>
    <t>0787788849</t>
  </si>
  <si>
    <t>Millan</t>
  </si>
  <si>
    <t>christian.millan@gmx.ch</t>
  </si>
  <si>
    <t>0764922673</t>
  </si>
  <si>
    <t>Renato</t>
  </si>
  <si>
    <t>Di Magion Rodrigues</t>
  </si>
  <si>
    <t>Student</t>
  </si>
  <si>
    <t>rodrigues.p@hotmail.de</t>
  </si>
  <si>
    <t>0788406880</t>
  </si>
  <si>
    <t>Celia</t>
  </si>
  <si>
    <t>Fonseca</t>
  </si>
  <si>
    <t>0798101807</t>
  </si>
  <si>
    <t>Hunziker</t>
  </si>
  <si>
    <t>kellyhunziker@gmail.com</t>
  </si>
  <si>
    <t>0765700329</t>
  </si>
  <si>
    <t>Dominik</t>
  </si>
  <si>
    <t>dhermann88@gmail.com</t>
  </si>
  <si>
    <t>0784017773</t>
  </si>
  <si>
    <t>Annette</t>
  </si>
  <si>
    <t>Koller</t>
  </si>
  <si>
    <t>annettekoller1@gmail.com</t>
  </si>
  <si>
    <t>Drissetstrasse 54</t>
  </si>
  <si>
    <t>4412 Nuglar</t>
  </si>
  <si>
    <t>0796304146</t>
  </si>
  <si>
    <t>Dorothy</t>
  </si>
  <si>
    <t>Bernet</t>
  </si>
  <si>
    <t>dorothy.bernet@bluewin.ch</t>
  </si>
  <si>
    <t>0763256711</t>
  </si>
  <si>
    <t>Carla Isabel</t>
  </si>
  <si>
    <t>Fonseca Semblano</t>
  </si>
  <si>
    <t>0799276919</t>
  </si>
  <si>
    <t>Paar</t>
  </si>
  <si>
    <t>0764042839</t>
  </si>
  <si>
    <t>Esmaeil</t>
  </si>
  <si>
    <t>Eshreshavi</t>
  </si>
  <si>
    <t>0763810861</t>
  </si>
  <si>
    <t>Zeller</t>
  </si>
  <si>
    <t>0788723804</t>
  </si>
  <si>
    <t>Andrade</t>
  </si>
  <si>
    <t>0797623967</t>
  </si>
  <si>
    <t xml:space="preserve">Miria </t>
  </si>
  <si>
    <t>Zurfluh</t>
  </si>
  <si>
    <t>0764141198</t>
  </si>
  <si>
    <t>Leandro</t>
  </si>
  <si>
    <t>Grünenfelder</t>
  </si>
  <si>
    <t>le.gruenenfelder@gmail.com</t>
  </si>
  <si>
    <t>Sennheinerstrasse 16</t>
  </si>
  <si>
    <t>0792526814</t>
  </si>
  <si>
    <t>Pipola</t>
  </si>
  <si>
    <t>contact@tom2.ch</t>
  </si>
  <si>
    <t>0795722260</t>
  </si>
  <si>
    <t>Selim</t>
  </si>
  <si>
    <t>Aydin</t>
  </si>
  <si>
    <t>selimaydin78@gmail.com</t>
  </si>
  <si>
    <t>0799616254</t>
  </si>
  <si>
    <t>Raquel</t>
  </si>
  <si>
    <t>Goncalves</t>
  </si>
  <si>
    <t>raquel.2597@hotmail.com</t>
  </si>
  <si>
    <t>Im Glögglihof 14</t>
  </si>
  <si>
    <t>4125 Riehen</t>
  </si>
  <si>
    <t>0798161763</t>
  </si>
  <si>
    <t>Jette Anja</t>
  </si>
  <si>
    <t>Sonntag</t>
  </si>
  <si>
    <t>jette.sonntag@gmx.ch</t>
  </si>
  <si>
    <t>0799613466</t>
  </si>
  <si>
    <t>annette.meier@hotmail.com</t>
  </si>
  <si>
    <t>0799374339</t>
  </si>
  <si>
    <t>Helin</t>
  </si>
  <si>
    <t>Akarsel</t>
  </si>
  <si>
    <t>helin.akarsel@gmail.com</t>
  </si>
  <si>
    <t>0765744992</t>
  </si>
  <si>
    <t>Elvira</t>
  </si>
  <si>
    <t>Rösch</t>
  </si>
  <si>
    <t>e.roesch34@gmail.com</t>
  </si>
  <si>
    <t>0787790930</t>
  </si>
  <si>
    <t>Rafael</t>
  </si>
  <si>
    <t>rafael.wolf@schulezunzgen.ch</t>
  </si>
  <si>
    <t xml:space="preserve">Chantal </t>
  </si>
  <si>
    <t>+4915143128948</t>
  </si>
  <si>
    <t>Maike</t>
  </si>
  <si>
    <t>Jarrous</t>
  </si>
  <si>
    <t>maike@jarrous.de</t>
  </si>
  <si>
    <t>0763675179</t>
  </si>
  <si>
    <t>0125alex@gmail.com</t>
  </si>
  <si>
    <t>0791033980</t>
  </si>
  <si>
    <t>Besarta</t>
  </si>
  <si>
    <t>Kukelaj</t>
  </si>
  <si>
    <t>0766933202</t>
  </si>
  <si>
    <t xml:space="preserve">Gabriel </t>
  </si>
  <si>
    <t>Cascais</t>
  </si>
  <si>
    <t>0793957089</t>
  </si>
  <si>
    <t>Stricker</t>
  </si>
  <si>
    <t>mirjam.strickler@gmail.com</t>
  </si>
  <si>
    <t>0796782532</t>
  </si>
  <si>
    <t xml:space="preserve">Saskia </t>
  </si>
  <si>
    <t>Löliger</t>
  </si>
  <si>
    <t>0797606310</t>
  </si>
  <si>
    <t xml:space="preserve">Dominik </t>
  </si>
  <si>
    <t>Golaszewski</t>
  </si>
  <si>
    <t>dome_gol@hotmail.com</t>
  </si>
  <si>
    <t>0797132975</t>
  </si>
  <si>
    <t xml:space="preserve">Andreas </t>
  </si>
  <si>
    <t>Radl</t>
  </si>
  <si>
    <t>radl.andreas@yahoo.de</t>
  </si>
  <si>
    <t>0786618942</t>
  </si>
  <si>
    <t>mariayteo6777@hotmail.com</t>
  </si>
  <si>
    <t>0797773151</t>
  </si>
  <si>
    <t xml:space="preserve">Steven </t>
  </si>
  <si>
    <t>0786934136</t>
  </si>
  <si>
    <t>Raphaela</t>
  </si>
  <si>
    <t>Splegel</t>
  </si>
  <si>
    <t>0763909441</t>
  </si>
  <si>
    <t>Colonna</t>
  </si>
  <si>
    <t>lindacolonna84@gmail.com</t>
  </si>
  <si>
    <t>0797765981</t>
  </si>
  <si>
    <t>Mario</t>
  </si>
  <si>
    <t>Aenishanshin</t>
  </si>
  <si>
    <t>0788452507</t>
  </si>
  <si>
    <t xml:space="preserve">robin </t>
  </si>
  <si>
    <t>Ferreira</t>
  </si>
  <si>
    <t>nadiagaby310@gmail.com</t>
  </si>
  <si>
    <t>0762078802</t>
  </si>
  <si>
    <t>sayno1204@yahoo.fr</t>
  </si>
  <si>
    <t>+393493097994</t>
  </si>
  <si>
    <t xml:space="preserve">Yari </t>
  </si>
  <si>
    <t>Petrucci</t>
  </si>
  <si>
    <t xml:space="preserve">Celia </t>
  </si>
  <si>
    <t xml:space="preserve">Leandro </t>
  </si>
  <si>
    <t>Grünfelder</t>
  </si>
  <si>
    <t>leandrogruenfelder@gmail.com</t>
  </si>
  <si>
    <t xml:space="preserve">Carmen </t>
  </si>
  <si>
    <t>0786477075</t>
  </si>
  <si>
    <t>Abhishek</t>
  </si>
  <si>
    <t>Bhaltachanjee</t>
  </si>
  <si>
    <t>abhishek.sap@gmail.com</t>
  </si>
  <si>
    <t>0789481717</t>
  </si>
  <si>
    <t xml:space="preserve">Olivia </t>
  </si>
  <si>
    <t>Perner</t>
  </si>
  <si>
    <t>pernerolivia@gmail.com</t>
  </si>
  <si>
    <t>Gempenstrasse 70</t>
  </si>
  <si>
    <t>0775206761</t>
  </si>
  <si>
    <t>Eduardo</t>
  </si>
  <si>
    <t>Acosta</t>
  </si>
  <si>
    <t>edu.eduardo.acosta@gmail.com</t>
  </si>
  <si>
    <t>0762576913</t>
  </si>
  <si>
    <t>Ferrè Rodriguez</t>
  </si>
  <si>
    <t>sgundofr11@hotmail.com</t>
  </si>
  <si>
    <t xml:space="preserve">Sabrina </t>
  </si>
  <si>
    <t>0797520723</t>
  </si>
  <si>
    <t xml:space="preserve">Kristina </t>
  </si>
  <si>
    <t>0763229301</t>
  </si>
  <si>
    <t xml:space="preserve">Sarah </t>
  </si>
  <si>
    <t>Zeder</t>
  </si>
  <si>
    <t>sara.zeder@gmail.com</t>
  </si>
  <si>
    <t>0797056743</t>
  </si>
  <si>
    <t>0764194988</t>
  </si>
  <si>
    <t>0762969680</t>
  </si>
  <si>
    <t>Burrows</t>
  </si>
  <si>
    <t>mischa.burrows@web.de</t>
  </si>
  <si>
    <t>0789478767</t>
  </si>
  <si>
    <t>Melika</t>
  </si>
  <si>
    <t>Icboyun</t>
  </si>
  <si>
    <t xml:space="preserve">Normal </t>
  </si>
  <si>
    <t>melika.icboyun@hotmail.com</t>
  </si>
  <si>
    <t>0787043292</t>
  </si>
  <si>
    <t>sabrinaschmidt19121989@gmail.com</t>
  </si>
  <si>
    <t>Landstrasse 52</t>
  </si>
  <si>
    <t>4303 Kaiseraugst</t>
  </si>
  <si>
    <t>0796067130</t>
  </si>
  <si>
    <t xml:space="preserve">Nolan </t>
  </si>
  <si>
    <t>Nocera</t>
  </si>
  <si>
    <t>Da Costa</t>
  </si>
  <si>
    <t>Fonseca Sembla</t>
  </si>
  <si>
    <t>0799446806</t>
  </si>
  <si>
    <t>Michi</t>
  </si>
  <si>
    <t>Henz</t>
  </si>
  <si>
    <t>michael.henz@bluewin.ch</t>
  </si>
  <si>
    <t>0764128759</t>
  </si>
  <si>
    <t>francoalessandra@hotmail.com</t>
  </si>
  <si>
    <t>Am Krayenrain 10</t>
  </si>
  <si>
    <t>Google</t>
  </si>
  <si>
    <t>0796537866</t>
  </si>
  <si>
    <t xml:space="preserve">Tiziana </t>
  </si>
  <si>
    <t>tizianafra.tf@gmail.com</t>
  </si>
  <si>
    <t>Hagentalstrasse 28</t>
  </si>
  <si>
    <t>0765283325</t>
  </si>
  <si>
    <t xml:space="preserve">Alina </t>
  </si>
  <si>
    <t>Riccius</t>
  </si>
  <si>
    <t>alina.r@go4more.de</t>
  </si>
  <si>
    <t>00491608451152</t>
  </si>
  <si>
    <t xml:space="preserve">Robin </t>
  </si>
  <si>
    <t>0033638651321</t>
  </si>
  <si>
    <t>Hussherr</t>
  </si>
  <si>
    <t>0792626387</t>
  </si>
  <si>
    <t>Philippe</t>
  </si>
  <si>
    <t>Bruisson</t>
  </si>
  <si>
    <t>0796581485</t>
  </si>
  <si>
    <t>Alonso</t>
  </si>
  <si>
    <t>mirjam.a_@hotmail.com</t>
  </si>
  <si>
    <t>Hohenrainstrasse 24a</t>
  </si>
  <si>
    <t>4133 Pratteln</t>
  </si>
  <si>
    <t>0794199954</t>
  </si>
  <si>
    <t>Bachmann</t>
  </si>
  <si>
    <t>bachmannbruno@bluewin.ch</t>
  </si>
  <si>
    <t>0774334780</t>
  </si>
  <si>
    <t>Jonas</t>
  </si>
  <si>
    <t>Haimüller</t>
  </si>
  <si>
    <t>johai@gmx.ch</t>
  </si>
  <si>
    <t>0766413136</t>
  </si>
  <si>
    <t>Mathias</t>
  </si>
  <si>
    <t>Landsrath</t>
  </si>
  <si>
    <t>matila@gmx.de</t>
  </si>
  <si>
    <t>Fröschgasse 11</t>
  </si>
  <si>
    <t>0787686463</t>
  </si>
  <si>
    <t xml:space="preserve">Lara </t>
  </si>
  <si>
    <t>Bontadelli</t>
  </si>
  <si>
    <t>lara.bontadelli@gmail.com</t>
  </si>
  <si>
    <t>Müllheimerstrasse 174</t>
  </si>
  <si>
    <t xml:space="preserve">4057 Basel </t>
  </si>
  <si>
    <t>0799513856</t>
  </si>
  <si>
    <t xml:space="preserve">Pascal </t>
  </si>
  <si>
    <t>Gutmann</t>
  </si>
  <si>
    <t>0793906601</t>
  </si>
  <si>
    <t>Jan</t>
  </si>
  <si>
    <t>Altermatt</t>
  </si>
  <si>
    <t>0795948829</t>
  </si>
  <si>
    <t>Studer</t>
  </si>
  <si>
    <t>zauberernico@gmail.con</t>
  </si>
  <si>
    <t>Claragraben 139</t>
  </si>
  <si>
    <t>0764148944</t>
  </si>
  <si>
    <t>Serena</t>
  </si>
  <si>
    <t>Curtoni</t>
  </si>
  <si>
    <t>0789126590</t>
  </si>
  <si>
    <t>Jeannine</t>
  </si>
  <si>
    <t>Fleischlin</t>
  </si>
  <si>
    <t>0792568793</t>
  </si>
  <si>
    <t>Anabel</t>
  </si>
  <si>
    <t>ana@intergga.ch</t>
  </si>
  <si>
    <t>0795800705</t>
  </si>
  <si>
    <t>Enya</t>
  </si>
  <si>
    <t>enya.lopez.el@gmail.com</t>
  </si>
  <si>
    <t>0764105821</t>
  </si>
  <si>
    <t>Debora</t>
  </si>
  <si>
    <t>Di Bella</t>
  </si>
  <si>
    <t>0763028439</t>
  </si>
  <si>
    <t>Babirajh</t>
  </si>
  <si>
    <t>Kandiah</t>
  </si>
  <si>
    <t>babirajh.kandiah@outlook.com</t>
  </si>
  <si>
    <t>0762507301</t>
  </si>
  <si>
    <t xml:space="preserve">Davide </t>
  </si>
  <si>
    <t>Gugliotta</t>
  </si>
  <si>
    <t>davide-gu@sunrise.ch</t>
  </si>
  <si>
    <t>0764344384</t>
  </si>
  <si>
    <t>Zürcher</t>
  </si>
  <si>
    <t>0796354271</t>
  </si>
  <si>
    <t>Wunderlin</t>
  </si>
  <si>
    <t>silvia.wunderlin@gmx.net</t>
  </si>
  <si>
    <t>Belchenring 340</t>
  </si>
  <si>
    <t>4410 Allschwil</t>
  </si>
  <si>
    <t>0766729239</t>
  </si>
  <si>
    <t>Marta</t>
  </si>
  <si>
    <t>Girona</t>
  </si>
  <si>
    <t>martagirona1995@gmail.com</t>
  </si>
  <si>
    <t>0793976765</t>
  </si>
  <si>
    <t>Wanja</t>
  </si>
  <si>
    <t>wanja.gschwind@unibas.ch</t>
  </si>
  <si>
    <t xml:space="preserve">Victor </t>
  </si>
  <si>
    <t>0795674113</t>
  </si>
  <si>
    <t>Hänggi</t>
  </si>
  <si>
    <t>carmen.76@hotmail.com</t>
  </si>
  <si>
    <t>0034667062586</t>
  </si>
  <si>
    <t>Vicente A.</t>
  </si>
  <si>
    <t>Barrios de la Lastra</t>
  </si>
  <si>
    <t>vabarriosdelalastra@gmail.com</t>
  </si>
  <si>
    <t>0764706412</t>
  </si>
  <si>
    <t>Haas</t>
  </si>
  <si>
    <t>nimoesoon@bluewin.ch</t>
  </si>
  <si>
    <t>0764472478</t>
  </si>
  <si>
    <t xml:space="preserve">Sara </t>
  </si>
  <si>
    <t>0792730270</t>
  </si>
  <si>
    <t xml:space="preserve">Loriana </t>
  </si>
  <si>
    <t>Personeni</t>
  </si>
  <si>
    <t>pepe@muttenznet.ch</t>
  </si>
  <si>
    <t>0763308035</t>
  </si>
  <si>
    <t>Mazen</t>
  </si>
  <si>
    <t>Botross</t>
  </si>
  <si>
    <t>botross.m@sunrise.ch</t>
  </si>
  <si>
    <t>0762978422</t>
  </si>
  <si>
    <t>Harbott</t>
  </si>
  <si>
    <t>anna.harbott@gmail.com</t>
  </si>
  <si>
    <t>0791544974</t>
  </si>
  <si>
    <t>Talia</t>
  </si>
  <si>
    <t>Banos</t>
  </si>
  <si>
    <t>talbanche@gmail.com</t>
  </si>
  <si>
    <t>0793068384</t>
  </si>
  <si>
    <t>nadine.villiger@hotmail.com</t>
  </si>
  <si>
    <t>0797808549</t>
  </si>
  <si>
    <t>Elisabeth</t>
  </si>
  <si>
    <t>Fornerod</t>
  </si>
  <si>
    <t>elisabeth.fornerod@gmail.com</t>
  </si>
  <si>
    <t>0031633189837</t>
  </si>
  <si>
    <t>Anirban</t>
  </si>
  <si>
    <t>Sinha</t>
  </si>
  <si>
    <t>sin.anirban@gmail.com</t>
  </si>
  <si>
    <t>0794846449</t>
  </si>
  <si>
    <t>Alleman</t>
  </si>
  <si>
    <t>mariaa.allemann@gmail.com</t>
  </si>
  <si>
    <t>0765662055</t>
  </si>
  <si>
    <t>Martinez</t>
  </si>
  <si>
    <t>eliane.martinez@bluewin.ch</t>
  </si>
  <si>
    <t>0768240917</t>
  </si>
  <si>
    <t>Friedrich</t>
  </si>
  <si>
    <t>sikora.sara@yahoo.de</t>
  </si>
  <si>
    <t>0788153899</t>
  </si>
  <si>
    <t>Oriana</t>
  </si>
  <si>
    <t>Sassone</t>
  </si>
  <si>
    <t>orisassone@bluewin.ch</t>
  </si>
  <si>
    <t>0762975110</t>
  </si>
  <si>
    <t>Arévalo</t>
  </si>
  <si>
    <t>0767780752</t>
  </si>
  <si>
    <t>Hector</t>
  </si>
  <si>
    <t>0763880917</t>
  </si>
  <si>
    <t>0786945111</t>
  </si>
  <si>
    <t>Pethe</t>
  </si>
  <si>
    <t>martin-pethe@gmx.net</t>
  </si>
  <si>
    <t>0784060050</t>
  </si>
  <si>
    <t>0795818493</t>
  </si>
  <si>
    <t>patricia.meier@outlook.com</t>
  </si>
  <si>
    <t>0794379980</t>
  </si>
  <si>
    <t>Plieninger</t>
  </si>
  <si>
    <t>richard.plieninger@gmx.ch</t>
  </si>
  <si>
    <t>0767260852</t>
  </si>
  <si>
    <t>Monika</t>
  </si>
  <si>
    <t>Sutermeister</t>
  </si>
  <si>
    <t>0767260853</t>
  </si>
  <si>
    <t>mjoerg53@bluewin.ch</t>
  </si>
  <si>
    <t>0034610968341</t>
  </si>
  <si>
    <t>Galler</t>
  </si>
  <si>
    <t>brittagaller@gmx.de</t>
  </si>
  <si>
    <t>Schafmattweg 28</t>
  </si>
  <si>
    <t>4102 Binningen</t>
  </si>
  <si>
    <t>0617030496</t>
  </si>
  <si>
    <t>Leonie</t>
  </si>
  <si>
    <t>Heim</t>
  </si>
  <si>
    <t>leonie.heim@gmx.ch</t>
  </si>
  <si>
    <t>0766811821</t>
  </si>
  <si>
    <t>Jurisic</t>
  </si>
  <si>
    <t>jurisic_lea@hotmail.com</t>
  </si>
  <si>
    <t>0765863713</t>
  </si>
  <si>
    <t>Vitória</t>
  </si>
  <si>
    <t>Ferrari</t>
  </si>
  <si>
    <t>vitoriafspinelli@gmail.com</t>
  </si>
  <si>
    <t>0765217087</t>
  </si>
  <si>
    <t>Slimane</t>
  </si>
  <si>
    <t>sara.slimi14@gmail.com</t>
  </si>
  <si>
    <t>0791063809</t>
  </si>
  <si>
    <t>Svenja</t>
  </si>
  <si>
    <t>Junco Parodi</t>
  </si>
  <si>
    <t>svenja.junco@gmx.com</t>
  </si>
  <si>
    <t>0789561830</t>
  </si>
  <si>
    <t>Giovanna</t>
  </si>
  <si>
    <t>Urrutia</t>
  </si>
  <si>
    <t>giovannaurrutia@hotmail.com</t>
  </si>
  <si>
    <t>0792039429</t>
  </si>
  <si>
    <t>Maurer</t>
  </si>
  <si>
    <t>astrid@maurer.ch</t>
  </si>
  <si>
    <t>0792357154</t>
  </si>
  <si>
    <t>Ludin</t>
  </si>
  <si>
    <t>beat.ludin@gmail.com</t>
  </si>
  <si>
    <t>00491718155387</t>
  </si>
  <si>
    <t>Liza</t>
  </si>
  <si>
    <t>Nitsche</t>
  </si>
  <si>
    <t>liza.nitsche@gmail.com</t>
  </si>
  <si>
    <t>004915111195926</t>
  </si>
  <si>
    <t>Dueñas</t>
  </si>
  <si>
    <t>davichod17@gmail.com</t>
  </si>
  <si>
    <t>0765434428</t>
  </si>
  <si>
    <t>Schürch</t>
  </si>
  <si>
    <t>m.schuerch91@hotmail.com</t>
  </si>
  <si>
    <t>0799647100</t>
  </si>
  <si>
    <t>Marvin</t>
  </si>
  <si>
    <t>Brunner</t>
  </si>
  <si>
    <t>marvin.brunner@hotmail.com</t>
  </si>
  <si>
    <t>+8618621695316</t>
  </si>
  <si>
    <t xml:space="preserve">Xu </t>
  </si>
  <si>
    <t>Gang</t>
  </si>
  <si>
    <t>justin.xu.smu@gmail.com</t>
  </si>
  <si>
    <t>0789727477</t>
  </si>
  <si>
    <t>Djakovic</t>
  </si>
  <si>
    <t>kristina.d_88@yahoo.de</t>
  </si>
  <si>
    <t>00491703162873</t>
  </si>
  <si>
    <t>Handrik</t>
  </si>
  <si>
    <t>franz_Handrik@me.com</t>
  </si>
  <si>
    <t>0764428032</t>
  </si>
  <si>
    <t>Fellner</t>
  </si>
  <si>
    <t xml:space="preserve">Paar </t>
  </si>
  <si>
    <t>franziska.fellner@icloud.com</t>
  </si>
  <si>
    <t>0792471070</t>
  </si>
  <si>
    <t>Letizia</t>
  </si>
  <si>
    <t>Camara</t>
  </si>
  <si>
    <t>camara.letizia@bluewin.ch</t>
  </si>
  <si>
    <t>0775283631</t>
  </si>
  <si>
    <t>Mirja</t>
  </si>
  <si>
    <t>Trotz</t>
  </si>
  <si>
    <t>mirjachristint@gmail.com</t>
  </si>
  <si>
    <t>Strassburgallee 64</t>
  </si>
  <si>
    <t>0795712312</t>
  </si>
  <si>
    <t>Cikanek</t>
  </si>
  <si>
    <t>mcikanek@gmail.com</t>
  </si>
  <si>
    <t>0763258892</t>
  </si>
  <si>
    <t>Santoux</t>
  </si>
  <si>
    <t>p.santoux@bluewin.ch</t>
  </si>
  <si>
    <t>Burenweg 60</t>
  </si>
  <si>
    <t>Birsfelden</t>
  </si>
  <si>
    <t>004915207325936</t>
  </si>
  <si>
    <t>Menzel</t>
  </si>
  <si>
    <t>chrismenzel@gmx.ch</t>
  </si>
  <si>
    <t>004915122954422</t>
  </si>
  <si>
    <t>004917675854763</t>
  </si>
  <si>
    <t xml:space="preserve">Fabienne </t>
  </si>
  <si>
    <t>Büter</t>
  </si>
  <si>
    <t>fabiennepaul@web.de</t>
  </si>
  <si>
    <t>004917675854763(1)</t>
  </si>
  <si>
    <t>0764115804</t>
  </si>
  <si>
    <t>Rebecca</t>
  </si>
  <si>
    <t>m.rebecca@bluewin.ch</t>
  </si>
  <si>
    <t>0767835261</t>
  </si>
  <si>
    <t xml:space="preserve">Daniel </t>
  </si>
  <si>
    <t>Castano</t>
  </si>
  <si>
    <t>daniel.castano.diez@gmail.com</t>
  </si>
  <si>
    <t>0796076507</t>
  </si>
  <si>
    <t>Binkert</t>
  </si>
  <si>
    <t>fabian.binkert@gmx.ch</t>
  </si>
  <si>
    <t>0763297566</t>
  </si>
  <si>
    <t>Hulliger</t>
  </si>
  <si>
    <t>samuel.torres82@hotmail.com</t>
  </si>
  <si>
    <t>St. Alban Anlage 57</t>
  </si>
  <si>
    <t>0765672248</t>
  </si>
  <si>
    <t>Antonella</t>
  </si>
  <si>
    <t>00491707636165</t>
  </si>
  <si>
    <t>Engel</t>
  </si>
  <si>
    <t>0791223136</t>
  </si>
  <si>
    <t>Amaury</t>
  </si>
  <si>
    <t>Chardon</t>
  </si>
  <si>
    <t>ampchardon@gmail.com</t>
  </si>
  <si>
    <t>0797791564</t>
  </si>
  <si>
    <t>Melissa</t>
  </si>
  <si>
    <t>0762962218</t>
  </si>
  <si>
    <t>Annika</t>
  </si>
  <si>
    <t>annika.neumann@online.de</t>
  </si>
  <si>
    <t>0774547488</t>
  </si>
  <si>
    <t>Funck</t>
  </si>
  <si>
    <t>juergen.funck@bluewin.ch</t>
  </si>
  <si>
    <t>0764784377</t>
  </si>
  <si>
    <t>Jeaninne</t>
  </si>
  <si>
    <t>Kuhn Hagmann</t>
  </si>
  <si>
    <t>jeannebeat@muttenznet.ch</t>
  </si>
  <si>
    <t>Weiherstrasse 24</t>
  </si>
  <si>
    <t>4132 Muttenz</t>
  </si>
  <si>
    <t>0764235674</t>
  </si>
  <si>
    <t xml:space="preserve">Beat </t>
  </si>
  <si>
    <t>Hagmann</t>
  </si>
  <si>
    <t>0764923228</t>
  </si>
  <si>
    <t>Marisa</t>
  </si>
  <si>
    <t>Zefiretti</t>
  </si>
  <si>
    <t>marisa91@gmx.ch</t>
  </si>
  <si>
    <t>Freunden/Bekannten</t>
  </si>
  <si>
    <t>0765784691</t>
  </si>
  <si>
    <t>Cifci</t>
  </si>
  <si>
    <t>sara.cifci62@gmail.com</t>
  </si>
  <si>
    <t>Binningerstrasse 57</t>
  </si>
  <si>
    <t>4104 Oberwil</t>
  </si>
  <si>
    <t>0789019002</t>
  </si>
  <si>
    <t>Jean-François</t>
  </si>
  <si>
    <t>Ponzetta</t>
  </si>
  <si>
    <t>jfponzetta@gmail.com</t>
  </si>
  <si>
    <t>0613255306</t>
  </si>
  <si>
    <t>Henni</t>
  </si>
  <si>
    <t>fhenni210@gmail.com</t>
  </si>
  <si>
    <t>0764242189</t>
  </si>
  <si>
    <t>Nowakowski</t>
  </si>
  <si>
    <t>maj.no@gmx.ch</t>
  </si>
  <si>
    <t>0788285109</t>
  </si>
  <si>
    <t xml:space="preserve">Cristian </t>
  </si>
  <si>
    <t>Pretti</t>
  </si>
  <si>
    <t>p.cris@intergga.ch</t>
  </si>
  <si>
    <t>Witterswilerfeldweg 2</t>
  </si>
  <si>
    <t>0765262861</t>
  </si>
  <si>
    <t xml:space="preserve">Kader </t>
  </si>
  <si>
    <t>Demir</t>
  </si>
  <si>
    <t>kader.demir@gmx.ch</t>
  </si>
  <si>
    <t>Bachstrasse 4</t>
  </si>
  <si>
    <t>0797794932</t>
  </si>
  <si>
    <t xml:space="preserve">Anna Christina </t>
  </si>
  <si>
    <t>Rast</t>
  </si>
  <si>
    <t>anna.christina.rast@gmx.ch</t>
  </si>
  <si>
    <t>00491773006352</t>
  </si>
  <si>
    <t>Zabka</t>
  </si>
  <si>
    <t>f.zabka@t-online.de</t>
  </si>
  <si>
    <t>00491773006352(1)</t>
  </si>
  <si>
    <t>0797570458</t>
  </si>
  <si>
    <t>Olga</t>
  </si>
  <si>
    <t>Lukaschenko</t>
  </si>
  <si>
    <t>aolukasch@bluewin.ch</t>
  </si>
  <si>
    <t>0754140074</t>
  </si>
  <si>
    <t>Anton</t>
  </si>
  <si>
    <t>0324334241</t>
  </si>
  <si>
    <t>Xaver</t>
  </si>
  <si>
    <t>Joss</t>
  </si>
  <si>
    <t>i.brue@bluewin.ch</t>
  </si>
  <si>
    <t xml:space="preserve">Cesai 3 </t>
  </si>
  <si>
    <t>2364 St. Brais</t>
  </si>
  <si>
    <t>Sonstiges</t>
  </si>
  <si>
    <t>0796987556</t>
  </si>
  <si>
    <t>Tibor</t>
  </si>
  <si>
    <t>Egedi</t>
  </si>
  <si>
    <t>egedi_tibor@msn.com</t>
  </si>
  <si>
    <t>0793698531</t>
  </si>
  <si>
    <t>Schwander</t>
  </si>
  <si>
    <t>patrickschwander@bluewin.ch</t>
  </si>
  <si>
    <t>Schattengässli 7</t>
  </si>
  <si>
    <t>Zofingen</t>
  </si>
  <si>
    <t>0789306171</t>
  </si>
  <si>
    <t>Cedric</t>
  </si>
  <si>
    <t>cedric.buehler@students.fhnw.ch</t>
  </si>
  <si>
    <t>Unisport</t>
  </si>
  <si>
    <t>0796935867</t>
  </si>
  <si>
    <t>Sucker</t>
  </si>
  <si>
    <t>suckerceline@gmail.com</t>
  </si>
  <si>
    <t>0795953164</t>
  </si>
  <si>
    <t>Patricia Maria</t>
  </si>
  <si>
    <t>patricia.schaad@students.fhnw.ch</t>
  </si>
  <si>
    <t>Socinstrasse 1</t>
  </si>
  <si>
    <t>0792547026</t>
  </si>
  <si>
    <t>Christopher</t>
  </si>
  <si>
    <t>Kolloff</t>
  </si>
  <si>
    <t>c.kolloff@stud.unibas.ch</t>
  </si>
  <si>
    <t>0794861012</t>
  </si>
  <si>
    <t>Viviana</t>
  </si>
  <si>
    <t xml:space="preserve">Russo </t>
  </si>
  <si>
    <t>vivi.russo@gmx.ch</t>
  </si>
  <si>
    <t>0786107205</t>
  </si>
  <si>
    <t>Francesca Maria</t>
  </si>
  <si>
    <t>Savulla</t>
  </si>
  <si>
    <t>jesuisfranci@gmail.com</t>
  </si>
  <si>
    <t>Facebook</t>
  </si>
  <si>
    <t>0763183231</t>
  </si>
  <si>
    <t xml:space="preserve">Stefania </t>
  </si>
  <si>
    <t>Giuffrida</t>
  </si>
  <si>
    <t>0787486398</t>
  </si>
  <si>
    <t>Dan-Felix</t>
  </si>
  <si>
    <t>Scherrer</t>
  </si>
  <si>
    <t>d.scherrer@unibas.ch</t>
  </si>
  <si>
    <t>Gundeldingerrain 12</t>
  </si>
  <si>
    <t>0763683713</t>
  </si>
  <si>
    <t>Andy</t>
  </si>
  <si>
    <t>Von Allmen</t>
  </si>
  <si>
    <t>ava@vona.ch</t>
  </si>
  <si>
    <t>Tiefengrabenstrasse 14</t>
  </si>
  <si>
    <t>0798083574</t>
  </si>
  <si>
    <t>Lily</t>
  </si>
  <si>
    <t>Gantscheva</t>
  </si>
  <si>
    <t>lgantscheva@yahoo.com</t>
  </si>
  <si>
    <t>0797505729</t>
  </si>
  <si>
    <t xml:space="preserve">Tobias </t>
  </si>
  <si>
    <t>Gysin</t>
  </si>
  <si>
    <t>tobiasgysin@hotmail.com</t>
  </si>
  <si>
    <t>Pfeffingerstrasse 55</t>
  </si>
  <si>
    <t>0798132116</t>
  </si>
  <si>
    <t xml:space="preserve">Filippo </t>
  </si>
  <si>
    <t>Canducci</t>
  </si>
  <si>
    <t>canducci.filippo@gmail.com</t>
  </si>
  <si>
    <t>0792380307</t>
  </si>
  <si>
    <t>Alig</t>
  </si>
  <si>
    <t>Uni</t>
  </si>
  <si>
    <t>alexander.alig@me.com</t>
  </si>
  <si>
    <t>0764675605</t>
  </si>
  <si>
    <t>Vogel</t>
  </si>
  <si>
    <t>mialvo@partech.ch</t>
  </si>
  <si>
    <t>0033673362889</t>
  </si>
  <si>
    <t xml:space="preserve">Nadège </t>
  </si>
  <si>
    <t>Kittel</t>
  </si>
  <si>
    <t>nadege.kittel@stud.unibas.ch</t>
  </si>
  <si>
    <t>0764206044</t>
  </si>
  <si>
    <t>rahel.v@partech.ch</t>
  </si>
  <si>
    <t>0767247193</t>
  </si>
  <si>
    <t>Wedra</t>
  </si>
  <si>
    <t>student</t>
  </si>
  <si>
    <t>0033625833201</t>
  </si>
  <si>
    <t>Remusat</t>
  </si>
  <si>
    <t>remusatp@yahoo.fr</t>
  </si>
  <si>
    <t>0792701033</t>
  </si>
  <si>
    <t xml:space="preserve">Andrea </t>
  </si>
  <si>
    <t>Bättig</t>
  </si>
  <si>
    <t>0792701033(1)</t>
  </si>
  <si>
    <t>Adi</t>
  </si>
  <si>
    <t>Wüst</t>
  </si>
  <si>
    <t>0784042271</t>
  </si>
  <si>
    <t xml:space="preserve">Ramona </t>
  </si>
  <si>
    <t xml:space="preserve">Trastullo </t>
  </si>
  <si>
    <t>ramona.trastullo@gmail.com</t>
  </si>
  <si>
    <t>0794400904</t>
  </si>
  <si>
    <t xml:space="preserve">Nadja </t>
  </si>
  <si>
    <t>Mory</t>
  </si>
  <si>
    <t>0764366212</t>
  </si>
  <si>
    <t xml:space="preserve">Jasmin </t>
  </si>
  <si>
    <t>Strohmeier</t>
  </si>
  <si>
    <t>0775133982</t>
  </si>
  <si>
    <t xml:space="preserve">Mario </t>
  </si>
  <si>
    <t>Trejo</t>
  </si>
  <si>
    <t>mario.trejo7@gmail.com</t>
  </si>
  <si>
    <t>0775032433</t>
  </si>
  <si>
    <t xml:space="preserve">Carina </t>
  </si>
  <si>
    <t>Cuculic</t>
  </si>
  <si>
    <t>f.carina21@googlemail.com</t>
  </si>
  <si>
    <t>0789083813</t>
  </si>
  <si>
    <t>Camille</t>
  </si>
  <si>
    <t>Von Dach</t>
  </si>
  <si>
    <t>0788287880</t>
  </si>
  <si>
    <t>Marie Therese</t>
  </si>
  <si>
    <t>Kiser</t>
  </si>
  <si>
    <t>0798194642</t>
  </si>
  <si>
    <t>denismueller@gmx.ch</t>
  </si>
  <si>
    <t>0795544576</t>
  </si>
  <si>
    <t>Kümmerli</t>
  </si>
  <si>
    <t>fabienne.kuemmerli@gmx.ch</t>
  </si>
  <si>
    <t>0763927848</t>
  </si>
  <si>
    <t>Inayat</t>
  </si>
  <si>
    <t>Olmedo</t>
  </si>
  <si>
    <t>inayatolmedo@gmail.com</t>
  </si>
  <si>
    <t>Schlettstadterstrasse 10</t>
  </si>
  <si>
    <t>0795505135</t>
  </si>
  <si>
    <t>Lara</t>
  </si>
  <si>
    <t>Tonet</t>
  </si>
  <si>
    <t>lara.tonet.tonet@gmail.com</t>
  </si>
  <si>
    <t>Fluhweg 1</t>
  </si>
  <si>
    <t>4600 Olten</t>
  </si>
  <si>
    <t>0766676103</t>
  </si>
  <si>
    <t xml:space="preserve">Sofia </t>
  </si>
  <si>
    <t>Matviykiv</t>
  </si>
  <si>
    <t>sofia.matviykiv@gmail.com</t>
  </si>
  <si>
    <t>00491739331554</t>
  </si>
  <si>
    <t>Mandy</t>
  </si>
  <si>
    <t>Seidel</t>
  </si>
  <si>
    <t>mandyseidel29@gmail.com</t>
  </si>
  <si>
    <t>0793960952</t>
  </si>
  <si>
    <t>Dohr</t>
  </si>
  <si>
    <t>fabienne.dohr@gmail.com</t>
  </si>
  <si>
    <t>0798263118</t>
  </si>
  <si>
    <t>Von Frankenberg</t>
  </si>
  <si>
    <t>vonfrankenberg@hotmail.com</t>
  </si>
  <si>
    <t>004915901029280</t>
  </si>
  <si>
    <t>Yvonne Ricarda</t>
  </si>
  <si>
    <t>Bührer</t>
  </si>
  <si>
    <t>yvonne.buehrer90@gmail.com</t>
  </si>
  <si>
    <t>0764286465</t>
  </si>
  <si>
    <t xml:space="preserve">Daniela </t>
  </si>
  <si>
    <t>Ulrich</t>
  </si>
  <si>
    <t>daky9@hotmail.com</t>
  </si>
  <si>
    <t>0787176949</t>
  </si>
  <si>
    <t xml:space="preserve">Tamara </t>
  </si>
  <si>
    <t>tamtam1@gmx.ch</t>
  </si>
  <si>
    <t>0794346732</t>
  </si>
  <si>
    <t xml:space="preserve">Nicole </t>
  </si>
  <si>
    <t>n.eichenberger@outlook.com</t>
  </si>
  <si>
    <t>0763346208</t>
  </si>
  <si>
    <t>Oertli</t>
  </si>
  <si>
    <t>jeannine.oertli@ebmnet.ch</t>
  </si>
  <si>
    <t>0762636653</t>
  </si>
  <si>
    <t>Huwyler</t>
  </si>
  <si>
    <t>gabriel@pharma-te.ch</t>
  </si>
  <si>
    <t>0763908657</t>
  </si>
  <si>
    <t xml:space="preserve">Mariana </t>
  </si>
  <si>
    <t>Novello</t>
  </si>
  <si>
    <t>m.novello@sunrise.ch</t>
  </si>
  <si>
    <t>Felsplattenstrasse 22</t>
  </si>
  <si>
    <t>0796487682</t>
  </si>
  <si>
    <t xml:space="preserve">Marlen </t>
  </si>
  <si>
    <t>marlenfrei3@gmail.com</t>
  </si>
  <si>
    <t>0764194410</t>
  </si>
  <si>
    <t xml:space="preserve">Pamela </t>
  </si>
  <si>
    <t>Reissenberger</t>
  </si>
  <si>
    <t>p.reissenberger@gmx.de</t>
  </si>
  <si>
    <t>0786884447</t>
  </si>
  <si>
    <t>Katarzyna</t>
  </si>
  <si>
    <t>Wieczorek</t>
  </si>
  <si>
    <t>kaxiawie@gmail.com</t>
  </si>
  <si>
    <t>0786624342</t>
  </si>
  <si>
    <t xml:space="preserve">Mira </t>
  </si>
  <si>
    <t>Plüss</t>
  </si>
  <si>
    <t>0796720242</t>
  </si>
  <si>
    <t>Grundbacher</t>
  </si>
  <si>
    <t>0794182002</t>
  </si>
  <si>
    <t xml:space="preserve">Joy </t>
  </si>
  <si>
    <t>0797733913</t>
  </si>
  <si>
    <t xml:space="preserve">Susanna </t>
  </si>
  <si>
    <t>Rajic</t>
  </si>
  <si>
    <t>0796571588</t>
  </si>
  <si>
    <t xml:space="preserve">David </t>
  </si>
  <si>
    <t>0794776779</t>
  </si>
  <si>
    <t>Sakran</t>
  </si>
  <si>
    <t>info@eventfokus.ch</t>
  </si>
  <si>
    <t>0796488907</t>
  </si>
  <si>
    <t xml:space="preserve">Gary </t>
  </si>
  <si>
    <t>Weber</t>
  </si>
  <si>
    <t>g.weber37@yahoo.com</t>
  </si>
  <si>
    <t>0799525456</t>
  </si>
  <si>
    <t xml:space="preserve">Fiona </t>
  </si>
  <si>
    <t>Nordemann</t>
  </si>
  <si>
    <t>fiona@nordemann.ch</t>
  </si>
  <si>
    <t>Thannerstrasse 19</t>
  </si>
  <si>
    <t>0792676147</t>
  </si>
  <si>
    <t>Marinelli</t>
  </si>
  <si>
    <t>lisaa.marinelli@gmail.com</t>
  </si>
  <si>
    <t>St. Jakobs-Strasse 29</t>
  </si>
  <si>
    <t>0791085013</t>
  </si>
  <si>
    <t>Katarina</t>
  </si>
  <si>
    <t>Bekannte</t>
  </si>
  <si>
    <t>0787763840</t>
  </si>
  <si>
    <t xml:space="preserve">Aline </t>
  </si>
  <si>
    <t>Burgener</t>
  </si>
  <si>
    <t>0797820563</t>
  </si>
  <si>
    <t>Anuschka</t>
  </si>
  <si>
    <t>Neweczerzal</t>
  </si>
  <si>
    <t>0795761622</t>
  </si>
  <si>
    <t>Anina</t>
  </si>
  <si>
    <t>Lehner</t>
  </si>
  <si>
    <t>anina.t.lehner@gmail.com</t>
  </si>
  <si>
    <t>Reichensteinerstrasse 36</t>
  </si>
  <si>
    <t>0795203744</t>
  </si>
  <si>
    <t xml:space="preserve">Lehner </t>
  </si>
  <si>
    <t>0798248667</t>
  </si>
  <si>
    <t>Albiez</t>
  </si>
  <si>
    <t>albiez.jasmin@gmail.com</t>
  </si>
  <si>
    <t>0797781248</t>
  </si>
  <si>
    <t>Igareta</t>
  </si>
  <si>
    <t>nico.v.3@hotmail.com</t>
  </si>
  <si>
    <t>0767616321</t>
  </si>
  <si>
    <t>Lippuner</t>
  </si>
  <si>
    <t>tanjaschka@gmail.com</t>
  </si>
  <si>
    <t>0768311841</t>
  </si>
  <si>
    <t>Flury</t>
  </si>
  <si>
    <t>f.flury@navianas.ch</t>
  </si>
  <si>
    <t>0793145957</t>
  </si>
  <si>
    <t xml:space="preserve">Jose </t>
  </si>
  <si>
    <t>Mejia</t>
  </si>
  <si>
    <t>josemejiaabreu@gmail.com</t>
  </si>
  <si>
    <t>0763914054</t>
  </si>
  <si>
    <t>Jasmina</t>
  </si>
  <si>
    <t>Kanlic</t>
  </si>
  <si>
    <t>kanlic.j@gmail.com</t>
  </si>
  <si>
    <t>0795426538</t>
  </si>
  <si>
    <t xml:space="preserve">Felix </t>
  </si>
  <si>
    <t>Schenker</t>
  </si>
  <si>
    <t>felix.schenker@hotmail.com</t>
  </si>
  <si>
    <t>0797206914</t>
  </si>
  <si>
    <t>Severine</t>
  </si>
  <si>
    <t>Gorrengourt</t>
  </si>
  <si>
    <t>s.gorrengourt@gmx.ch</t>
  </si>
  <si>
    <t>Hauptstrasse 15</t>
  </si>
  <si>
    <t>4107 Ettingen</t>
  </si>
  <si>
    <t>0791511305</t>
  </si>
  <si>
    <t>Leticia</t>
  </si>
  <si>
    <t>Bieli</t>
  </si>
  <si>
    <t>leticia.bieli@gmx.ch</t>
  </si>
  <si>
    <t>0765422015</t>
  </si>
  <si>
    <t xml:space="preserve">Armin </t>
  </si>
  <si>
    <t>Betschart</t>
  </si>
  <si>
    <t>bailando@bluewin.ch</t>
  </si>
  <si>
    <t>0796050426</t>
  </si>
  <si>
    <t xml:space="preserve">Barbara </t>
  </si>
  <si>
    <t>Zanella</t>
  </si>
  <si>
    <t>b.zanella@ebmet.ch</t>
  </si>
  <si>
    <t>0795392476</t>
  </si>
  <si>
    <t>Field</t>
  </si>
  <si>
    <t>manu@cantab.net</t>
  </si>
  <si>
    <t>google</t>
  </si>
  <si>
    <t>049152026181142</t>
  </si>
  <si>
    <t>Adriano</t>
  </si>
  <si>
    <t>Saccio</t>
  </si>
  <si>
    <t>adriano.saccio@gmail.com</t>
  </si>
  <si>
    <t>0796178371</t>
  </si>
  <si>
    <t>Iman</t>
  </si>
  <si>
    <t>Sal</t>
  </si>
  <si>
    <t>tahtali_1@msn.com</t>
  </si>
  <si>
    <t>0793889994</t>
  </si>
  <si>
    <t>Angelina</t>
  </si>
  <si>
    <t>Schnell</t>
  </si>
  <si>
    <t>0792742406</t>
  </si>
  <si>
    <t xml:space="preserve">Thoma </t>
  </si>
  <si>
    <t>sabinethoma9@gmail.com</t>
  </si>
  <si>
    <t>Anton von Blarerweg 4</t>
  </si>
  <si>
    <t>4147 Aesch</t>
  </si>
  <si>
    <t>0794132883</t>
  </si>
  <si>
    <t>frey.evelyne@hotmail.com</t>
  </si>
  <si>
    <t>0763385774</t>
  </si>
  <si>
    <t>Hüsein</t>
  </si>
  <si>
    <t>Kanas</t>
  </si>
  <si>
    <t>hueskanas@hotmail.com</t>
  </si>
  <si>
    <t>0797112927</t>
  </si>
  <si>
    <t xml:space="preserve">Adrian </t>
  </si>
  <si>
    <t>0795665719</t>
  </si>
  <si>
    <t>0792620852</t>
  </si>
  <si>
    <t>Portenier</t>
  </si>
  <si>
    <t>0791094051</t>
  </si>
  <si>
    <t>Mareike</t>
  </si>
  <si>
    <t>Eggert</t>
  </si>
  <si>
    <t>corrado_mp@hotmail.com</t>
  </si>
  <si>
    <t>0774719873</t>
  </si>
  <si>
    <t xml:space="preserve">Florian </t>
  </si>
  <si>
    <t>0787317900</t>
  </si>
  <si>
    <t>Giulia</t>
  </si>
  <si>
    <t>Proto</t>
  </si>
  <si>
    <t>giulia.proto@outlook.it</t>
  </si>
  <si>
    <t>instagram</t>
  </si>
  <si>
    <t>0033664975067</t>
  </si>
  <si>
    <t>Fanny</t>
  </si>
  <si>
    <t>Sorgato</t>
  </si>
  <si>
    <t>fannocheu@yahoo.fr</t>
  </si>
  <si>
    <t>0767024209</t>
  </si>
  <si>
    <t>blanco-ta@hotmail.de</t>
  </si>
  <si>
    <t>0764064446</t>
  </si>
  <si>
    <t>rueggmarco@bluewin.ch</t>
  </si>
  <si>
    <t>0798849149</t>
  </si>
  <si>
    <t>Marcela</t>
  </si>
  <si>
    <t>Goms</t>
  </si>
  <si>
    <t>m.marjory@outlook.com</t>
  </si>
  <si>
    <t>0797895876</t>
  </si>
  <si>
    <t>Angela</t>
  </si>
  <si>
    <t>Lötscher</t>
  </si>
  <si>
    <t>angie_loetscher@hotmail.com</t>
  </si>
  <si>
    <t>Stallenmattstrasse 10</t>
  </si>
  <si>
    <t>0798581939</t>
  </si>
  <si>
    <t>Hana</t>
  </si>
  <si>
    <t>Sorani</t>
  </si>
  <si>
    <t>soranihana14@gmail.com</t>
  </si>
  <si>
    <t>0798440876</t>
  </si>
  <si>
    <t xml:space="preserve">Anais </t>
  </si>
  <si>
    <t>Bonell</t>
  </si>
  <si>
    <t>a.bonell@gmx.ch</t>
  </si>
  <si>
    <t>0762022589</t>
  </si>
  <si>
    <t>Helena</t>
  </si>
  <si>
    <t>Sprafke</t>
  </si>
  <si>
    <t>helena.sprafke@outlook.com</t>
  </si>
  <si>
    <t>0789443937</t>
  </si>
  <si>
    <t>Di Pasquale</t>
  </si>
  <si>
    <t>laura.dipasquale@hotmail.com</t>
  </si>
  <si>
    <t>Bonfolstrasse 3</t>
  </si>
  <si>
    <t>0786701595</t>
  </si>
  <si>
    <t xml:space="preserve">Susan </t>
  </si>
  <si>
    <t>Rodriguez</t>
  </si>
  <si>
    <t>rodriguez.susan@gmail.com</t>
  </si>
  <si>
    <t>0794800985</t>
  </si>
  <si>
    <t>Alessia</t>
  </si>
  <si>
    <t>lessika@msn.com</t>
  </si>
  <si>
    <t>Blotzheimerstrasse 69</t>
  </si>
  <si>
    <t>0788327742</t>
  </si>
  <si>
    <t>Stucky</t>
  </si>
  <si>
    <t>r.stucky@gmx.ch</t>
  </si>
  <si>
    <t>0792453548</t>
  </si>
  <si>
    <t>Sheena</t>
  </si>
  <si>
    <t>Brechbühl</t>
  </si>
  <si>
    <t>sheenabre@hotmail.com</t>
  </si>
  <si>
    <t>0775348261</t>
  </si>
  <si>
    <t>Carlos</t>
  </si>
  <si>
    <t>c-juan@outlook.de</t>
  </si>
  <si>
    <t>0799259753</t>
  </si>
  <si>
    <t>Rumpel</t>
  </si>
  <si>
    <t>natascha.rumpel@gmail.com</t>
  </si>
  <si>
    <t>0765714057</t>
  </si>
  <si>
    <t>Oliver</t>
  </si>
  <si>
    <t>Zaugg</t>
  </si>
  <si>
    <t>info.zaugg@gmail.com</t>
  </si>
  <si>
    <t>0764262877</t>
  </si>
  <si>
    <t>Lucca</t>
  </si>
  <si>
    <t>cristina.lucca@outlook.com</t>
  </si>
  <si>
    <t>0795244614</t>
  </si>
  <si>
    <t>Luz</t>
  </si>
  <si>
    <t>evaluz@sunrise.ch</t>
  </si>
  <si>
    <t>Horburgstrasse 112</t>
  </si>
  <si>
    <t>0764571895</t>
  </si>
  <si>
    <t>sarah.hagmann@outlook.com</t>
  </si>
  <si>
    <t>0779810160</t>
  </si>
  <si>
    <t>Paulina</t>
  </si>
  <si>
    <t>Rodzen</t>
  </si>
  <si>
    <t>rodzenpaulina@gmail.com</t>
  </si>
  <si>
    <t>0765829131</t>
  </si>
  <si>
    <t xml:space="preserve">Louisa </t>
  </si>
  <si>
    <t>Meya</t>
  </si>
  <si>
    <t>louisa_meya@yahoo.de</t>
  </si>
  <si>
    <t>0793634299</t>
  </si>
  <si>
    <t xml:space="preserve">Viktor </t>
  </si>
  <si>
    <t>Schwarz</t>
  </si>
  <si>
    <t>v.drum07@gmail.com</t>
  </si>
  <si>
    <t>0763364320</t>
  </si>
  <si>
    <t>Leuenberger</t>
  </si>
  <si>
    <t>rafael.leuenberger@gmail.com</t>
  </si>
  <si>
    <t>Dornacherstrasse 53</t>
  </si>
  <si>
    <t>0788731656</t>
  </si>
  <si>
    <t>Vögtlin</t>
  </si>
  <si>
    <t>florian.voegtlin@hotmail.com</t>
  </si>
  <si>
    <t>Eptingerstrasse 15</t>
  </si>
  <si>
    <t>4448 Läufelfingen</t>
  </si>
  <si>
    <t>0795450144</t>
  </si>
  <si>
    <t>Bendel</t>
  </si>
  <si>
    <t>r.bendel@hotmail.com</t>
  </si>
  <si>
    <t>0774129368</t>
  </si>
  <si>
    <t>Hügin</t>
  </si>
  <si>
    <t>flipsy@mail.com</t>
  </si>
  <si>
    <t>Greifengasse 11</t>
  </si>
  <si>
    <t>0789445490</t>
  </si>
  <si>
    <t>Noelle</t>
  </si>
  <si>
    <t>Zahn</t>
  </si>
  <si>
    <t>noelle.zahn@gmx.ch</t>
  </si>
  <si>
    <t>0798952569</t>
  </si>
  <si>
    <t>Stabel</t>
  </si>
  <si>
    <t>h.stabel@bluewin.ch</t>
  </si>
  <si>
    <t>0795617882</t>
  </si>
  <si>
    <t>Furler Gysin</t>
  </si>
  <si>
    <t>kfurler@bluewin.ch</t>
  </si>
  <si>
    <t>0765133011</t>
  </si>
  <si>
    <t>Soares Paulo</t>
  </si>
  <si>
    <t>sheyla_21@hotmail.com</t>
  </si>
  <si>
    <t>0764577346</t>
  </si>
  <si>
    <t>Nestola</t>
  </si>
  <si>
    <t>lella.nestola@gmx.ch</t>
  </si>
  <si>
    <t>0765075517</t>
  </si>
  <si>
    <t>pichurri@gmx.ch</t>
  </si>
  <si>
    <t>0788002324</t>
  </si>
  <si>
    <t>Kwajoe</t>
  </si>
  <si>
    <t>Antwi</t>
  </si>
  <si>
    <t>Jermano@web.de</t>
  </si>
  <si>
    <t>0788003050</t>
  </si>
  <si>
    <t>Pachnis</t>
  </si>
  <si>
    <t>pachnis.daniel@gmail.com</t>
  </si>
  <si>
    <t>0781716949</t>
  </si>
  <si>
    <t>0788368060</t>
  </si>
  <si>
    <t>Melileo</t>
  </si>
  <si>
    <t>l.melileo@gmail.com</t>
  </si>
  <si>
    <t>0795197804</t>
  </si>
  <si>
    <t>Poletti</t>
  </si>
  <si>
    <t>nic_10.93@hotmail.com</t>
  </si>
  <si>
    <t>0797479301</t>
  </si>
  <si>
    <t>Vijeinath</t>
  </si>
  <si>
    <t>Tissaveerasingham</t>
  </si>
  <si>
    <t>vijeinath@gmx.ch</t>
  </si>
  <si>
    <t>0033665672472</t>
  </si>
  <si>
    <t>Metzo</t>
  </si>
  <si>
    <t>Ndoye</t>
  </si>
  <si>
    <t>m.pippenz@yahoo.fr</t>
  </si>
  <si>
    <t>0764975429</t>
  </si>
  <si>
    <t>Stephanie</t>
  </si>
  <si>
    <t>Marangon</t>
  </si>
  <si>
    <t>s.marangon@hotmail.com</t>
  </si>
  <si>
    <t>0797632397</t>
  </si>
  <si>
    <t>Sidler</t>
  </si>
  <si>
    <t>sidler.alice@gmail.com</t>
  </si>
  <si>
    <t>0792147087</t>
  </si>
  <si>
    <t>tanja.engel@bluewin.ch</t>
  </si>
  <si>
    <t>0762462693</t>
  </si>
  <si>
    <t>Iva</t>
  </si>
  <si>
    <t>iva.gavranovic@hispeed.ch</t>
  </si>
  <si>
    <t>004915231090023</t>
  </si>
  <si>
    <t>Ahmetaj</t>
  </si>
  <si>
    <t>semura21@hotmail.de</t>
  </si>
  <si>
    <t>004915232021256</t>
  </si>
  <si>
    <t>Gefan</t>
  </si>
  <si>
    <t>Quian</t>
  </si>
  <si>
    <t>gefan.qian@gmail.com</t>
  </si>
  <si>
    <t>0774837092</t>
  </si>
  <si>
    <t>Joshua</t>
  </si>
  <si>
    <t>Heuberger</t>
  </si>
  <si>
    <t>jashuaheuberger7@gmail.com</t>
  </si>
  <si>
    <t>Unterdorfstrasse</t>
  </si>
  <si>
    <t>Baselland</t>
  </si>
  <si>
    <t>0795460920</t>
  </si>
  <si>
    <t>Leroy</t>
  </si>
  <si>
    <t>Harreh</t>
  </si>
  <si>
    <t>leroyharreh@gmail.com</t>
  </si>
  <si>
    <t>Spitzgartenweg 22</t>
  </si>
  <si>
    <t>0795676277</t>
  </si>
  <si>
    <t>Jasmin</t>
  </si>
  <si>
    <t>Andreani</t>
  </si>
  <si>
    <t>andreanijasmin1998@gmail.com</t>
  </si>
  <si>
    <t>0763493504</t>
  </si>
  <si>
    <t>Kaya</t>
  </si>
  <si>
    <t>Gönsül</t>
  </si>
  <si>
    <t>goensuel@outlook.com</t>
  </si>
  <si>
    <t>Baselstrasse 28</t>
  </si>
  <si>
    <t>Münchenstein</t>
  </si>
  <si>
    <t>0762044601</t>
  </si>
  <si>
    <t>Julien</t>
  </si>
  <si>
    <t>Gallina</t>
  </si>
  <si>
    <t>julien.gallina@ht-consultants.ch</t>
  </si>
  <si>
    <t>Jean-Sessler-Strasse 6</t>
  </si>
  <si>
    <t>Biel</t>
  </si>
  <si>
    <t>0795351548</t>
  </si>
  <si>
    <t>Mächler</t>
  </si>
  <si>
    <t>matthias.marchler@gmx.ch</t>
  </si>
  <si>
    <t>0795800455</t>
  </si>
  <si>
    <t>oliviapatriciasimon@gmail.com</t>
  </si>
  <si>
    <t>0786221896</t>
  </si>
  <si>
    <t>Di Marco</t>
  </si>
  <si>
    <t>tobias.dimarco@outlook.com</t>
  </si>
  <si>
    <t>0789112143</t>
  </si>
  <si>
    <t xml:space="preserve">Rene </t>
  </si>
  <si>
    <t>Schulz</t>
  </si>
  <si>
    <t>0787310212</t>
  </si>
  <si>
    <t>Landwerth</t>
  </si>
  <si>
    <t>nati.amant@icloud.com</t>
  </si>
  <si>
    <t>0798835654</t>
  </si>
  <si>
    <t>Damasceno</t>
  </si>
  <si>
    <t>sarabrunner@hotmail.com</t>
  </si>
  <si>
    <t>0798835654(1)</t>
  </si>
  <si>
    <t>Alan</t>
  </si>
  <si>
    <t>0033612903317</t>
  </si>
  <si>
    <t>Florence</t>
  </si>
  <si>
    <t>Merrien</t>
  </si>
  <si>
    <t>merrien_florence@yahoo.fr</t>
  </si>
  <si>
    <t>Rue de la Gare 47B</t>
  </si>
  <si>
    <t>68870 Bartenheim</t>
  </si>
  <si>
    <t>0797916729</t>
  </si>
  <si>
    <t>Irene</t>
  </si>
  <si>
    <t>Di Criscio</t>
  </si>
  <si>
    <t>idc7167@gmail.com</t>
  </si>
  <si>
    <t>Im Junkholz 23</t>
  </si>
  <si>
    <t>0794852737</t>
  </si>
  <si>
    <t>Gomez</t>
  </si>
  <si>
    <t>danigom66@hotmail.com</t>
  </si>
  <si>
    <t>Im Augarten 16</t>
  </si>
  <si>
    <t>0792916583</t>
  </si>
  <si>
    <t xml:space="preserve">Roland </t>
  </si>
  <si>
    <t>Zinniker</t>
  </si>
  <si>
    <t>rolizi118@hotmail.com</t>
  </si>
  <si>
    <t>0787177524</t>
  </si>
  <si>
    <t>Baftir</t>
  </si>
  <si>
    <t>Dushku</t>
  </si>
  <si>
    <t>0793343169</t>
  </si>
  <si>
    <t xml:space="preserve">Isabel </t>
  </si>
  <si>
    <t>Villagran</t>
  </si>
  <si>
    <t>isabel.villagran.schaart@gmail.com</t>
  </si>
  <si>
    <t>0797182111</t>
  </si>
  <si>
    <t>Naseem</t>
  </si>
  <si>
    <t>curioussabrina@hotmail.com</t>
  </si>
  <si>
    <t>0794471093</t>
  </si>
  <si>
    <t>Rolf</t>
  </si>
  <si>
    <t>Nöthiger</t>
  </si>
  <si>
    <t>rolf.w.noethiger@gmail.com</t>
  </si>
  <si>
    <t>0799316228</t>
  </si>
  <si>
    <t xml:space="preserve">Yolanda </t>
  </si>
  <si>
    <t>Diaz</t>
  </si>
  <si>
    <t>yolanda.diaz@hotmail.com</t>
  </si>
  <si>
    <t>0765464902</t>
  </si>
  <si>
    <t>Djuric</t>
  </si>
  <si>
    <t>saricamil@hotmail.com</t>
  </si>
  <si>
    <t>0763785888</t>
  </si>
  <si>
    <t>Noah</t>
  </si>
  <si>
    <t>Aebi</t>
  </si>
  <si>
    <t>noah.aebi@gmail.com</t>
  </si>
  <si>
    <t>0764503510</t>
  </si>
  <si>
    <t>Xenia</t>
  </si>
  <si>
    <t>Griss</t>
  </si>
  <si>
    <t>xeniagriss@hotmail.com</t>
  </si>
  <si>
    <t>0764935062</t>
  </si>
  <si>
    <t xml:space="preserve">Grollimund </t>
  </si>
  <si>
    <t>julia.grollimund@hotmail.com</t>
  </si>
  <si>
    <t>0799280775</t>
  </si>
  <si>
    <t>Ceresa</t>
  </si>
  <si>
    <t>vanessaceresa@aol.com</t>
  </si>
  <si>
    <t>0786964110</t>
  </si>
  <si>
    <t>Anne-Helene</t>
  </si>
  <si>
    <t>Clugery</t>
  </si>
  <si>
    <t>annehelene.clugery@gmail.com</t>
  </si>
  <si>
    <t>0787511375</t>
  </si>
  <si>
    <t>Dettwiler</t>
  </si>
  <si>
    <t>c.dett@gmx.ch</t>
  </si>
  <si>
    <t>0764100590</t>
  </si>
  <si>
    <t>Delal</t>
  </si>
  <si>
    <t>Tas</t>
  </si>
  <si>
    <t>delal_tas@hotmail.com</t>
  </si>
  <si>
    <t>Farnburgerstrasse 4</t>
  </si>
  <si>
    <t>0764947872</t>
  </si>
  <si>
    <t>Armano</t>
  </si>
  <si>
    <t>Atene</t>
  </si>
  <si>
    <t>armano@gmx.ch</t>
  </si>
  <si>
    <t>Ringstrasse 19</t>
  </si>
  <si>
    <t>4410 Füllinsdorf</t>
  </si>
  <si>
    <t xml:space="preserve">Bekannten </t>
  </si>
  <si>
    <t>0764490231</t>
  </si>
  <si>
    <t>Vincenzo</t>
  </si>
  <si>
    <t>vincenzo.atene23@gmail.com</t>
  </si>
  <si>
    <t xml:space="preserve">Seidenweg 11 </t>
  </si>
  <si>
    <t>4410 Liestal</t>
  </si>
  <si>
    <t>0794759114</t>
  </si>
  <si>
    <t xml:space="preserve">Tamas </t>
  </si>
  <si>
    <t>t.nicole@bluewin.ch</t>
  </si>
  <si>
    <t xml:space="preserve">Google </t>
  </si>
  <si>
    <t>0767820015</t>
  </si>
  <si>
    <t>Netka</t>
  </si>
  <si>
    <t>Petrova</t>
  </si>
  <si>
    <t>netka.petrova@gmail.com</t>
  </si>
  <si>
    <t>0797111232</t>
  </si>
  <si>
    <t xml:space="preserve">Keller </t>
  </si>
  <si>
    <t>fabienne.keller@usb.ch</t>
  </si>
  <si>
    <t>Im Gwidem 10</t>
  </si>
  <si>
    <t>0796258768</t>
  </si>
  <si>
    <t>Bossert</t>
  </si>
  <si>
    <t>marb.work@gmail.com</t>
  </si>
  <si>
    <t>Klybeckstrasse 74</t>
  </si>
  <si>
    <t>0767215510</t>
  </si>
  <si>
    <t xml:space="preserve">Victoria </t>
  </si>
  <si>
    <t>Tomaschko</t>
  </si>
  <si>
    <t>0793619928</t>
  </si>
  <si>
    <t xml:space="preserve">Kunz </t>
  </si>
  <si>
    <t>sabrina.kunz89@gmail.com</t>
  </si>
  <si>
    <t xml:space="preserve">Sonstiges </t>
  </si>
  <si>
    <t>0792549522</t>
  </si>
  <si>
    <t xml:space="preserve">Giuliano </t>
  </si>
  <si>
    <t>giuliano.om.bruno@gmail.com</t>
  </si>
  <si>
    <t>0795827813</t>
  </si>
  <si>
    <t xml:space="preserve">Gabriela </t>
  </si>
  <si>
    <t xml:space="preserve">Hertz-Bruno </t>
  </si>
  <si>
    <t>gabriela_hertz@yahoo.com</t>
  </si>
  <si>
    <t>0797453212</t>
  </si>
  <si>
    <t>Cengiz</t>
  </si>
  <si>
    <t>Centikaya</t>
  </si>
  <si>
    <t>cengiz.cetinkaya@gmail.com</t>
  </si>
  <si>
    <t>0763308414</t>
  </si>
  <si>
    <t>Ayse</t>
  </si>
  <si>
    <t>a-cetinkaya54@hotmail.com</t>
  </si>
  <si>
    <t>0764793803</t>
  </si>
  <si>
    <t xml:space="preserve">Nathalie </t>
  </si>
  <si>
    <t xml:space="preserve">Humpl </t>
  </si>
  <si>
    <t>n.humpl@bluewin.ch</t>
  </si>
  <si>
    <t>0764793803-1</t>
  </si>
  <si>
    <t xml:space="preserve">Michael </t>
  </si>
  <si>
    <t xml:space="preserve">Joray </t>
  </si>
  <si>
    <t>0797209719</t>
  </si>
  <si>
    <t xml:space="preserve">Nadine </t>
  </si>
  <si>
    <t>Argast</t>
  </si>
  <si>
    <t>nadine-argast@gmx.ch</t>
  </si>
  <si>
    <t>Schlossstrasse 1</t>
  </si>
  <si>
    <t>0762611983</t>
  </si>
  <si>
    <t xml:space="preserve">Maria </t>
  </si>
  <si>
    <t xml:space="preserve">Marques </t>
  </si>
  <si>
    <t>elsamds83@hotmail.com</t>
  </si>
  <si>
    <t>0787555178</t>
  </si>
  <si>
    <t xml:space="preserve">Tanja </t>
  </si>
  <si>
    <t xml:space="preserve">Voirol </t>
  </si>
  <si>
    <t>t.voirol@bluewin.ch</t>
  </si>
  <si>
    <t>0763451958</t>
  </si>
  <si>
    <t xml:space="preserve">Jucker </t>
  </si>
  <si>
    <t>jucker.fabi@gmx.ch</t>
  </si>
  <si>
    <t>Widliackerstrasse 68</t>
  </si>
  <si>
    <t>4415 Lausen</t>
  </si>
  <si>
    <t>0796913332</t>
  </si>
  <si>
    <t>Oksana</t>
  </si>
  <si>
    <t>Gneuseva</t>
  </si>
  <si>
    <t>gneuseva@gmail.com</t>
  </si>
  <si>
    <t>Gustav Wenkstrasse 36</t>
  </si>
  <si>
    <t>0772225566</t>
  </si>
  <si>
    <t>Sameh</t>
  </si>
  <si>
    <t>Abdrabo</t>
  </si>
  <si>
    <t>drsameh78@gmail.com</t>
  </si>
  <si>
    <t>Landskronstrasse 22</t>
  </si>
  <si>
    <t>0779857158</t>
  </si>
  <si>
    <t>Rahul</t>
  </si>
  <si>
    <t>Anand</t>
  </si>
  <si>
    <t>rahu122ffm@outlook.com</t>
  </si>
  <si>
    <t>0787446869</t>
  </si>
  <si>
    <t>Gehrold</t>
  </si>
  <si>
    <t>ngehrold@bluewin.ch</t>
  </si>
  <si>
    <t>0763094303</t>
  </si>
  <si>
    <t>Cali</t>
  </si>
  <si>
    <t>davide.cali@hotmail.com</t>
  </si>
  <si>
    <t>0763498010</t>
  </si>
  <si>
    <t>0793865678</t>
  </si>
  <si>
    <t>Fernandez</t>
  </si>
  <si>
    <t>patricia.kuenzi7@gmail.com</t>
  </si>
  <si>
    <t>St jakobstr 17</t>
  </si>
  <si>
    <t>Muttenz</t>
  </si>
  <si>
    <t>0793459955</t>
  </si>
  <si>
    <t>Roth</t>
  </si>
  <si>
    <t>0795108820</t>
  </si>
  <si>
    <t>Grose</t>
  </si>
  <si>
    <t>nathalie@grosse.ch</t>
  </si>
  <si>
    <t>0794734522</t>
  </si>
  <si>
    <t>Filomena</t>
  </si>
  <si>
    <t>f.zefiretti94@icloud.com</t>
  </si>
  <si>
    <t>0786840381</t>
  </si>
  <si>
    <t>Gibin</t>
  </si>
  <si>
    <t>gibinelena@gmail.com</t>
  </si>
  <si>
    <t>0786840381-1</t>
  </si>
  <si>
    <t xml:space="preserve">Claudio </t>
  </si>
  <si>
    <t>De Pellegrin</t>
  </si>
  <si>
    <t>0797707233</t>
  </si>
  <si>
    <t xml:space="preserve">Emilie </t>
  </si>
  <si>
    <t>Nigg</t>
  </si>
  <si>
    <t>e.niggmonard@gmail.com</t>
  </si>
  <si>
    <t>0798965420</t>
  </si>
  <si>
    <t xml:space="preserve">Matthias </t>
  </si>
  <si>
    <t>0779962967</t>
  </si>
  <si>
    <t>Emanuela</t>
  </si>
  <si>
    <t>Del Ferro</t>
  </si>
  <si>
    <t>emanueladelferro@gmail.com</t>
  </si>
  <si>
    <t>0779962967-1</t>
  </si>
  <si>
    <t>Paoletti</t>
  </si>
  <si>
    <t>paoletti.lu@gmail.com</t>
  </si>
  <si>
    <t>0792664656</t>
  </si>
  <si>
    <t xml:space="preserve">Thomas </t>
  </si>
  <si>
    <t>Stauffer</t>
  </si>
  <si>
    <t>0788791512</t>
  </si>
  <si>
    <t xml:space="preserve">Kaiser </t>
  </si>
  <si>
    <t>0795416560</t>
  </si>
  <si>
    <t>vanessa.alina.mueller@gmail.com</t>
  </si>
  <si>
    <t>Schiltweid 8</t>
  </si>
  <si>
    <t>6363 Fürigen</t>
  </si>
  <si>
    <t>0763103480</t>
  </si>
  <si>
    <t>Stefano</t>
  </si>
  <si>
    <t>Maric</t>
  </si>
  <si>
    <t>stefano.maric@stud.unibas.ch</t>
  </si>
  <si>
    <t>0789171305</t>
  </si>
  <si>
    <t>Yanira</t>
  </si>
  <si>
    <t>Vazquez Moreno</t>
  </si>
  <si>
    <t>y.vazquez@hotmail.com</t>
  </si>
  <si>
    <t>0765692853</t>
  </si>
  <si>
    <t>leandro4133@gmx.ch</t>
  </si>
  <si>
    <t>0799156256</t>
  </si>
  <si>
    <t>Van Bürck</t>
  </si>
  <si>
    <t>janina.vanbuerck@sbl.ch</t>
  </si>
  <si>
    <t>0798001802</t>
  </si>
  <si>
    <t>0764023951</t>
  </si>
  <si>
    <t>mirjmeider@gmail.com</t>
  </si>
  <si>
    <t>Salinenstrasse 4b</t>
  </si>
  <si>
    <t>0796238108</t>
  </si>
  <si>
    <t xml:space="preserve">Yvonne </t>
  </si>
  <si>
    <t>Stienen</t>
  </si>
  <si>
    <t>yvonne.stienen@bluewin.ch</t>
  </si>
  <si>
    <t>Südallee 14</t>
  </si>
  <si>
    <t>Suhr</t>
  </si>
  <si>
    <t>0797799015</t>
  </si>
  <si>
    <t>Jappert</t>
  </si>
  <si>
    <t>melanie.jappert@gmail.com</t>
  </si>
  <si>
    <t>Froburgstrasse 29</t>
  </si>
  <si>
    <t>0792186656</t>
  </si>
  <si>
    <t>Honold</t>
  </si>
  <si>
    <t>nadinehonold@web.de</t>
  </si>
  <si>
    <t>0791386972</t>
  </si>
  <si>
    <t>Unterhauser</t>
  </si>
  <si>
    <t>00447922906723</t>
  </si>
  <si>
    <t>Andrew</t>
  </si>
  <si>
    <t>Darby</t>
  </si>
  <si>
    <t>andrew.darby2@gmail.com</t>
  </si>
  <si>
    <t>0764777956</t>
  </si>
  <si>
    <t>Opacic</t>
  </si>
  <si>
    <t>sandra.opacic@yahoo.de</t>
  </si>
  <si>
    <t>Meret-Oppenheim Strasse 6</t>
  </si>
  <si>
    <t>00491631609154</t>
  </si>
  <si>
    <t>Mazzeo</t>
  </si>
  <si>
    <t>mazzeo.antonio@web.de</t>
  </si>
  <si>
    <t>07623798930</t>
  </si>
  <si>
    <t>Alida</t>
  </si>
  <si>
    <t>0763495659</t>
  </si>
  <si>
    <t>Catarine</t>
  </si>
  <si>
    <t>Mariani</t>
  </si>
  <si>
    <t>caterina.mariani@bluewin.ch</t>
  </si>
  <si>
    <t>0799279503</t>
  </si>
  <si>
    <t>Rudin</t>
  </si>
  <si>
    <t>lukas-rudin@bluewin.ch</t>
  </si>
  <si>
    <t>0788731991</t>
  </si>
  <si>
    <t>Jovanovic</t>
  </si>
  <si>
    <t>Verica</t>
  </si>
  <si>
    <t>jovanovicverica39@gmail.com</t>
  </si>
  <si>
    <t>0798574508</t>
  </si>
  <si>
    <t>Svetlana</t>
  </si>
  <si>
    <t>Wirth</t>
  </si>
  <si>
    <t>s.v.wirth@bluewin.ch</t>
  </si>
  <si>
    <t>Hofmattweg 43</t>
  </si>
  <si>
    <t>0033783108483</t>
  </si>
  <si>
    <t>Kaja</t>
  </si>
  <si>
    <t>Antlej</t>
  </si>
  <si>
    <t>kaja.antlej@gmail.com</t>
  </si>
  <si>
    <t>Möhlin</t>
  </si>
  <si>
    <t>0792426169</t>
  </si>
  <si>
    <t xml:space="preserve">Albin </t>
  </si>
  <si>
    <t>albin.simon@gmx.ch</t>
  </si>
  <si>
    <t>Fürfelderstrasse 69</t>
  </si>
  <si>
    <t>0792177737</t>
  </si>
  <si>
    <t>Daniele</t>
  </si>
  <si>
    <t>Cubito</t>
  </si>
  <si>
    <t>cubito@gmx.net</t>
  </si>
  <si>
    <t>Münchensteinerweg 76</t>
  </si>
  <si>
    <t>0793979009</t>
  </si>
  <si>
    <t xml:space="preserve">Buket </t>
  </si>
  <si>
    <t>Karisik</t>
  </si>
  <si>
    <t>buketkarisik21@gmail.com</t>
  </si>
  <si>
    <t>Hohenrainstrasse 26B</t>
  </si>
  <si>
    <t>0786811646</t>
  </si>
  <si>
    <t>Yaren</t>
  </si>
  <si>
    <t>Sahin</t>
  </si>
  <si>
    <t>0763449026</t>
  </si>
  <si>
    <t xml:space="preserve">Luca </t>
  </si>
  <si>
    <t>Alario</t>
  </si>
  <si>
    <t>0788424372</t>
  </si>
  <si>
    <t>marina_95_10@hotmail.com</t>
  </si>
  <si>
    <t>0792814166</t>
  </si>
  <si>
    <t xml:space="preserve">Jonas </t>
  </si>
  <si>
    <t>jonas.meyer@bluewin.ch</t>
  </si>
  <si>
    <t>0788435661</t>
  </si>
  <si>
    <t>dana.scherrer@googlemail.com</t>
  </si>
  <si>
    <t>Prattelerstrasse 5</t>
  </si>
  <si>
    <t>0764341935</t>
  </si>
  <si>
    <t>Kury</t>
  </si>
  <si>
    <t>0764804866</t>
  </si>
  <si>
    <t xml:space="preserve">Lea </t>
  </si>
  <si>
    <t>Von Felten</t>
  </si>
  <si>
    <t>00491791440115</t>
  </si>
  <si>
    <t xml:space="preserve">Silke </t>
  </si>
  <si>
    <t>Diewald</t>
  </si>
  <si>
    <t>silke.diewald@yahoo.de</t>
  </si>
  <si>
    <t>Schillerstrasse 70</t>
  </si>
  <si>
    <t>79650 Schopheimm</t>
  </si>
  <si>
    <t>0791928289</t>
  </si>
  <si>
    <t>Maarten</t>
  </si>
  <si>
    <t>De Laat</t>
  </si>
  <si>
    <t>smaaardy@gmail.com</t>
  </si>
  <si>
    <t>Im Niederholzboden</t>
  </si>
  <si>
    <t>Riehen</t>
  </si>
  <si>
    <t>0788636998</t>
  </si>
  <si>
    <t>Tsvetana</t>
  </si>
  <si>
    <t>Spasova</t>
  </si>
  <si>
    <t>0792052155</t>
  </si>
  <si>
    <t>Gradlon</t>
  </si>
  <si>
    <t>gradlon@mr.com</t>
  </si>
  <si>
    <t>0798620675</t>
  </si>
  <si>
    <t>graf.katja@bluewin.ch</t>
  </si>
  <si>
    <t xml:space="preserve">Brügglistrasse </t>
  </si>
  <si>
    <t>Oberwil</t>
  </si>
  <si>
    <t>0798620675-1</t>
  </si>
  <si>
    <t>Hegi</t>
  </si>
  <si>
    <t>raphael.hegi@unibas.ch</t>
  </si>
  <si>
    <t>0031624322692</t>
  </si>
  <si>
    <t xml:space="preserve">Ilhan Erkin </t>
  </si>
  <si>
    <t>Acar</t>
  </si>
  <si>
    <t>0791556870</t>
  </si>
  <si>
    <t>Javier</t>
  </si>
  <si>
    <t>Sesto</t>
  </si>
  <si>
    <t>javisecam@hotmail.com</t>
  </si>
  <si>
    <t>Kannenfeldstrasse 18</t>
  </si>
  <si>
    <t>0765441201</t>
  </si>
  <si>
    <t>Feride</t>
  </si>
  <si>
    <t>Yesilyayla</t>
  </si>
  <si>
    <t>ferideyesilyayla@hotmail.com</t>
  </si>
  <si>
    <t>Rämelstrasse 7</t>
  </si>
  <si>
    <t>4103 Bottmingen</t>
  </si>
  <si>
    <t>0764551194</t>
  </si>
  <si>
    <t xml:space="preserve">Daniele </t>
  </si>
  <si>
    <t>Sciavarrelllo</t>
  </si>
  <si>
    <t>0775352249</t>
  </si>
  <si>
    <t>sarahnordemann1@gmail.com</t>
  </si>
  <si>
    <t>Im Drissel 35</t>
  </si>
  <si>
    <t>004915770474053</t>
  </si>
  <si>
    <t>loredana.mazzeo@freenet.de</t>
  </si>
  <si>
    <t>004915770474053-1</t>
  </si>
  <si>
    <t xml:space="preserve">Ivan </t>
  </si>
  <si>
    <t>Lomartire</t>
  </si>
  <si>
    <t>0763355280</t>
  </si>
  <si>
    <t xml:space="preserve">Claudia </t>
  </si>
  <si>
    <t>claudia.kunz@vtxmail.ch</t>
  </si>
  <si>
    <t>Hirschgässlein 40</t>
  </si>
  <si>
    <t>0764615901</t>
  </si>
  <si>
    <t>Joyce</t>
  </si>
  <si>
    <t>Schwyn</t>
  </si>
  <si>
    <t>0764265007</t>
  </si>
  <si>
    <t>Suthin</t>
  </si>
  <si>
    <t>Roulin</t>
  </si>
  <si>
    <t>suthin89@hotmail.com</t>
  </si>
  <si>
    <t>Delsbergerallee 88</t>
  </si>
  <si>
    <t>0799479682</t>
  </si>
  <si>
    <t>Jane</t>
  </si>
  <si>
    <t>Danson</t>
  </si>
  <si>
    <t>jane.danson@gmx.ch</t>
  </si>
  <si>
    <t>Rodrisstrasse 3</t>
  </si>
  <si>
    <t>0764159223</t>
  </si>
  <si>
    <t>Santoli</t>
  </si>
  <si>
    <t>sofia.santoli@gmail.com</t>
  </si>
  <si>
    <t>0793558318</t>
  </si>
  <si>
    <t xml:space="preserve">Alexa </t>
  </si>
  <si>
    <t>Roggwiller</t>
  </si>
  <si>
    <t>aroggwiller@bluewin.ch</t>
  </si>
  <si>
    <t>Hummelweg 12</t>
  </si>
  <si>
    <t>Robin</t>
  </si>
  <si>
    <t>Rösch-Dümas</t>
  </si>
  <si>
    <t>sunrise1470@gmx.net</t>
  </si>
  <si>
    <t>0792007799</t>
  </si>
  <si>
    <t>Todaro</t>
  </si>
  <si>
    <t>marco@todaro.ch</t>
  </si>
  <si>
    <t>Neuweilerstrasse 6</t>
  </si>
  <si>
    <t>0799223455</t>
  </si>
  <si>
    <t>Filipa</t>
  </si>
  <si>
    <t>Moniz</t>
  </si>
  <si>
    <t>filipa.botelhomoniz@gmail.com</t>
  </si>
  <si>
    <t>0782563330</t>
  </si>
  <si>
    <t>Francesca</t>
  </si>
  <si>
    <t>Scalco</t>
  </si>
  <si>
    <t>scalco.francesca95@gmail.com</t>
  </si>
  <si>
    <t>0033614510022</t>
  </si>
  <si>
    <t>Myriam</t>
  </si>
  <si>
    <t>Eutamene</t>
  </si>
  <si>
    <t>myriam.eutamene@gmail.com</t>
  </si>
  <si>
    <t>0768043981</t>
  </si>
  <si>
    <t>Micha</t>
  </si>
  <si>
    <t>micha.zaugg@gmail.com</t>
  </si>
  <si>
    <t>0774561963</t>
  </si>
  <si>
    <t xml:space="preserve">Elisa </t>
  </si>
  <si>
    <t>Tamayo</t>
  </si>
  <si>
    <t>etamayo@gmx.ch</t>
  </si>
  <si>
    <t>Vierjuchartenweg 5</t>
  </si>
  <si>
    <t>0774037173</t>
  </si>
  <si>
    <t>Josua</t>
  </si>
  <si>
    <t>Friedli</t>
  </si>
  <si>
    <t>josua.friedli@protonmail.com</t>
  </si>
  <si>
    <t>Bernerring 7</t>
  </si>
  <si>
    <t>0764335211</t>
  </si>
  <si>
    <t>Cynthia</t>
  </si>
  <si>
    <t>Ott</t>
  </si>
  <si>
    <t>ott.cynthia@bluewin.ch</t>
  </si>
  <si>
    <t>0796654174</t>
  </si>
  <si>
    <t>Rietmann</t>
  </si>
  <si>
    <t>pascal.a.rietmann@gmail.com</t>
  </si>
  <si>
    <t>004915738448183</t>
  </si>
  <si>
    <t>Rico</t>
  </si>
  <si>
    <t>Vowie</t>
  </si>
  <si>
    <t>ricovowie8@gmail.com</t>
  </si>
  <si>
    <t>1. Rue Ritty, 1</t>
  </si>
  <si>
    <t>Village-Neuf</t>
  </si>
  <si>
    <t>0033784136288</t>
  </si>
  <si>
    <t>yvonne27@web.de</t>
  </si>
  <si>
    <t>0793994567</t>
  </si>
  <si>
    <t>Chris</t>
  </si>
  <si>
    <t>Agbanyim</t>
  </si>
  <si>
    <t>agbanyimchris@gmail.com</t>
  </si>
  <si>
    <t>0786761996</t>
  </si>
  <si>
    <t>raphaelg814@gmail.com</t>
  </si>
  <si>
    <t>Wettsteinallee 117</t>
  </si>
  <si>
    <t>0787421051</t>
  </si>
  <si>
    <t>jasmin.luetolf@gmail.com</t>
  </si>
  <si>
    <t>0788766819</t>
  </si>
  <si>
    <t>Nicotra</t>
  </si>
  <si>
    <t>t.nicotra@hotmail.com</t>
  </si>
  <si>
    <t>0763742990</t>
  </si>
  <si>
    <t>Morena</t>
  </si>
  <si>
    <t>Rizzello</t>
  </si>
  <si>
    <t>morenarizzello96@gmail.com</t>
  </si>
  <si>
    <t>0792936420</t>
  </si>
  <si>
    <t>Moreno</t>
  </si>
  <si>
    <t>a.moreno@gmx.ch</t>
  </si>
  <si>
    <t>0792936420-1</t>
  </si>
  <si>
    <t>Brodbeck</t>
  </si>
  <si>
    <t>0791756785</t>
  </si>
  <si>
    <t>Sommerfeld</t>
  </si>
  <si>
    <t>gabriel.sommerfeld@gmx.ch</t>
  </si>
  <si>
    <t>0782278931</t>
  </si>
  <si>
    <t>Falkvoll</t>
  </si>
  <si>
    <t>snfalkvollsur@yahoo.com</t>
  </si>
  <si>
    <t>0799569009</t>
  </si>
  <si>
    <t xml:space="preserve">Graf </t>
  </si>
  <si>
    <t>toni.graf@stud.unibas.ch</t>
  </si>
  <si>
    <t>0788499162</t>
  </si>
  <si>
    <t>le.berger@stud.unibas.ch</t>
  </si>
  <si>
    <t>0765883540</t>
  </si>
  <si>
    <t>Popovic</t>
  </si>
  <si>
    <t>popovic-m@hotmail.com</t>
  </si>
  <si>
    <t>Amerikanerstrasse 17</t>
  </si>
  <si>
    <t>0797581049</t>
  </si>
  <si>
    <t>Riegert</t>
  </si>
  <si>
    <t>s.riegert@hotmail.com</t>
  </si>
  <si>
    <t>00491627348000</t>
  </si>
  <si>
    <t>Gerrit</t>
  </si>
  <si>
    <t>lgerritmeyer@gmail.com</t>
  </si>
  <si>
    <t>General Guisan-Strasse 50</t>
  </si>
  <si>
    <t>004915203982062</t>
  </si>
  <si>
    <t>Samanta</t>
  </si>
  <si>
    <t>Palus</t>
  </si>
  <si>
    <t>palussamanta@gmail.com</t>
  </si>
  <si>
    <t>004916096831662</t>
  </si>
  <si>
    <t>Nigro</t>
  </si>
  <si>
    <t>nigro.andrea79@gmail.com</t>
  </si>
  <si>
    <t>Instagram</t>
  </si>
  <si>
    <t>0796028465</t>
  </si>
  <si>
    <t>Rothenfluh</t>
  </si>
  <si>
    <t>robin.rothenfluh@stud.unibas.ch</t>
  </si>
  <si>
    <t>0788975060</t>
  </si>
  <si>
    <t xml:space="preserve">Stefan </t>
  </si>
  <si>
    <t>Correa</t>
  </si>
  <si>
    <t>stefancorrea02@gmail.com</t>
  </si>
  <si>
    <t>00491787635111</t>
  </si>
  <si>
    <t>Pfefferkorn</t>
  </si>
  <si>
    <t>fpfefferkorn@yahoo.de</t>
  </si>
  <si>
    <t>0796096303</t>
  </si>
  <si>
    <t xml:space="preserve">Rita </t>
  </si>
  <si>
    <t>Bühlmann</t>
  </si>
  <si>
    <t>rita.buehlmann@hotmail.com</t>
  </si>
  <si>
    <t>0792198118</t>
  </si>
  <si>
    <t>phil.buelmann@bluewin.ch</t>
  </si>
  <si>
    <t>0765017017</t>
  </si>
  <si>
    <t>Emanuele</t>
  </si>
  <si>
    <t>Tirendi</t>
  </si>
  <si>
    <t>emanuele.tirendi@gmx.ch</t>
  </si>
  <si>
    <t>Im Reinacherhof 7</t>
  </si>
  <si>
    <t>0762100044</t>
  </si>
  <si>
    <t>Gabriele</t>
  </si>
  <si>
    <t>gabriele.tirendi@gmx.ch</t>
  </si>
  <si>
    <t>0796132994</t>
  </si>
  <si>
    <t>alex.jovanovic@unibas.ch</t>
  </si>
  <si>
    <t>0798721776</t>
  </si>
  <si>
    <t xml:space="preserve">Samuel </t>
  </si>
  <si>
    <t>Leder</t>
  </si>
  <si>
    <t>s.leder@bluewin.ch</t>
  </si>
  <si>
    <t>Untere Weid 10</t>
  </si>
  <si>
    <t>004915732390215</t>
  </si>
  <si>
    <t>Hink</t>
  </si>
  <si>
    <t>alexandra.hink@stud.unibas.ch</t>
  </si>
  <si>
    <t>Grosspeterstrasse 51</t>
  </si>
  <si>
    <t>0793546909</t>
  </si>
  <si>
    <t>0791297786</t>
  </si>
  <si>
    <t>Moritz</t>
  </si>
  <si>
    <t>Hagermann</t>
  </si>
  <si>
    <t>00491794172072</t>
  </si>
  <si>
    <t xml:space="preserve">Patrick </t>
  </si>
  <si>
    <t>Scheller</t>
  </si>
  <si>
    <t>patricks.scheller.1984@gmail.com</t>
  </si>
  <si>
    <t>Heidenggerstrasse 4b</t>
  </si>
  <si>
    <t>79639 Grenzach-Wyhlen</t>
  </si>
  <si>
    <t>00491623306123</t>
  </si>
  <si>
    <t>Göttlich</t>
  </si>
  <si>
    <t>claudiagoettlich@web.de</t>
  </si>
  <si>
    <t>0764637518</t>
  </si>
  <si>
    <t>Pellegrini</t>
  </si>
  <si>
    <t>silvia.pellegrini93@hotmail.com</t>
  </si>
  <si>
    <t>0036205976197</t>
  </si>
  <si>
    <t>Aron</t>
  </si>
  <si>
    <t>Balog</t>
  </si>
  <si>
    <t>balogaron@gmail.com</t>
  </si>
  <si>
    <t>Morgartenring 159</t>
  </si>
  <si>
    <t>0779835699</t>
  </si>
  <si>
    <t>Anita</t>
  </si>
  <si>
    <t>Badar</t>
  </si>
  <si>
    <t>banita8911@gmail.com</t>
  </si>
  <si>
    <t>0763082338</t>
  </si>
  <si>
    <t>Stüssi</t>
  </si>
  <si>
    <t>markus.stuessi@wisg.net</t>
  </si>
  <si>
    <t>Dornacherstrasse 95</t>
  </si>
  <si>
    <t>0796521116</t>
  </si>
  <si>
    <t>Heyner</t>
  </si>
  <si>
    <t>mheyner@student.ethz.ch</t>
  </si>
  <si>
    <t>Germaniastrasse 9</t>
  </si>
  <si>
    <t>8006 Zürich</t>
  </si>
  <si>
    <t>0764309159</t>
  </si>
  <si>
    <t>ch.gasser@hotmail.com</t>
  </si>
  <si>
    <t>0799199214</t>
  </si>
  <si>
    <t>Gianni</t>
  </si>
  <si>
    <t>Carino</t>
  </si>
  <si>
    <t>0795909794</t>
  </si>
  <si>
    <t>vollenweiderolivia@gmail.com</t>
  </si>
  <si>
    <t>Lettenweg 13</t>
  </si>
  <si>
    <t>Ormalingen</t>
  </si>
  <si>
    <t>0033632436510</t>
  </si>
  <si>
    <t>Margaux</t>
  </si>
  <si>
    <t>Frisch</t>
  </si>
  <si>
    <t>margaux.frisch99@gmail.com</t>
  </si>
  <si>
    <t>40 Rue du Sable</t>
  </si>
  <si>
    <t>68220 Hegenheim</t>
  </si>
  <si>
    <t>0799123947</t>
  </si>
  <si>
    <t>Dimitrijevic</t>
  </si>
  <si>
    <t>adimitrijevic@hotmail.com</t>
  </si>
  <si>
    <t>0787451799</t>
  </si>
  <si>
    <t>Guggisberg</t>
  </si>
  <si>
    <t>0765018375</t>
  </si>
  <si>
    <t>Figiel</t>
  </si>
  <si>
    <t>patrizia@figiel.ch</t>
  </si>
  <si>
    <t>0765018375-1</t>
  </si>
  <si>
    <t xml:space="preserve">Paul </t>
  </si>
  <si>
    <t>00491733777835</t>
  </si>
  <si>
    <t>Francesco</t>
  </si>
  <si>
    <t>Campagna</t>
  </si>
  <si>
    <t>ciccio2704@gmail.com</t>
  </si>
  <si>
    <t>Constanze-Weber-Gasse 5</t>
  </si>
  <si>
    <t>Zell im Wiesental</t>
  </si>
  <si>
    <t>00491733777835-1</t>
  </si>
  <si>
    <t>Selenia</t>
  </si>
  <si>
    <t>00491622743831</t>
  </si>
  <si>
    <t>Treichel</t>
  </si>
  <si>
    <t>jennifer_treichel@outlook.de</t>
  </si>
  <si>
    <t>Übertal 20</t>
  </si>
  <si>
    <t>79761 Waldshut-Tiengen</t>
  </si>
  <si>
    <t>0767059275</t>
  </si>
  <si>
    <t xml:space="preserve">Brit </t>
  </si>
  <si>
    <t>Busch</t>
  </si>
  <si>
    <t>bbbusch@gmx.net</t>
  </si>
  <si>
    <t>0798235467</t>
  </si>
  <si>
    <t>Gubler</t>
  </si>
  <si>
    <t>0764068047</t>
  </si>
  <si>
    <t>Murat</t>
  </si>
  <si>
    <t>Asma</t>
  </si>
  <si>
    <t>masma@gmx.ch</t>
  </si>
  <si>
    <t>0765014310</t>
  </si>
  <si>
    <t>Kattia</t>
  </si>
  <si>
    <t>Bonilla</t>
  </si>
  <si>
    <t>gini.bonilla.71@gmail.com</t>
  </si>
  <si>
    <t>0049762498886</t>
  </si>
  <si>
    <t>Angelika</t>
  </si>
  <si>
    <t>angelikis@t-online.de</t>
  </si>
  <si>
    <t>00491736859228</t>
  </si>
  <si>
    <t>Geiger</t>
  </si>
  <si>
    <t>alex.geiger@web.de</t>
  </si>
  <si>
    <t>0033668486066</t>
  </si>
  <si>
    <t>Valentine</t>
  </si>
  <si>
    <t>Lijic</t>
  </si>
  <si>
    <t>valentine.lijic@gmail.com</t>
  </si>
  <si>
    <t>0792117573</t>
  </si>
  <si>
    <t>Kamil</t>
  </si>
  <si>
    <t>Dudzinski</t>
  </si>
  <si>
    <t>kamildudzinski@gmail.com</t>
  </si>
  <si>
    <t>0795322242</t>
  </si>
  <si>
    <t>Monica</t>
  </si>
  <si>
    <t>Pinot</t>
  </si>
  <si>
    <t>pinotreyna@gmail.com</t>
  </si>
  <si>
    <t>0791298538</t>
  </si>
  <si>
    <t>Rodrigo</t>
  </si>
  <si>
    <t>rpinot@gmail.com</t>
  </si>
  <si>
    <t>0763288506</t>
  </si>
  <si>
    <t>Vedrana</t>
  </si>
  <si>
    <t>Lesic</t>
  </si>
  <si>
    <t>vedrana.lesic@outlook.de</t>
  </si>
  <si>
    <t>Lehenmattstrasse 150</t>
  </si>
  <si>
    <t>0798318287</t>
  </si>
  <si>
    <t>Stäuble</t>
  </si>
  <si>
    <t>fabienne.staeuble@gmail.com</t>
  </si>
  <si>
    <t>Solothurnerstrasse 71</t>
  </si>
  <si>
    <t>00491705964321</t>
  </si>
  <si>
    <t>Maier</t>
  </si>
  <si>
    <t>jensmaier19@web.de</t>
  </si>
  <si>
    <t>0765855041</t>
  </si>
  <si>
    <t>Schlaefli</t>
  </si>
  <si>
    <t>emanuel.schlaefli@mailbox.org</t>
  </si>
  <si>
    <t>0799001902</t>
  </si>
  <si>
    <t>Aimee</t>
  </si>
  <si>
    <t>Faes</t>
  </si>
  <si>
    <t>0765641871</t>
  </si>
  <si>
    <t>Dill</t>
  </si>
  <si>
    <t>daniel.jonas.dill@gmail.com</t>
  </si>
  <si>
    <t>0779133434</t>
  </si>
  <si>
    <t>Andreea</t>
  </si>
  <si>
    <t>Ciuprina</t>
  </si>
  <si>
    <t>andreeac@student.ethz.ch</t>
  </si>
  <si>
    <t>Weiherweg 32</t>
  </si>
  <si>
    <t>0794473781</t>
  </si>
  <si>
    <t>Maite</t>
  </si>
  <si>
    <t>Lachner</t>
  </si>
  <si>
    <t>00491773996976</t>
  </si>
  <si>
    <t>Hien</t>
  </si>
  <si>
    <t>christian.hien76@gmail.com</t>
  </si>
  <si>
    <t>Gempenstrasse 54</t>
  </si>
  <si>
    <t>0793143956</t>
  </si>
  <si>
    <t>Audrey</t>
  </si>
  <si>
    <t>Bender</t>
  </si>
  <si>
    <t>audreyb29@gmail.com</t>
  </si>
  <si>
    <t>Gustav-Wenkstrasse 13</t>
  </si>
  <si>
    <t>0795982651</t>
  </si>
  <si>
    <t>Kurmann</t>
  </si>
  <si>
    <t>lea.kurmann@bluewin.ch</t>
  </si>
  <si>
    <t>Gempenstrasse 46</t>
  </si>
  <si>
    <t>0792023936</t>
  </si>
  <si>
    <t>Nerina</t>
  </si>
  <si>
    <t>Mechler</t>
  </si>
  <si>
    <t>nmarinelli@windowslive.com</t>
  </si>
  <si>
    <t>Waldshuterstrasse 13</t>
  </si>
  <si>
    <t>Rheinfelden</t>
  </si>
  <si>
    <t>0787345967</t>
  </si>
  <si>
    <t>Fusco</t>
  </si>
  <si>
    <t>filippo.fusco@hotmail.com</t>
  </si>
  <si>
    <t>Sempacherstrasse 32</t>
  </si>
  <si>
    <t>0799231596</t>
  </si>
  <si>
    <t>Pellitteri</t>
  </si>
  <si>
    <t>nadia.pellitteri@gmx.ch</t>
  </si>
  <si>
    <t>00491757702729</t>
  </si>
  <si>
    <t>Bernadette</t>
  </si>
  <si>
    <t>Grottke</t>
  </si>
  <si>
    <t>bernadettegrottke@gmail.com</t>
  </si>
  <si>
    <t>0796178652</t>
  </si>
  <si>
    <t>Kräuchi</t>
  </si>
  <si>
    <t>jasmin.kraeuchi@bluewin.ch</t>
  </si>
  <si>
    <t>0791523976</t>
  </si>
  <si>
    <t>Zsofia</t>
  </si>
  <si>
    <t>Csepregi</t>
  </si>
  <si>
    <t>zsofia.csepregi@stud.unibas.ch</t>
  </si>
  <si>
    <t>0791523976-1</t>
  </si>
  <si>
    <t xml:space="preserve">Robert </t>
  </si>
  <si>
    <t>Silva dos Santos</t>
  </si>
  <si>
    <t>00491629360719</t>
  </si>
  <si>
    <t>Paola</t>
  </si>
  <si>
    <t>Carmela</t>
  </si>
  <si>
    <t>0788255239</t>
  </si>
  <si>
    <t>Baumgartner</t>
  </si>
  <si>
    <t>juliabaumgartner@gmx.ch</t>
  </si>
  <si>
    <t>0791237582</t>
  </si>
  <si>
    <t>Antonette</t>
  </si>
  <si>
    <t xml:space="preserve">Endres </t>
  </si>
  <si>
    <t>antonette_endres@yahoo.com</t>
  </si>
  <si>
    <t>Zwinglistrasse 16</t>
  </si>
  <si>
    <t>4127 Birsfelden</t>
  </si>
  <si>
    <t>0798890012</t>
  </si>
  <si>
    <t>Gérôme</t>
  </si>
  <si>
    <t>Muller</t>
  </si>
  <si>
    <t>gerome.muller@stud.unibas.ch</t>
  </si>
  <si>
    <t>Trottenstrasse 23</t>
  </si>
  <si>
    <t>Frenkendorf</t>
  </si>
  <si>
    <t>0798538790</t>
  </si>
  <si>
    <t>Enea-Moana</t>
  </si>
  <si>
    <t>Muscio</t>
  </si>
  <si>
    <t>eneamoana@outlook.de</t>
  </si>
  <si>
    <t>St. Alban-Ring 282</t>
  </si>
  <si>
    <t>0764314053</t>
  </si>
  <si>
    <t>Piccolo</t>
  </si>
  <si>
    <t>piccolo.i@yahoo.com</t>
  </si>
  <si>
    <t>0786720487</t>
  </si>
  <si>
    <t xml:space="preserve">Laura </t>
  </si>
  <si>
    <t>Dorman</t>
  </si>
  <si>
    <t>laura.s.dorman@gmail.com</t>
  </si>
  <si>
    <t>0797267816</t>
  </si>
  <si>
    <t>Tschachtli</t>
  </si>
  <si>
    <t>f.tschachtli@gmx.net</t>
  </si>
  <si>
    <t>Am Stausse 3</t>
  </si>
  <si>
    <t>0775234249</t>
  </si>
  <si>
    <t>nadi.mueller@stud.unibas.ch</t>
  </si>
  <si>
    <t>0796838463</t>
  </si>
  <si>
    <t xml:space="preserve">Evelyn </t>
  </si>
  <si>
    <t>Lenzin</t>
  </si>
  <si>
    <t>evelynlenzin@gmail.com</t>
  </si>
  <si>
    <t>Mausackerweg 14</t>
  </si>
  <si>
    <t>0794328548</t>
  </si>
  <si>
    <t xml:space="preserve">Martin </t>
  </si>
  <si>
    <t>lenzin.martin@gmail.com</t>
  </si>
  <si>
    <t>0796288368</t>
  </si>
  <si>
    <t>Greub</t>
  </si>
  <si>
    <t>monika.greub@intergga.ch</t>
  </si>
  <si>
    <t>Thiersteinerstrasse 24/8</t>
  </si>
  <si>
    <t>0796288368-1</t>
  </si>
  <si>
    <t>Ullrich</t>
  </si>
  <si>
    <t>0765468870</t>
  </si>
  <si>
    <t>Quirino</t>
  </si>
  <si>
    <t>quirino_sonia@hotmail.com</t>
  </si>
  <si>
    <t>Baslerstrasse 277</t>
  </si>
  <si>
    <t>Allschwil</t>
  </si>
  <si>
    <t>0764120590</t>
  </si>
  <si>
    <t>Biczok</t>
  </si>
  <si>
    <t>rcbizcok@gmail.com</t>
  </si>
  <si>
    <t>0798592338</t>
  </si>
  <si>
    <t>Anida</t>
  </si>
  <si>
    <t>Kicin</t>
  </si>
  <si>
    <t>anida.kicin@gmail.com</t>
  </si>
  <si>
    <t>0763709014-1</t>
  </si>
  <si>
    <t>Alejandro</t>
  </si>
  <si>
    <t>0774311980</t>
  </si>
  <si>
    <t>Anouk</t>
  </si>
  <si>
    <t>Walther</t>
  </si>
  <si>
    <t>anouk.walther@gmail.com</t>
  </si>
  <si>
    <t>Dorfstrasse 50</t>
  </si>
  <si>
    <t>0798524460</t>
  </si>
  <si>
    <t>Celeste</t>
  </si>
  <si>
    <t>Ribeiro</t>
  </si>
  <si>
    <t>celesteribeiro@gmx.ch</t>
  </si>
  <si>
    <t>Kleinhuningeranlag</t>
  </si>
  <si>
    <t>0768166507</t>
  </si>
  <si>
    <t>Yan</t>
  </si>
  <si>
    <t>Bi</t>
  </si>
  <si>
    <t>07.06.1983biyan@gmail.com</t>
  </si>
  <si>
    <t>Klingentalstrasse 90</t>
  </si>
  <si>
    <t>0033688063900</t>
  </si>
  <si>
    <t>Jeanpierre</t>
  </si>
  <si>
    <t>delphine.jeanpierre@hotmail.com</t>
  </si>
  <si>
    <t>9A Rue de Landser</t>
  </si>
  <si>
    <t>68440 Habsheim</t>
  </si>
  <si>
    <t>0788236555</t>
  </si>
  <si>
    <t>Mary</t>
  </si>
  <si>
    <t>Ma</t>
  </si>
  <si>
    <t>majunxia2015@outlook.com</t>
  </si>
  <si>
    <t>Freie Strasse 88</t>
  </si>
  <si>
    <t>0795404172</t>
  </si>
  <si>
    <t>Aouadi</t>
  </si>
  <si>
    <t>aouadme@gmail.com</t>
  </si>
  <si>
    <t>Schäublinstrasse 62</t>
  </si>
  <si>
    <t>Binningen</t>
  </si>
  <si>
    <t>0617812178</t>
  </si>
  <si>
    <t xml:space="preserve">Regina </t>
  </si>
  <si>
    <t>henz@saner-holz.ch</t>
  </si>
  <si>
    <t>Passwangstrasse 20</t>
  </si>
  <si>
    <t>4227 Büsserach</t>
  </si>
  <si>
    <t>0793285810</t>
  </si>
  <si>
    <t>0799287628</t>
  </si>
  <si>
    <t>Srdanovic</t>
  </si>
  <si>
    <t>m.srdanovic90@gmail.com</t>
  </si>
  <si>
    <t>Am Stausee 23</t>
  </si>
  <si>
    <t>0792574292</t>
  </si>
  <si>
    <t>anja.pluess@hotmail.com</t>
  </si>
  <si>
    <t>Baslerstrasse 112</t>
  </si>
  <si>
    <t>0786437378</t>
  </si>
  <si>
    <t xml:space="preserve">Joel </t>
  </si>
  <si>
    <t>Schwendimann</t>
  </si>
  <si>
    <t>j.schwendi@gmail.com</t>
  </si>
  <si>
    <t>Bruderholzstrasse 24</t>
  </si>
  <si>
    <t>0795617921</t>
  </si>
  <si>
    <t xml:space="preserve">Yolandi </t>
  </si>
  <si>
    <t xml:space="preserve">Joubert </t>
  </si>
  <si>
    <t>yolandi.joubert@gmail.com</t>
  </si>
  <si>
    <t>Erlenmattstrasse 69</t>
  </si>
  <si>
    <t>0786749387</t>
  </si>
  <si>
    <t>aline@worldcom.ch</t>
  </si>
  <si>
    <t>Oberalpstrasse 113</t>
  </si>
  <si>
    <t>0791396263</t>
  </si>
  <si>
    <t>Schaffner</t>
  </si>
  <si>
    <t>schaffner.ana@gmx.ch</t>
  </si>
  <si>
    <t>0766042770</t>
  </si>
  <si>
    <t xml:space="preserve">Maria Belen </t>
  </si>
  <si>
    <t>Weise T.</t>
  </si>
  <si>
    <t>belen.weise@gmail.com</t>
  </si>
  <si>
    <t>Solothurnerstrasse 19</t>
  </si>
  <si>
    <t>0774873612</t>
  </si>
  <si>
    <t>mira2di@gmail.com</t>
  </si>
  <si>
    <t>Sempacherstrasse 61</t>
  </si>
  <si>
    <t>0789094058</t>
  </si>
  <si>
    <t>johanna-hoffmann@outlook.com</t>
  </si>
  <si>
    <t>Alemannengasse 95</t>
  </si>
  <si>
    <t>0794733735</t>
  </si>
  <si>
    <t>Andreas</t>
  </si>
  <si>
    <t>Krapp</t>
  </si>
  <si>
    <t>andreas.krapp@gmx.ch</t>
  </si>
  <si>
    <t>Stallenrain 28</t>
  </si>
  <si>
    <t>0798357943</t>
  </si>
  <si>
    <t xml:space="preserve">Djamel </t>
  </si>
  <si>
    <t>Boutaghane</t>
  </si>
  <si>
    <t>dj82@gmx.ch</t>
  </si>
  <si>
    <t>Oberwilerstrasse 21</t>
  </si>
  <si>
    <t>0798357943-1</t>
  </si>
  <si>
    <t>Michele</t>
  </si>
  <si>
    <t>Schmidli</t>
  </si>
  <si>
    <t>0798484825</t>
  </si>
  <si>
    <t>Crisante</t>
  </si>
  <si>
    <t>michel.crisante@hotmail.com</t>
  </si>
  <si>
    <t>Binningerstrasse 79</t>
  </si>
  <si>
    <t>0797954159</t>
  </si>
  <si>
    <t xml:space="preserve">Lucien </t>
  </si>
  <si>
    <t>Cron</t>
  </si>
  <si>
    <t>luciencron97@gmail.com</t>
  </si>
  <si>
    <t>Allschwilerweg 23</t>
  </si>
  <si>
    <t>0797168980</t>
  </si>
  <si>
    <t>Schreiber</t>
  </si>
  <si>
    <t>marco@m-schreiber.ch</t>
  </si>
  <si>
    <t>Gundeldingerstrasse 447</t>
  </si>
  <si>
    <t>0787385756</t>
  </si>
  <si>
    <t>Kozina</t>
  </si>
  <si>
    <t>kozina.julia@gmail.com</t>
  </si>
  <si>
    <t>Luzernerring 140</t>
  </si>
  <si>
    <t>0797867875</t>
  </si>
  <si>
    <t>Larissa</t>
  </si>
  <si>
    <t>Probst</t>
  </si>
  <si>
    <t>larissa.probst@outlook.com</t>
  </si>
  <si>
    <t>Henric Petri Strasse 26</t>
  </si>
  <si>
    <t>0765055780</t>
  </si>
  <si>
    <t>daniel.pascal.hoffmann@gmail.com</t>
  </si>
  <si>
    <t>Peter Merian-Strasse 2</t>
  </si>
  <si>
    <t>0767654491</t>
  </si>
  <si>
    <t>Jimenez</t>
  </si>
  <si>
    <t>sandralotano@hotmail.com</t>
  </si>
  <si>
    <t>Weidenweg</t>
  </si>
  <si>
    <t>0033749192108</t>
  </si>
  <si>
    <t>Frosali</t>
  </si>
  <si>
    <t>emanuele.frosali@gmail.com</t>
  </si>
  <si>
    <t>Av. de Bale 13</t>
  </si>
  <si>
    <t>68300 St. Louis</t>
  </si>
  <si>
    <t>0765160422</t>
  </si>
  <si>
    <t>xmarcotroll@gmail.com</t>
  </si>
  <si>
    <t>Salmenstrasse 18</t>
  </si>
  <si>
    <t>0786762765</t>
  </si>
  <si>
    <t>Alev</t>
  </si>
  <si>
    <t>Oezbey</t>
  </si>
  <si>
    <t>alev.oezbey@hotmail.com</t>
  </si>
  <si>
    <t>Eidgenossenweg 3</t>
  </si>
  <si>
    <t>0786434620</t>
  </si>
  <si>
    <t>Apiramy</t>
  </si>
  <si>
    <t xml:space="preserve">Indrajith </t>
  </si>
  <si>
    <t>apiramy1999@hotmail.com</t>
  </si>
  <si>
    <t>Krummeneichstrasse 68</t>
  </si>
  <si>
    <t>0794153123</t>
  </si>
  <si>
    <t>Beni</t>
  </si>
  <si>
    <t>0033771758387</t>
  </si>
  <si>
    <t>Noelles Dawn</t>
  </si>
  <si>
    <t>Angnged</t>
  </si>
  <si>
    <t>ndla14@yahoo.co.uk</t>
  </si>
  <si>
    <t>13 Rue du Willer</t>
  </si>
  <si>
    <t>0791087402</t>
  </si>
  <si>
    <t>Cvijetinovic</t>
  </si>
  <si>
    <t>sanja.cvijetinovic@gmx.ch</t>
  </si>
  <si>
    <t>Frenkendörferstrasse 2</t>
  </si>
  <si>
    <t>0763440091</t>
  </si>
  <si>
    <t>Miranda</t>
  </si>
  <si>
    <t>Hetemi</t>
  </si>
  <si>
    <t>mirandahetemi@outlook.com</t>
  </si>
  <si>
    <t>Tiefengrabenstrasse 43</t>
  </si>
  <si>
    <t>0765258516</t>
  </si>
  <si>
    <t>celine.widmer.1997@gmail.com</t>
  </si>
  <si>
    <t>Ahornweg 14</t>
  </si>
  <si>
    <t>4314 Zeiningen</t>
  </si>
  <si>
    <t>0763776764</t>
  </si>
  <si>
    <t>Roschi</t>
  </si>
  <si>
    <t>michael-roschi@hotmail.com</t>
  </si>
  <si>
    <t>Falkenstrasse 11</t>
  </si>
  <si>
    <t>004917623518479</t>
  </si>
  <si>
    <t>Röcker</t>
  </si>
  <si>
    <t>jessica.roecker@gmail.com</t>
  </si>
  <si>
    <t>Gotthelfstrasse 96</t>
  </si>
  <si>
    <t>0789098994</t>
  </si>
  <si>
    <t>Caroline</t>
  </si>
  <si>
    <t>Rüdisühli</t>
  </si>
  <si>
    <t>caroline.ruedisuehli@gmail.com</t>
  </si>
  <si>
    <t>Leonhardsstrasse 38</t>
  </si>
  <si>
    <t>0765612396</t>
  </si>
  <si>
    <t>Odin</t>
  </si>
  <si>
    <t>Sitton</t>
  </si>
  <si>
    <t>odin_1996@hotmail.com</t>
  </si>
  <si>
    <t xml:space="preserve">Oetlingerstrasse 84 </t>
  </si>
  <si>
    <t>0765051393</t>
  </si>
  <si>
    <t>Chantalle</t>
  </si>
  <si>
    <t>Pilscheur</t>
  </si>
  <si>
    <t>chantalle.pilscheur@gmail.com</t>
  </si>
  <si>
    <t>Grellingerstrasse 25</t>
  </si>
  <si>
    <t>004917686819128</t>
  </si>
  <si>
    <t>Sergio</t>
  </si>
  <si>
    <t>Ramirez</t>
  </si>
  <si>
    <t>sergio.i.rmz@gmail.com</t>
  </si>
  <si>
    <t xml:space="preserve">Weingartenstrasse 95 </t>
  </si>
  <si>
    <t>77654 Offenburg</t>
  </si>
  <si>
    <t>0793639406</t>
  </si>
  <si>
    <t>Häring</t>
  </si>
  <si>
    <t>zahnarzt.haering@gmail.com</t>
  </si>
  <si>
    <t>Belchenstrasse 2a</t>
  </si>
  <si>
    <t>0763488464</t>
  </si>
  <si>
    <t>jd27686@gmail.com</t>
  </si>
  <si>
    <t>Im Augarten 4</t>
  </si>
  <si>
    <t>0799552327</t>
  </si>
  <si>
    <t>Berfin</t>
  </si>
  <si>
    <t>Fistik</t>
  </si>
  <si>
    <t>ber-fin96@hotmail.com</t>
  </si>
  <si>
    <t>Am Kai 3</t>
  </si>
  <si>
    <t>4436 Oberdorf</t>
  </si>
  <si>
    <t>0764331684</t>
  </si>
  <si>
    <t>Sarina</t>
  </si>
  <si>
    <t>Walmer</t>
  </si>
  <si>
    <t>sarina.walmer@hotmail.com</t>
  </si>
  <si>
    <t>Im Fluhblick 7</t>
  </si>
  <si>
    <t>4441 Thürnen</t>
  </si>
  <si>
    <t>0765921276</t>
  </si>
  <si>
    <t>sfroeth@icloud.com</t>
  </si>
  <si>
    <t>Aeschenvorstadt 50</t>
  </si>
  <si>
    <t>0798764145</t>
  </si>
  <si>
    <t xml:space="preserve">James </t>
  </si>
  <si>
    <t>philippe.james@gmail.com</t>
  </si>
  <si>
    <t>Rue de Michelfelden 15</t>
  </si>
  <si>
    <t>0768140018</t>
  </si>
  <si>
    <t>Muntean</t>
  </si>
  <si>
    <t>martins.cristina89@yahoo.com</t>
  </si>
  <si>
    <t>Seehalde 3</t>
  </si>
  <si>
    <t>4456 Tenniken</t>
  </si>
  <si>
    <t>0799461589</t>
  </si>
  <si>
    <t>Jelena</t>
  </si>
  <si>
    <t>Steiger</t>
  </si>
  <si>
    <t>jelenasteiger@web.de</t>
  </si>
  <si>
    <t xml:space="preserve">Colmarerstrasse 7 </t>
  </si>
  <si>
    <t>0763230741</t>
  </si>
  <si>
    <t>Rickenbacher</t>
  </si>
  <si>
    <t>martin-rickenbacher@bluewin.ch</t>
  </si>
  <si>
    <t>0795836107</t>
  </si>
  <si>
    <t>Rudolf von Rohr</t>
  </si>
  <si>
    <t>regula.rvr@hotmail.com</t>
  </si>
  <si>
    <t>Maiengasse 9</t>
  </si>
  <si>
    <t>004520553955</t>
  </si>
  <si>
    <t>Ati</t>
  </si>
  <si>
    <t>Lafzi</t>
  </si>
  <si>
    <t>lafzi.a@gmail.com</t>
  </si>
  <si>
    <t>Peter Rot-Strasse 90</t>
  </si>
  <si>
    <t>0793790508</t>
  </si>
  <si>
    <t>sidney.harreh@hotmail.com</t>
  </si>
  <si>
    <t>0764483510</t>
  </si>
  <si>
    <t>Ramon</t>
  </si>
  <si>
    <t>ramon.eichenberger@outlook.com</t>
  </si>
  <si>
    <t>Lothringerstrasse 87</t>
  </si>
  <si>
    <t>0796408122</t>
  </si>
  <si>
    <t>Hirve</t>
  </si>
  <si>
    <t>sonja.nks19@gmail.com</t>
  </si>
  <si>
    <t>Ramsteinerstrasse 27</t>
  </si>
  <si>
    <t>0788243139</t>
  </si>
  <si>
    <t>Sascha</t>
  </si>
  <si>
    <t>König</t>
  </si>
  <si>
    <t>sascha.koenig@sunrise.ch</t>
  </si>
  <si>
    <t>Tramstrasse 85</t>
  </si>
  <si>
    <t>0765203238</t>
  </si>
  <si>
    <t>Hasler</t>
  </si>
  <si>
    <t>thurnherr_martina@hotmail.com</t>
  </si>
  <si>
    <t>Riehenring 3A</t>
  </si>
  <si>
    <t>0791014253</t>
  </si>
  <si>
    <t>Reichert</t>
  </si>
  <si>
    <t>th.he.reichert@gmail.com</t>
  </si>
  <si>
    <t>Güterstrasse 244</t>
  </si>
  <si>
    <t>0763476911</t>
  </si>
  <si>
    <t>Steffen</t>
  </si>
  <si>
    <t>Schramm</t>
  </si>
  <si>
    <t>steffenschramm@freenet.de</t>
  </si>
  <si>
    <t>Laufenstrasse 42</t>
  </si>
  <si>
    <t>0763476911-1</t>
  </si>
  <si>
    <t>Wullschleger</t>
  </si>
  <si>
    <t>0766125523</t>
  </si>
  <si>
    <t>Liene</t>
  </si>
  <si>
    <t>Friebe</t>
  </si>
  <si>
    <t>liene.friebe@gmail.com</t>
  </si>
  <si>
    <t>Bernoullistrasse 4</t>
  </si>
  <si>
    <t>0762141635</t>
  </si>
  <si>
    <t>0765681105</t>
  </si>
  <si>
    <t>fage@gmx.ch</t>
  </si>
  <si>
    <t>Supperstrasse 28</t>
  </si>
  <si>
    <t>0794719281</t>
  </si>
  <si>
    <t xml:space="preserve">Dora </t>
  </si>
  <si>
    <t>Horn</t>
  </si>
  <si>
    <t>ndora0728@gmail.com</t>
  </si>
  <si>
    <t>Liestalerstrasse 8</t>
  </si>
  <si>
    <t>0794719281-1</t>
  </si>
  <si>
    <t>0767472666</t>
  </si>
  <si>
    <t xml:space="preserve">Manuela </t>
  </si>
  <si>
    <t>Janik</t>
  </si>
  <si>
    <t>ela5787@hotmail.de</t>
  </si>
  <si>
    <t>Bernerring 43</t>
  </si>
  <si>
    <t>0796741295</t>
  </si>
  <si>
    <t>Fraga</t>
  </si>
  <si>
    <t>soniafragarodriguez@gmail.com</t>
  </si>
  <si>
    <t>Vorderbergweg 6c</t>
  </si>
  <si>
    <t>0783224322</t>
  </si>
  <si>
    <t>Jacot</t>
  </si>
  <si>
    <t>asc.claudino@gmail.com</t>
  </si>
  <si>
    <t>Untertalweg 16</t>
  </si>
  <si>
    <t>0783224322-1</t>
  </si>
  <si>
    <t>Boris</t>
  </si>
  <si>
    <t>004917679179442</t>
  </si>
  <si>
    <t xml:space="preserve">Mathias </t>
  </si>
  <si>
    <t>Kwapis</t>
  </si>
  <si>
    <t>mathias.kwapis@gmx.de</t>
  </si>
  <si>
    <t>Seidenwebergasse 4</t>
  </si>
  <si>
    <t>79576 Weil am Rhein</t>
  </si>
  <si>
    <t>004977615564488</t>
  </si>
  <si>
    <t>Haase</t>
  </si>
  <si>
    <t>haase.elisabeth@googlemail.com</t>
  </si>
  <si>
    <t>Hauensteinstrasse 68</t>
  </si>
  <si>
    <t>79713 Bad Säckingen</t>
  </si>
  <si>
    <t>0794609064</t>
  </si>
  <si>
    <t>Sturzenegger</t>
  </si>
  <si>
    <t>mpstur8@gmail.com</t>
  </si>
  <si>
    <t>Waldweg 9</t>
  </si>
  <si>
    <t>Magden</t>
  </si>
  <si>
    <t>0799041994</t>
  </si>
  <si>
    <t xml:space="preserve">Atika </t>
  </si>
  <si>
    <t>Laaroussi</t>
  </si>
  <si>
    <t>atikalaaroussi68@yahoo.com</t>
  </si>
  <si>
    <t>Mischelistrasse 23</t>
  </si>
  <si>
    <t>0799041994-1</t>
  </si>
  <si>
    <t>Matt</t>
  </si>
  <si>
    <t>Gilsenan</t>
  </si>
  <si>
    <t>0764723520</t>
  </si>
  <si>
    <t>Hochkeppel</t>
  </si>
  <si>
    <t>step.hoch@bluewin.ch</t>
  </si>
  <si>
    <t>Brunngasse 40</t>
  </si>
  <si>
    <t>0798337538</t>
  </si>
  <si>
    <t>Allison</t>
  </si>
  <si>
    <t>Lerma</t>
  </si>
  <si>
    <t>allielmu@hotmail.com</t>
  </si>
  <si>
    <t>Steinenvorstadt 51</t>
  </si>
  <si>
    <t>0798337538-1</t>
  </si>
  <si>
    <t>Harold</t>
  </si>
  <si>
    <t>Yin</t>
  </si>
  <si>
    <t>00491797628575</t>
  </si>
  <si>
    <t>Bettina</t>
  </si>
  <si>
    <t>Schröter</t>
  </si>
  <si>
    <t>bettina.schroeter@bluewin.ch</t>
  </si>
  <si>
    <t>Gehrenstrasse 24</t>
  </si>
  <si>
    <t>Eiken</t>
  </si>
  <si>
    <t>0792088211</t>
  </si>
  <si>
    <t>Breitenströter</t>
  </si>
  <si>
    <t>christoph_bre@hotmail.com</t>
  </si>
  <si>
    <t>Grenzacherstrasse 92</t>
  </si>
  <si>
    <t>004915773086323</t>
  </si>
  <si>
    <t>Stefanie</t>
  </si>
  <si>
    <t>0788515514</t>
  </si>
  <si>
    <t>sina.schenk@hotmail.com</t>
  </si>
  <si>
    <t>Casinostrasse 12</t>
  </si>
  <si>
    <t>0786288809</t>
  </si>
  <si>
    <t xml:space="preserve">Petronela </t>
  </si>
  <si>
    <t>Vasiu</t>
  </si>
  <si>
    <t>petronela.vasiu@yahoo.de</t>
  </si>
  <si>
    <t>Güterstrasse 219</t>
  </si>
  <si>
    <t>Sontiges</t>
  </si>
  <si>
    <t>0033753716007</t>
  </si>
  <si>
    <t>Hamza</t>
  </si>
  <si>
    <t>Chaguer</t>
  </si>
  <si>
    <t>hamza.chaguer@gmail.com</t>
  </si>
  <si>
    <t>004917626481990</t>
  </si>
  <si>
    <t xml:space="preserve">Katharina </t>
  </si>
  <si>
    <t>Thasis</t>
  </si>
  <si>
    <t>katharina.thasis@gmx.net</t>
  </si>
  <si>
    <t>0793054333</t>
  </si>
  <si>
    <t>Bojan</t>
  </si>
  <si>
    <t>Seiler</t>
  </si>
  <si>
    <t>bojan.seiler@gmail.com</t>
  </si>
  <si>
    <t>Riehenring 15</t>
  </si>
  <si>
    <t>0764306119</t>
  </si>
  <si>
    <t>alexandra.meier@unibas.ch</t>
  </si>
  <si>
    <t>0764721955</t>
  </si>
  <si>
    <t xml:space="preserve">Rocio </t>
  </si>
  <si>
    <t>00491749650920</t>
  </si>
  <si>
    <t>rcaceres969@gmail.com</t>
  </si>
  <si>
    <t>Krumme Länge 13</t>
  </si>
  <si>
    <t>79589 Binzen</t>
  </si>
  <si>
    <t>0793246464</t>
  </si>
  <si>
    <t>Peñarrieta</t>
  </si>
  <si>
    <t>tania.penarrieta@edubs.ch</t>
  </si>
  <si>
    <t>Talweg 69</t>
  </si>
  <si>
    <t>0796703281</t>
  </si>
  <si>
    <t>Marcel</t>
  </si>
  <si>
    <t>Kaltegrieder</t>
  </si>
  <si>
    <t>marcel.kaltegrieder@hotmail.com</t>
  </si>
  <si>
    <t>004915128945170</t>
  </si>
  <si>
    <t>Haak</t>
  </si>
  <si>
    <t>0774001589</t>
  </si>
  <si>
    <t>Nelson</t>
  </si>
  <si>
    <t>Torres</t>
  </si>
  <si>
    <t>nelsonfer18@hotmail.com</t>
  </si>
  <si>
    <t>0797129989</t>
  </si>
  <si>
    <t>Forter</t>
  </si>
  <si>
    <t>veronicaforter@gmx.ch</t>
  </si>
  <si>
    <t>Steinenvorstadt 33</t>
  </si>
  <si>
    <t>00491606132095</t>
  </si>
  <si>
    <t>Konstantin Wilhelm</t>
  </si>
  <si>
    <t>Haaga</t>
  </si>
  <si>
    <t>konstantin.w.haaga@t-online.de</t>
  </si>
  <si>
    <t>Wannengasse 2A</t>
  </si>
  <si>
    <t>0765865583</t>
  </si>
  <si>
    <t>Thesar</t>
  </si>
  <si>
    <t>Tahirsylaj</t>
  </si>
  <si>
    <t>thesar.tahirsylaj@stud.unibas.ch</t>
  </si>
  <si>
    <t>Langengasse 105</t>
  </si>
  <si>
    <t>0792695657</t>
  </si>
  <si>
    <t xml:space="preserve">Chiara </t>
  </si>
  <si>
    <t>Skirl</t>
  </si>
  <si>
    <t>chiara.skirl@highskirl.ch</t>
  </si>
  <si>
    <t>0765823060</t>
  </si>
  <si>
    <t>Wissel</t>
  </si>
  <si>
    <t>susannw@gmail.com</t>
  </si>
  <si>
    <t>Ringstrasse 57</t>
  </si>
  <si>
    <t>Therwil</t>
  </si>
  <si>
    <t>0794137933</t>
  </si>
  <si>
    <t xml:space="preserve">Brida </t>
  </si>
  <si>
    <t>bridli@hotmail.com</t>
  </si>
  <si>
    <t>Jacob Burckhardtstrasse 71</t>
  </si>
  <si>
    <t>0797969669</t>
  </si>
  <si>
    <t>Zanfrini</t>
  </si>
  <si>
    <t>Birsstrasse 200</t>
  </si>
  <si>
    <t>0797969669-1</t>
  </si>
  <si>
    <t>Zbinden</t>
  </si>
  <si>
    <t>fabii.zbinden@hotmail.com</t>
  </si>
  <si>
    <t>0791576843</t>
  </si>
  <si>
    <t>Margarete</t>
  </si>
  <si>
    <t>Roszczyniala</t>
  </si>
  <si>
    <t>roszczyniala@bluewin.ch</t>
  </si>
  <si>
    <t>Byfangweg 1A</t>
  </si>
  <si>
    <t>0786755262</t>
  </si>
  <si>
    <t>Stettler</t>
  </si>
  <si>
    <t>roland.st@hotmail.com</t>
  </si>
  <si>
    <t>Verena Conzettstrasse 4</t>
  </si>
  <si>
    <t>8004 Zürich</t>
  </si>
  <si>
    <t>0791029603</t>
  </si>
  <si>
    <t>97aaron@gmail.com</t>
  </si>
  <si>
    <t>Laufenstrasse 41</t>
  </si>
  <si>
    <t>0798539373</t>
  </si>
  <si>
    <t>Durrer</t>
  </si>
  <si>
    <t>0796890890</t>
  </si>
  <si>
    <t>Mullis</t>
  </si>
  <si>
    <t>natascha.mullis@bluewin.ch</t>
  </si>
  <si>
    <t>Clarastrasse 32</t>
  </si>
  <si>
    <t>0796890890-1</t>
  </si>
  <si>
    <t>Frederic</t>
  </si>
  <si>
    <t>Watare</t>
  </si>
  <si>
    <t>0797757176</t>
  </si>
  <si>
    <t>Peleg</t>
  </si>
  <si>
    <t>Chevion</t>
  </si>
  <si>
    <t>peleg@chevion.com</t>
  </si>
  <si>
    <t>Hubackerweg 18</t>
  </si>
  <si>
    <t>0792226336</t>
  </si>
  <si>
    <t>Mickey</t>
  </si>
  <si>
    <t>mickey@chevion.com</t>
  </si>
  <si>
    <t>004915222888658</t>
  </si>
  <si>
    <t>0786562550</t>
  </si>
  <si>
    <t>0789061917</t>
  </si>
  <si>
    <t>Bähler</t>
  </si>
  <si>
    <t>jenny.baehler@hotmail.com</t>
  </si>
  <si>
    <t>Frobenstrasse 64</t>
  </si>
  <si>
    <t>0763264331</t>
  </si>
  <si>
    <t>Sheyla</t>
  </si>
  <si>
    <t>Aeschlimann</t>
  </si>
  <si>
    <t>sheylamariana@gmail.com</t>
  </si>
  <si>
    <t>Heidenlochstrasse 90</t>
  </si>
  <si>
    <t>0792457194</t>
  </si>
  <si>
    <t>Valeria</t>
  </si>
  <si>
    <t>Ravida</t>
  </si>
  <si>
    <t>valeria.ravida@bluewin.ch</t>
  </si>
  <si>
    <t>0049160915118237</t>
  </si>
  <si>
    <t>Voigt</t>
  </si>
  <si>
    <t>laravoigt@gmx.de</t>
  </si>
  <si>
    <t>Wasgenring 175</t>
  </si>
  <si>
    <t>0033633660519</t>
  </si>
  <si>
    <t>Shuyao</t>
  </si>
  <si>
    <t>Li</t>
  </si>
  <si>
    <t>shuyaoli@outlook.com</t>
  </si>
  <si>
    <t>Steinentorstrasse 8</t>
  </si>
  <si>
    <t>0774259691</t>
  </si>
  <si>
    <t>Camino</t>
  </si>
  <si>
    <t>cam.kev@pm.me</t>
  </si>
  <si>
    <t>Kleinfeldweg 25A</t>
  </si>
  <si>
    <t>4109 Therwil</t>
  </si>
  <si>
    <t>0795067176</t>
  </si>
  <si>
    <t>Biljana</t>
  </si>
  <si>
    <t>0788180660</t>
  </si>
  <si>
    <t>Adela</t>
  </si>
  <si>
    <t>Ruiz</t>
  </si>
  <si>
    <t>0033788120483</t>
  </si>
  <si>
    <t>Mihani</t>
  </si>
  <si>
    <t>Tosun</t>
  </si>
  <si>
    <t>mihani.tosun5@hotmail.com</t>
  </si>
  <si>
    <t>8, rue de Michelfelden</t>
  </si>
  <si>
    <t>68300 Saint Louis</t>
  </si>
  <si>
    <t>0789076667</t>
  </si>
  <si>
    <t>Giroto</t>
  </si>
  <si>
    <t>marciafgiroto@hotmail.com</t>
  </si>
  <si>
    <t>Mattweg 71</t>
  </si>
  <si>
    <t xml:space="preserve">4144 Arlesheim </t>
  </si>
  <si>
    <t>0786521614</t>
  </si>
  <si>
    <t>François</t>
  </si>
  <si>
    <t>Galvão</t>
  </si>
  <si>
    <t>francois.galvao@hotmail.com</t>
  </si>
  <si>
    <t>Thiersteinerallee 75</t>
  </si>
  <si>
    <t>0782682686</t>
  </si>
  <si>
    <t>Schott</t>
  </si>
  <si>
    <t>vanessa.schott@gmx.net</t>
  </si>
  <si>
    <t>Bärenfelserstrasse</t>
  </si>
  <si>
    <t>0794569129</t>
  </si>
  <si>
    <t>Daisy</t>
  </si>
  <si>
    <t>Schaffenberger</t>
  </si>
  <si>
    <t>daisy.schaffenberger@gmail.com</t>
  </si>
  <si>
    <t>Oetlingerstrasse 79</t>
  </si>
  <si>
    <t>0754006432</t>
  </si>
  <si>
    <t>Kljucevic</t>
  </si>
  <si>
    <t>sara.kljucevic@gmail.com</t>
  </si>
  <si>
    <t>Salinenstrasse 34a</t>
  </si>
  <si>
    <t>4310 Rheinfelden</t>
  </si>
  <si>
    <t>0762822496</t>
  </si>
  <si>
    <t>Durad</t>
  </si>
  <si>
    <t>Cvijetic</t>
  </si>
  <si>
    <t>durad.cvijetic@gmail.com</t>
  </si>
  <si>
    <t>Oberwilerstrasse 24</t>
  </si>
  <si>
    <t>0795234554</t>
  </si>
  <si>
    <t>Vuilleumier</t>
  </si>
  <si>
    <t>celinevuilleumier8@gmail.com</t>
  </si>
  <si>
    <t>Gundeldingerstrasse 125</t>
  </si>
  <si>
    <t>0795279590</t>
  </si>
  <si>
    <t>Lorena</t>
  </si>
  <si>
    <t>Mangold</t>
  </si>
  <si>
    <t>lmangold@breitband.ch</t>
  </si>
  <si>
    <t>Erlachweg 5</t>
  </si>
  <si>
    <t>4143 Dornach</t>
  </si>
  <si>
    <t>0786308998</t>
  </si>
  <si>
    <t>Zwicky</t>
  </si>
  <si>
    <t>j@eblcom.ch</t>
  </si>
  <si>
    <t>Munzachstrasse 26</t>
  </si>
  <si>
    <t>0797408193</t>
  </si>
  <si>
    <t>Jasmine</t>
  </si>
  <si>
    <t>Andenmatten</t>
  </si>
  <si>
    <t>jasmine.andenmatten@gmail.com</t>
  </si>
  <si>
    <t>Zürichstrasse 85</t>
  </si>
  <si>
    <t>6004 Luzern</t>
  </si>
  <si>
    <t>0797422137</t>
  </si>
  <si>
    <t>Luder</t>
  </si>
  <si>
    <t>barbara.luder@gmx.net</t>
  </si>
  <si>
    <t>Hebelstrasse 98</t>
  </si>
  <si>
    <t>0789503449</t>
  </si>
  <si>
    <t>Flurina</t>
  </si>
  <si>
    <t>flurinahuegin@gmail.com</t>
  </si>
  <si>
    <t>Gartenweg 14</t>
  </si>
  <si>
    <t>4118 Rodersdorf</t>
  </si>
  <si>
    <t>0795597592</t>
  </si>
  <si>
    <t>Victoriano</t>
  </si>
  <si>
    <t>Nebrera</t>
  </si>
  <si>
    <t>Gehrenacherstrasse 15</t>
  </si>
  <si>
    <t>0796802585</t>
  </si>
  <si>
    <t>andreas.raffael.mueller@gmail.com</t>
  </si>
  <si>
    <t>Genossenschaftsstrasse 9</t>
  </si>
  <si>
    <t>0762423700</t>
  </si>
  <si>
    <t>Kuntz</t>
  </si>
  <si>
    <t>ck15@gmx.ch</t>
  </si>
  <si>
    <t>Murbacherstrasse 18</t>
  </si>
  <si>
    <t>0766507206</t>
  </si>
  <si>
    <t xml:space="preserve">Fàtima </t>
  </si>
  <si>
    <t>Vazquez</t>
  </si>
  <si>
    <t>fati.vazquez24@hotmail.com</t>
  </si>
  <si>
    <t>Gustav-Wenkstrasse 21</t>
  </si>
  <si>
    <t>0766731914</t>
  </si>
  <si>
    <t>gomezmiriam619@gmail.com</t>
  </si>
  <si>
    <t>Allschwilerstrasse 71</t>
  </si>
  <si>
    <t>0794531696</t>
  </si>
  <si>
    <t>Pia Maria</t>
  </si>
  <si>
    <t>Köppen</t>
  </si>
  <si>
    <t>pia_maria.k@hotmail.com</t>
  </si>
  <si>
    <t>Baselstrasse 136</t>
  </si>
  <si>
    <t>0762420264</t>
  </si>
  <si>
    <t>Evdoxia</t>
  </si>
  <si>
    <t>Karagkiozi</t>
  </si>
  <si>
    <t>evkarag9@gmail.com</t>
  </si>
  <si>
    <t>Davidsbodenstrasse</t>
  </si>
  <si>
    <t>0764115295</t>
  </si>
  <si>
    <t>Kerstin</t>
  </si>
  <si>
    <t>0764286106</t>
  </si>
  <si>
    <t>Sieber</t>
  </si>
  <si>
    <t>kathrin.esieber@gmail.com</t>
  </si>
  <si>
    <t>0762202618</t>
  </si>
  <si>
    <t xml:space="preserve">Theodoros </t>
  </si>
  <si>
    <t>Marioglou</t>
  </si>
  <si>
    <t>teo96mario@gmail.com</t>
  </si>
  <si>
    <t>Leimenstrasse 30</t>
  </si>
  <si>
    <t>0779490387</t>
  </si>
  <si>
    <t>Marcelina</t>
  </si>
  <si>
    <t>Karpowicz</t>
  </si>
  <si>
    <t>kindermelodie@gmail.com</t>
  </si>
  <si>
    <t>Sevogelstrasse 109</t>
  </si>
  <si>
    <t>0763093720</t>
  </si>
  <si>
    <t>Wick</t>
  </si>
  <si>
    <t>melanie.wick@bluewin.ch</t>
  </si>
  <si>
    <t>0796712846</t>
  </si>
  <si>
    <t>christoph.jud@unibas.ch</t>
  </si>
  <si>
    <t>0033643174080</t>
  </si>
  <si>
    <t>Ralfe</t>
  </si>
  <si>
    <t>Poisson</t>
  </si>
  <si>
    <t>ralfepoisson@gmail.com</t>
  </si>
  <si>
    <t>Rue Albert Schweitzer 83</t>
  </si>
  <si>
    <t>68170 Habsheim</t>
  </si>
  <si>
    <t>0795306290</t>
  </si>
  <si>
    <t>Harprit</t>
  </si>
  <si>
    <t>Singh</t>
  </si>
  <si>
    <t>harprit@bluewin.ch</t>
  </si>
  <si>
    <t>Holbeinstrasse 77a</t>
  </si>
  <si>
    <t>Sonsi</t>
  </si>
  <si>
    <t>0796237214</t>
  </si>
  <si>
    <t>Györffy</t>
  </si>
  <si>
    <t>susi.gyoerffy@hispeed.ch</t>
  </si>
  <si>
    <t>Reusstrasse 97</t>
  </si>
  <si>
    <t>0762821705</t>
  </si>
  <si>
    <t xml:space="preserve">Ivana </t>
  </si>
  <si>
    <t>Kolar</t>
  </si>
  <si>
    <t>ivana-kollar@hotmail.com</t>
  </si>
  <si>
    <t>Riburgerstrasse 40</t>
  </si>
  <si>
    <t>4313 Möhlin</t>
  </si>
  <si>
    <t>0763204048</t>
  </si>
  <si>
    <t>Lidia</t>
  </si>
  <si>
    <t>Borkovic</t>
  </si>
  <si>
    <t>lidia.borkovic@hotmail.com</t>
  </si>
  <si>
    <t>0795465768</t>
  </si>
  <si>
    <t>marc_plattner@bluewin.ch</t>
  </si>
  <si>
    <t>Feldstrasse 65</t>
  </si>
  <si>
    <t>0793286742</t>
  </si>
  <si>
    <t xml:space="preserve">Nina </t>
  </si>
  <si>
    <t>Jung</t>
  </si>
  <si>
    <t>nina_jung@bluewin.ch</t>
  </si>
  <si>
    <t>0774004341</t>
  </si>
  <si>
    <t>Fiechter</t>
  </si>
  <si>
    <t>0797243191</t>
  </si>
  <si>
    <t>Blattner</t>
  </si>
  <si>
    <t>0796786751</t>
  </si>
  <si>
    <t>Frieldi</t>
  </si>
  <si>
    <t>0793873557</t>
  </si>
  <si>
    <t>Nyffenegger</t>
  </si>
  <si>
    <t>nici333@hotmail.com</t>
  </si>
  <si>
    <t>Kaspar Pfeiffer-Strasse 5</t>
  </si>
  <si>
    <t>4142 Münchenstein</t>
  </si>
  <si>
    <t>00491629027862</t>
  </si>
  <si>
    <t>Jessi</t>
  </si>
  <si>
    <t>Luckas</t>
  </si>
  <si>
    <t>jez-zi@hotmail.de</t>
  </si>
  <si>
    <t>Domhofstrasse 16</t>
  </si>
  <si>
    <t>0791769087</t>
  </si>
  <si>
    <t>Saira</t>
  </si>
  <si>
    <t>saira.berger@gmx.ch</t>
  </si>
  <si>
    <t>Brünnenstrasse 62</t>
  </si>
  <si>
    <t>3018 Bern</t>
  </si>
  <si>
    <t>0787921178</t>
  </si>
  <si>
    <t>Westerhuis</t>
  </si>
  <si>
    <t>ewesterhuis@gawnet.ch</t>
  </si>
  <si>
    <t>St. Johanns-Vorstadt 49</t>
  </si>
  <si>
    <t>0786708124</t>
  </si>
  <si>
    <t>Kornelia</t>
  </si>
  <si>
    <t>Kökeny</t>
  </si>
  <si>
    <t>kornelia.kokeny03@gmail.com</t>
  </si>
  <si>
    <t>Spalenring 59</t>
  </si>
  <si>
    <t>0789671803</t>
  </si>
  <si>
    <t xml:space="preserve">Leonie </t>
  </si>
  <si>
    <t>leonieschaub@gmail.com</t>
  </si>
  <si>
    <t>Thannerstrasse 51</t>
  </si>
  <si>
    <t>0763026064</t>
  </si>
  <si>
    <t>Dennis</t>
  </si>
  <si>
    <t xml:space="preserve">Sommerhalder </t>
  </si>
  <si>
    <t>dennis@sommerhalder.com</t>
  </si>
  <si>
    <t>Südquaistrasse 2</t>
  </si>
  <si>
    <t>0765870314</t>
  </si>
  <si>
    <t>yolanda.ferreira@hotmail.ch</t>
  </si>
  <si>
    <t>Chrischonastrasse 33</t>
  </si>
  <si>
    <t>0762330508</t>
  </si>
  <si>
    <t>Aurel</t>
  </si>
  <si>
    <t>Iosif</t>
  </si>
  <si>
    <t>iosifaure@yahoo.com</t>
  </si>
  <si>
    <t>Untertalweg 18</t>
  </si>
  <si>
    <t>0793696982</t>
  </si>
  <si>
    <t xml:space="preserve">Anja </t>
  </si>
  <si>
    <t>Jägger</t>
  </si>
  <si>
    <t>jaegeranja92@gmail.com</t>
  </si>
  <si>
    <t>0774371458</t>
  </si>
  <si>
    <t>Escudero Perez</t>
  </si>
  <si>
    <t>0775319023</t>
  </si>
  <si>
    <t>Pia</t>
  </si>
  <si>
    <t>Mach</t>
  </si>
  <si>
    <t>pia.mach@web.de</t>
  </si>
  <si>
    <t>0768174330</t>
  </si>
  <si>
    <t>Maxim</t>
  </si>
  <si>
    <t>Kolesnikov</t>
  </si>
  <si>
    <t>maxim.kolesnikov@gmail.com</t>
  </si>
  <si>
    <t>0763957871</t>
  </si>
  <si>
    <t>vanessa.o.86@hotmail.com</t>
  </si>
  <si>
    <t>Schafmattweg 80</t>
  </si>
  <si>
    <t>0763326328</t>
  </si>
  <si>
    <t>Händel</t>
  </si>
  <si>
    <t>linda.haendel@icloud.com</t>
  </si>
  <si>
    <t>Hauptstrasse 6</t>
  </si>
  <si>
    <t>0797314499</t>
  </si>
  <si>
    <t>Vinoth</t>
  </si>
  <si>
    <t>Tissa</t>
  </si>
  <si>
    <t>v.tissa2@yahoo.com</t>
  </si>
  <si>
    <t>Im Reinacherhof 317</t>
  </si>
  <si>
    <t>0782250209</t>
  </si>
  <si>
    <t>Paula Andrea</t>
  </si>
  <si>
    <t>Guerrero Muñoz</t>
  </si>
  <si>
    <t>pa.guerrero10@uniandes.edu.co</t>
  </si>
  <si>
    <t>Luftmattstrasse 33</t>
  </si>
  <si>
    <t>0766757701</t>
  </si>
  <si>
    <t>Vehpi</t>
  </si>
  <si>
    <t>Mutlu</t>
  </si>
  <si>
    <t>vehpi@gmx.de</t>
  </si>
  <si>
    <t>Wiggerweg 18</t>
  </si>
  <si>
    <t>4802 Strengelbach</t>
  </si>
  <si>
    <t>00491744424320</t>
  </si>
  <si>
    <t>Hägele</t>
  </si>
  <si>
    <t>jasmin-haegele@gmx.de</t>
  </si>
  <si>
    <t>Burgfelderstrasse 35</t>
  </si>
  <si>
    <t>0793135427</t>
  </si>
  <si>
    <t>mathias.gysin@live.de</t>
  </si>
  <si>
    <t>Gemsberg 11</t>
  </si>
  <si>
    <t>004917660987061</t>
  </si>
  <si>
    <t>Lejla</t>
  </si>
  <si>
    <t>Zametica</t>
  </si>
  <si>
    <t>lejlazametica@weg.de</t>
  </si>
  <si>
    <t>Schusterstrasse 40</t>
  </si>
  <si>
    <t>79098 Freiburg</t>
  </si>
  <si>
    <t>004915759080006</t>
  </si>
  <si>
    <t>Visar</t>
  </si>
  <si>
    <t>Asllani</t>
  </si>
  <si>
    <t>asllani.visar@gmail.com</t>
  </si>
  <si>
    <t>0763662642</t>
  </si>
  <si>
    <t>Haimo</t>
  </si>
  <si>
    <t>Jöhri</t>
  </si>
  <si>
    <t>paps1408@gmail.com</t>
  </si>
  <si>
    <t>Riedmattstrasse 11</t>
  </si>
  <si>
    <t>0797460709</t>
  </si>
  <si>
    <t>schmid.kri@gmail.com</t>
  </si>
  <si>
    <t>Lärchenstrasse 20</t>
  </si>
  <si>
    <t>0788862868</t>
  </si>
  <si>
    <t>Hinsberger</t>
  </si>
  <si>
    <t>dieter.hi@bluewin.ch</t>
  </si>
  <si>
    <t>Wiesenstrasse 15</t>
  </si>
  <si>
    <t>5605 Dottikon</t>
  </si>
  <si>
    <t>0764490698</t>
  </si>
  <si>
    <t>Clara</t>
  </si>
  <si>
    <t>Hernandez Vicedo</t>
  </si>
  <si>
    <t>clara_2098@hotmail.com</t>
  </si>
  <si>
    <t>Passwangstrasse 18</t>
  </si>
  <si>
    <t>00491632575912</t>
  </si>
  <si>
    <t>Harriet</t>
  </si>
  <si>
    <t>Horky</t>
  </si>
  <si>
    <t>harriet@horky.de</t>
  </si>
  <si>
    <t>Solothurnerstrasse 61</t>
  </si>
  <si>
    <t>00491632575912-1</t>
  </si>
  <si>
    <t>Dean</t>
  </si>
  <si>
    <t>Lorenz</t>
  </si>
  <si>
    <t>0786777874</t>
  </si>
  <si>
    <t>Reyan</t>
  </si>
  <si>
    <t>Chaaban</t>
  </si>
  <si>
    <t>nerey28@gmail.com</t>
  </si>
  <si>
    <t>Bungestrasse 28</t>
  </si>
  <si>
    <t xml:space="preserve">4055 Basel </t>
  </si>
  <si>
    <t>0786777874-1</t>
  </si>
  <si>
    <t>Pauline</t>
  </si>
  <si>
    <t>Sandtner</t>
  </si>
  <si>
    <t>0799237129</t>
  </si>
  <si>
    <t>Vincent</t>
  </si>
  <si>
    <t>mauritiusvi@gmail.com</t>
  </si>
  <si>
    <t>Birkenstrasse 27</t>
  </si>
  <si>
    <t>0791007473</t>
  </si>
  <si>
    <t>Ryshkov</t>
  </si>
  <si>
    <t>barbara.ryshkov@gmail.com</t>
  </si>
  <si>
    <t>Bruderholzstrasse 18</t>
  </si>
  <si>
    <t>004915751796409</t>
  </si>
  <si>
    <t xml:space="preserve">Maximilian </t>
  </si>
  <si>
    <t>Mertzlufft</t>
  </si>
  <si>
    <t>m.mertzlufft@web.de</t>
  </si>
  <si>
    <t>0764540487</t>
  </si>
  <si>
    <t>von Büren</t>
  </si>
  <si>
    <t>anja.v.bueren@gmail.com</t>
  </si>
  <si>
    <t>Winzerweg 11</t>
  </si>
  <si>
    <t>0766826360</t>
  </si>
  <si>
    <t>Camila</t>
  </si>
  <si>
    <t>Pulido</t>
  </si>
  <si>
    <t>cpulidob@gmail.com</t>
  </si>
  <si>
    <t>Türkheimerstrasse 5</t>
  </si>
  <si>
    <t>0763344102</t>
  </si>
  <si>
    <t>Chavarro</t>
  </si>
  <si>
    <t>gaby.chavarro@hotmail.com</t>
  </si>
  <si>
    <t>Hirtenbündtenweg 18</t>
  </si>
  <si>
    <t>0795710739</t>
  </si>
  <si>
    <t>Burkhard</t>
  </si>
  <si>
    <t>Golf</t>
  </si>
  <si>
    <t>burkhard.golf@roche.com</t>
  </si>
  <si>
    <t>Stellimattweg 44</t>
  </si>
  <si>
    <t>0795710739-1</t>
  </si>
  <si>
    <t>Uli</t>
  </si>
  <si>
    <t>Ludwig</t>
  </si>
  <si>
    <t>0791260489</t>
  </si>
  <si>
    <t>Lothar</t>
  </si>
  <si>
    <t>Chrubasik</t>
  </si>
  <si>
    <t>lothar.chrubasik@gmail.com</t>
  </si>
  <si>
    <t>Birsstrasse 118</t>
  </si>
  <si>
    <t>0768195162</t>
  </si>
  <si>
    <t>Tanya</t>
  </si>
  <si>
    <t>Vögeli</t>
  </si>
  <si>
    <t>tanya.voegeli@breitband.ch</t>
  </si>
  <si>
    <t>Langrüttiweg 6</t>
  </si>
  <si>
    <t>0799556875</t>
  </si>
  <si>
    <t>Manser</t>
  </si>
  <si>
    <t>peter.manser7@gmail.com</t>
  </si>
  <si>
    <t>Mittlere Strasse 12</t>
  </si>
  <si>
    <t>0763358497</t>
  </si>
  <si>
    <t>Hubler</t>
  </si>
  <si>
    <t>raphaelhubler@gmail.com</t>
  </si>
  <si>
    <t>Bläsiring 42</t>
  </si>
  <si>
    <t>0764223882</t>
  </si>
  <si>
    <t>Marissa</t>
  </si>
  <si>
    <t>Lienert</t>
  </si>
  <si>
    <t>marissalienert@hotmail.com</t>
  </si>
  <si>
    <t>Parkweg</t>
  </si>
  <si>
    <t>Sissach</t>
  </si>
  <si>
    <t>0765833494</t>
  </si>
  <si>
    <t>Sebastien</t>
  </si>
  <si>
    <t>Delhasse</t>
  </si>
  <si>
    <t>sebastien.delhasse@hotmail.com</t>
  </si>
  <si>
    <t>Lukas Legrand Strasse 4</t>
  </si>
  <si>
    <t>0798834542</t>
  </si>
  <si>
    <t>Amrein</t>
  </si>
  <si>
    <t>manu_amrein@hotmail.com</t>
  </si>
  <si>
    <t>Pfeffingerstrasse 35</t>
  </si>
  <si>
    <t>0762170391</t>
  </si>
  <si>
    <t>Ozga</t>
  </si>
  <si>
    <t>olaozga@gmail.com</t>
  </si>
  <si>
    <t>Lärchenstrasse 22</t>
  </si>
  <si>
    <t>8903 Birmensdorf</t>
  </si>
  <si>
    <t>0792259238</t>
  </si>
  <si>
    <t>Mundschin</t>
  </si>
  <si>
    <t>gmundschin@bluewin.ch</t>
  </si>
  <si>
    <t>Winkelweg 14</t>
  </si>
  <si>
    <t>Niederdorf</t>
  </si>
  <si>
    <t>0792304129</t>
  </si>
  <si>
    <t>Josh</t>
  </si>
  <si>
    <t>Linetsky</t>
  </si>
  <si>
    <t>josh.linetsky@gmail.com</t>
  </si>
  <si>
    <t>Meret Oppenheim Strasse 6</t>
  </si>
  <si>
    <t>0793660326</t>
  </si>
  <si>
    <t>Catorce</t>
  </si>
  <si>
    <t>manuel.catorce@gmx.net</t>
  </si>
  <si>
    <t>Lörracherstrasse 146</t>
  </si>
  <si>
    <t>0763951659</t>
  </si>
  <si>
    <t>Salvatore</t>
  </si>
  <si>
    <t>Malomo</t>
  </si>
  <si>
    <t>0033611904775</t>
  </si>
  <si>
    <t>Courcoutis</t>
  </si>
  <si>
    <t>daniel.courcoutis@gmail.com</t>
  </si>
  <si>
    <t>Rue du Marechal Mac-Mahon 1</t>
  </si>
  <si>
    <t>0767792170</t>
  </si>
  <si>
    <t>Allgäuer</t>
  </si>
  <si>
    <t>0768058734</t>
  </si>
  <si>
    <t>Mona</t>
  </si>
  <si>
    <t>Gigliotti</t>
  </si>
  <si>
    <t>monaw@gmx.ch</t>
  </si>
  <si>
    <t xml:space="preserve">Lehrerweg 4 </t>
  </si>
  <si>
    <t>Bottmingen</t>
  </si>
  <si>
    <t>0775228235</t>
  </si>
  <si>
    <t>Dubravka</t>
  </si>
  <si>
    <t>Vrdoljak</t>
  </si>
  <si>
    <t>dubravka_vrdoljak@yahoo.de</t>
  </si>
  <si>
    <t>Erlenstrasse 39</t>
  </si>
  <si>
    <t>0033650061365</t>
  </si>
  <si>
    <t>oliv.herrmann@outlook.com</t>
  </si>
  <si>
    <t>Rue des Ecoles 8</t>
  </si>
  <si>
    <t>Kembs</t>
  </si>
  <si>
    <t>0799046045</t>
  </si>
  <si>
    <t>samuel.stettler@bluewin.ch</t>
  </si>
  <si>
    <t>0764351600</t>
  </si>
  <si>
    <t>Beljean</t>
  </si>
  <si>
    <t>melanie.beljean@bluewin.ch</t>
  </si>
  <si>
    <t>Ebnetstrasse 10</t>
  </si>
  <si>
    <t>4107 Therwill</t>
  </si>
  <si>
    <t>0788380442</t>
  </si>
  <si>
    <t>Hecht</t>
  </si>
  <si>
    <t>an.hecht@gmx.net</t>
  </si>
  <si>
    <t>Binzmatt</t>
  </si>
  <si>
    <t>Uitikon Waldegg</t>
  </si>
  <si>
    <t>0763254822</t>
  </si>
  <si>
    <t>Märki</t>
  </si>
  <si>
    <t>florencemaerki@hotmail.com</t>
  </si>
  <si>
    <t>Fatiostrasse 16</t>
  </si>
  <si>
    <t>0033675236435</t>
  </si>
  <si>
    <t>Mylene</t>
  </si>
  <si>
    <t>Eby</t>
  </si>
  <si>
    <t>mylene.eby@hotmail.fr</t>
  </si>
  <si>
    <t>Rue du Docteur Schweitzer 9</t>
  </si>
  <si>
    <t>68330 Huningue</t>
  </si>
  <si>
    <t>0033625701970</t>
  </si>
  <si>
    <t>Eberhardt</t>
  </si>
  <si>
    <t>julia.eberhardt@laposte.net</t>
  </si>
  <si>
    <t>0775331146</t>
  </si>
  <si>
    <t>Ronja</t>
  </si>
  <si>
    <t>Wieboldt</t>
  </si>
  <si>
    <t>ronjawieboldt@gmail.com</t>
  </si>
  <si>
    <t>Schlettstadterstrasse 23</t>
  </si>
  <si>
    <t>0765776097</t>
  </si>
  <si>
    <t>Mattia</t>
  </si>
  <si>
    <t>Raemy</t>
  </si>
  <si>
    <t>0788170106</t>
  </si>
  <si>
    <t>Ruberti</t>
  </si>
  <si>
    <t>valeria.ruberti@bluewin.ch</t>
  </si>
  <si>
    <t>Türkheimerstrasse 75</t>
  </si>
  <si>
    <t>00491621076131</t>
  </si>
  <si>
    <t>Kaiser</t>
  </si>
  <si>
    <t>leoniemmkaiser@aol.com</t>
  </si>
  <si>
    <t>Efringerstrasse 10</t>
  </si>
  <si>
    <t>0797127581</t>
  </si>
  <si>
    <t xml:space="preserve">Rabea </t>
  </si>
  <si>
    <t>widmerrabea@gmail.com</t>
  </si>
  <si>
    <t>Gilgenbergstrasse 25</t>
  </si>
  <si>
    <t>0786604066</t>
  </si>
  <si>
    <t>Reyes</t>
  </si>
  <si>
    <t>kevote@zoho.com</t>
  </si>
  <si>
    <t>0767867044</t>
  </si>
  <si>
    <t>Kejia</t>
  </si>
  <si>
    <t>Liu</t>
  </si>
  <si>
    <t>kejialiu0131@outlook.com</t>
  </si>
  <si>
    <t>Schlüsselgasse 4</t>
  </si>
  <si>
    <t>0763413603</t>
  </si>
  <si>
    <t>Gabriella</t>
  </si>
  <si>
    <t>Pinkas</t>
  </si>
  <si>
    <t>gabriella.pinkas@gmail.com</t>
  </si>
  <si>
    <t>0033631520909</t>
  </si>
  <si>
    <t>Sophie</t>
  </si>
  <si>
    <t>reinhart.sophie@gmail.com</t>
  </si>
  <si>
    <t>5 impasse de la Scierie</t>
  </si>
  <si>
    <t>68440 Schlierbach</t>
  </si>
  <si>
    <t>0763204399</t>
  </si>
  <si>
    <t>Schilling</t>
  </si>
  <si>
    <t>tobias-schilling@bluewin.ch</t>
  </si>
  <si>
    <t>Florastrasse 2</t>
  </si>
  <si>
    <t>0797425907</t>
  </si>
  <si>
    <t>attyheleneschaub@gmail.com</t>
  </si>
  <si>
    <t>Gartenstrasse 45</t>
  </si>
  <si>
    <t>4452 Itingen</t>
  </si>
  <si>
    <t>0793168634</t>
  </si>
  <si>
    <t>Yael</t>
  </si>
  <si>
    <t>Spira</t>
  </si>
  <si>
    <t>yael.spira@hotmail.com</t>
  </si>
  <si>
    <t xml:space="preserve">Efringerstassse 9 </t>
  </si>
  <si>
    <t>0799495225</t>
  </si>
  <si>
    <t xml:space="preserve">Ana </t>
  </si>
  <si>
    <t>Gaspar</t>
  </si>
  <si>
    <t>anacristinamgaspar@gmail.com</t>
  </si>
  <si>
    <t>Am Bächli 2</t>
  </si>
  <si>
    <t>0796488607</t>
  </si>
  <si>
    <t>Gaspar Simoes</t>
  </si>
  <si>
    <t>0034654949342</t>
  </si>
  <si>
    <t>Casado</t>
  </si>
  <si>
    <t>albcasalvarez@gmail.com</t>
  </si>
  <si>
    <t>Ahornstrasse 3</t>
  </si>
  <si>
    <t>0793989297</t>
  </si>
  <si>
    <t>0033622481646</t>
  </si>
  <si>
    <t>Gilles</t>
  </si>
  <si>
    <t>gilwys@hotmail.com</t>
  </si>
  <si>
    <t>0033638059135</t>
  </si>
  <si>
    <t>Fabrice</t>
  </si>
  <si>
    <t>Gutedel</t>
  </si>
  <si>
    <t>fabrice.gutedel@hotmail.com</t>
  </si>
  <si>
    <t>0763754107</t>
  </si>
  <si>
    <t>Derya</t>
  </si>
  <si>
    <t>Duzen</t>
  </si>
  <si>
    <t>derya.duzen@hotmail.com</t>
  </si>
  <si>
    <t>Kirchbündtenstrasse 50</t>
  </si>
  <si>
    <t>0787011222</t>
  </si>
  <si>
    <t>Tayfun</t>
  </si>
  <si>
    <t>tayfun.duzen@gmail.com</t>
  </si>
  <si>
    <t>0767200993</t>
  </si>
  <si>
    <t>Schenkenmeyer</t>
  </si>
  <si>
    <t>katharina@schenkemeyer.com</t>
  </si>
  <si>
    <t>Höhenweg 3</t>
  </si>
  <si>
    <t>4433 Ramlinsburg</t>
  </si>
  <si>
    <t>0033602727920</t>
  </si>
  <si>
    <t>Whiler</t>
  </si>
  <si>
    <t>katherinwhiler@gmail.com</t>
  </si>
  <si>
    <t>Güterstrasse 126</t>
  </si>
  <si>
    <t>0792847132</t>
  </si>
  <si>
    <t>Snejana</t>
  </si>
  <si>
    <t>Krassova</t>
  </si>
  <si>
    <t>snejana.krassova@bayer.com</t>
  </si>
  <si>
    <t>Unterburgweg 7</t>
  </si>
  <si>
    <t>0792648178</t>
  </si>
  <si>
    <t>dennistheis100258@gmail.com</t>
  </si>
  <si>
    <t>Wilenstrasse 90b</t>
  </si>
  <si>
    <t>8832 Wilen</t>
  </si>
  <si>
    <t>0792783027</t>
  </si>
  <si>
    <t>Gasparikova</t>
  </si>
  <si>
    <t>004915238978470</t>
  </si>
  <si>
    <t>Amberg</t>
  </si>
  <si>
    <t>bettina.amberg@gmx.de</t>
  </si>
  <si>
    <t>Riehenring 129</t>
  </si>
  <si>
    <t>0774354701</t>
  </si>
  <si>
    <t>Cyril</t>
  </si>
  <si>
    <t>Vivanco</t>
  </si>
  <si>
    <t>cyril.vivanco@hotmail.ch</t>
  </si>
  <si>
    <t>Bollwerkstrasse 41</t>
  </si>
  <si>
    <t>0763181123</t>
  </si>
  <si>
    <t>Weyand</t>
  </si>
  <si>
    <t>rene-w@gmx.ch</t>
  </si>
  <si>
    <t>Akazienweg 9</t>
  </si>
  <si>
    <t>0793092159</t>
  </si>
  <si>
    <t>Schwab</t>
  </si>
  <si>
    <t>schwab.lisa@hotmail.com</t>
  </si>
  <si>
    <t>Pfeffingerstrasse 79</t>
  </si>
  <si>
    <t>4243 Dittingen</t>
  </si>
  <si>
    <t>0794528799</t>
  </si>
  <si>
    <t>luca.meiero@gmail.com</t>
  </si>
  <si>
    <t>0799439717</t>
  </si>
  <si>
    <t>Coelho</t>
  </si>
  <si>
    <t>carlos.coelho93@gmail.com</t>
  </si>
  <si>
    <t>Bruggmattweg 8</t>
  </si>
  <si>
    <t>4452 Ittingen</t>
  </si>
  <si>
    <t>0793268455</t>
  </si>
  <si>
    <t>Lis</t>
  </si>
  <si>
    <t>lis.kurmann@bluewin.ch</t>
  </si>
  <si>
    <t>Bleimattweg 88</t>
  </si>
  <si>
    <t>004915739324465</t>
  </si>
  <si>
    <t>Wafaa</t>
  </si>
  <si>
    <t>Bahira</t>
  </si>
  <si>
    <t>wafaa.b@hotmail.de</t>
  </si>
  <si>
    <t>Austraße 11</t>
  </si>
  <si>
    <t>Lörrach - DE</t>
  </si>
  <si>
    <t>0787327173</t>
  </si>
  <si>
    <t>lea.spira@hotmail.com</t>
  </si>
  <si>
    <t>Kebserweg 5</t>
  </si>
  <si>
    <t>0766900086</t>
  </si>
  <si>
    <t>Victoria</t>
  </si>
  <si>
    <t>Liptak</t>
  </si>
  <si>
    <t>victoriatiorkor@gmx.ch</t>
  </si>
  <si>
    <t>Lehenmattstrasse 225</t>
  </si>
  <si>
    <t>0765946256</t>
  </si>
  <si>
    <t>Gassmann</t>
  </si>
  <si>
    <t>Gassmann.fanny@sunrise.ch</t>
  </si>
  <si>
    <t>Albert Oeristrasse 4</t>
  </si>
  <si>
    <t>0794592475</t>
  </si>
  <si>
    <t>Véronique</t>
  </si>
  <si>
    <t>Süsstrunk</t>
  </si>
  <si>
    <t>veronique_suesstrunk@hotmail.com</t>
  </si>
  <si>
    <t>Rothausstrasse 9</t>
  </si>
  <si>
    <t>0779993108</t>
  </si>
  <si>
    <t>Arany</t>
  </si>
  <si>
    <t>Kõvári</t>
  </si>
  <si>
    <t>aranka.kovari@gmail.com</t>
  </si>
  <si>
    <t>Brombacherstrasse 8</t>
  </si>
  <si>
    <t>00491601673322</t>
  </si>
  <si>
    <t>Irion</t>
  </si>
  <si>
    <t>sophie.irion@gmail.com</t>
  </si>
  <si>
    <t>Mattenstrasse 2</t>
  </si>
  <si>
    <t>0796912723</t>
  </si>
  <si>
    <t>Berchtold</t>
  </si>
  <si>
    <t>nicole.berchtold@gmx.ch</t>
  </si>
  <si>
    <t>Oberer Dürimattweg 12</t>
  </si>
  <si>
    <t>0793376648</t>
  </si>
  <si>
    <t>0797904851</t>
  </si>
  <si>
    <t>00447723012843</t>
  </si>
  <si>
    <t>Jo</t>
  </si>
  <si>
    <t>Storrar</t>
  </si>
  <si>
    <t>joanne_storrar@hotmail.com</t>
  </si>
  <si>
    <t>Frobenstrasse 13</t>
  </si>
  <si>
    <t>0792141383</t>
  </si>
  <si>
    <t>Erni</t>
  </si>
  <si>
    <t>ernilweber@icloud.com</t>
  </si>
  <si>
    <t>Schalerstrasse 6</t>
  </si>
  <si>
    <t>0774553703</t>
  </si>
  <si>
    <t>Boss</t>
  </si>
  <si>
    <t>fabian20boss@hotmail.com</t>
  </si>
  <si>
    <t>Aeschstrasse 12</t>
  </si>
  <si>
    <t>4107 Ettigngen</t>
  </si>
  <si>
    <t>0774839698</t>
  </si>
  <si>
    <t>Quentin</t>
  </si>
  <si>
    <t>Gyseler</t>
  </si>
  <si>
    <t>quentin.gyseler@bluewin.ch</t>
  </si>
  <si>
    <t>Chemin des Places 3</t>
  </si>
  <si>
    <t>2800 Delemont</t>
  </si>
  <si>
    <t>0797193188</t>
  </si>
  <si>
    <t>Morgane</t>
  </si>
  <si>
    <t>Tironi</t>
  </si>
  <si>
    <t>tironi.morgane@gmail.com</t>
  </si>
  <si>
    <t>0793898070</t>
  </si>
  <si>
    <t>eduardojrpeter@gmail.com</t>
  </si>
  <si>
    <t>0033637044895</t>
  </si>
  <si>
    <t>Fernandes</t>
  </si>
  <si>
    <t>celia_fernandes_93@hotmail.com</t>
  </si>
  <si>
    <t>6 rue de Michelfelden</t>
  </si>
  <si>
    <t>68300 Saint-Louis -FR</t>
  </si>
  <si>
    <t>0765892200</t>
  </si>
  <si>
    <t>Ilaria</t>
  </si>
  <si>
    <t>Seminatore</t>
  </si>
  <si>
    <t>ilaria.seminatore@gmail.com</t>
  </si>
  <si>
    <t>Oetlingerstrasse 40</t>
  </si>
  <si>
    <t>0764039416</t>
  </si>
  <si>
    <t>Bloch</t>
  </si>
  <si>
    <t>cbloch@gmx.ch</t>
  </si>
  <si>
    <t>Haltingerstrassse 78</t>
  </si>
  <si>
    <t>0791093905</t>
  </si>
  <si>
    <t>sarah.spira@hotmail.com</t>
  </si>
  <si>
    <t>Feldbergstrasse 40</t>
  </si>
  <si>
    <t>0789116382</t>
  </si>
  <si>
    <t>tobias.suter85@gmail.com</t>
  </si>
  <si>
    <t>Hebelstrasse 52</t>
  </si>
  <si>
    <t>0786074713</t>
  </si>
  <si>
    <t>rede@gmx.ch</t>
  </si>
  <si>
    <t>0792847132-1</t>
  </si>
  <si>
    <t>Dmitri</t>
  </si>
  <si>
    <t>Krassov</t>
  </si>
  <si>
    <t>krassov@gmail.com</t>
  </si>
  <si>
    <t>0768161633</t>
  </si>
  <si>
    <t>Scholl</t>
  </si>
  <si>
    <t>clara.scholl1@gmail.com</t>
  </si>
  <si>
    <t>Rosenweg 7</t>
  </si>
  <si>
    <t>0793350585</t>
  </si>
  <si>
    <t>Leander</t>
  </si>
  <si>
    <t>Ermel</t>
  </si>
  <si>
    <t>leander.ermel@gmail.com</t>
  </si>
  <si>
    <t>0775254235</t>
  </si>
  <si>
    <t>Jeane</t>
  </si>
  <si>
    <t>Niederhauser</t>
  </si>
  <si>
    <t>jeane.santos.me@gmail.com</t>
  </si>
  <si>
    <t>Sangetenweg 16</t>
  </si>
  <si>
    <t>0775344662</t>
  </si>
  <si>
    <t>Trösch</t>
  </si>
  <si>
    <t>olenkan11@mail.ru</t>
  </si>
  <si>
    <t>Hagmattstrasse 15</t>
  </si>
  <si>
    <t>Bretzwil</t>
  </si>
  <si>
    <t>0793067777</t>
  </si>
  <si>
    <t>Hoa</t>
  </si>
  <si>
    <t>Truong</t>
  </si>
  <si>
    <t>hoatruong6177@gmail.com</t>
  </si>
  <si>
    <t>Unterfeldstrasse 8</t>
  </si>
  <si>
    <t>Lausen</t>
  </si>
  <si>
    <t>0764612332</t>
  </si>
  <si>
    <t>Ilenia</t>
  </si>
  <si>
    <t>Szolcsan</t>
  </si>
  <si>
    <t>ilenia.szolcsan@gmail.com</t>
  </si>
  <si>
    <t>Reinacherstrasse 148</t>
  </si>
  <si>
    <t>0782362660</t>
  </si>
  <si>
    <t>Jonathan</t>
  </si>
  <si>
    <t>Lindqvist</t>
  </si>
  <si>
    <t>Jonathan.lindqvist96@gmail.com</t>
  </si>
  <si>
    <t>Bruderholzstrasse 60</t>
  </si>
  <si>
    <t>0782129502</t>
  </si>
  <si>
    <t>Áine</t>
  </si>
  <si>
    <t>Dooley</t>
  </si>
  <si>
    <t>aine.dooley@outlook.com</t>
  </si>
  <si>
    <t>Pruntruterstrasse 2</t>
  </si>
  <si>
    <t>0765803403</t>
  </si>
  <si>
    <t>Laurine</t>
  </si>
  <si>
    <t>laurine.meier@bluewin.ch</t>
  </si>
  <si>
    <t>Sundgauerstrasse 14</t>
  </si>
  <si>
    <t>0763394948</t>
  </si>
  <si>
    <t>Ehrmann</t>
  </si>
  <si>
    <t>alexandra.ehrmann@hotmail.com</t>
  </si>
  <si>
    <t>Habshagstrasse 6</t>
  </si>
  <si>
    <t>0767210098</t>
  </si>
  <si>
    <t>leoniemmk@googlemail.com</t>
  </si>
  <si>
    <t>0799605394</t>
  </si>
  <si>
    <t>Tamas</t>
  </si>
  <si>
    <t>Faludi</t>
  </si>
  <si>
    <t>tamasfld@gmail.com</t>
  </si>
  <si>
    <t>0788382068</t>
  </si>
  <si>
    <t>Mary Jana</t>
  </si>
  <si>
    <t>Eronipulle</t>
  </si>
  <si>
    <t>jana_eronipulle@hotmail.com</t>
  </si>
  <si>
    <t>0763951171</t>
  </si>
  <si>
    <t>Estibaliz</t>
  </si>
  <si>
    <t>Aranaga</t>
  </si>
  <si>
    <t>esti@aranaga.com</t>
  </si>
  <si>
    <t>Hechtliacker 44</t>
  </si>
  <si>
    <t>0784031424</t>
  </si>
  <si>
    <t>Dugard</t>
  </si>
  <si>
    <t>daniel.dugard@gmail.com</t>
  </si>
  <si>
    <t>0788966294</t>
  </si>
  <si>
    <t>Dominika Mercedes</t>
  </si>
  <si>
    <t>Nufer</t>
  </si>
  <si>
    <t>mail@dominikanufer.cc</t>
  </si>
  <si>
    <t>Knöringerstrasse 7</t>
  </si>
  <si>
    <t>0763020109</t>
  </si>
  <si>
    <t>michelle.wick@bluewin.ch</t>
  </si>
  <si>
    <t>Oberdorf 9</t>
  </si>
  <si>
    <t>4108 Witterswil</t>
  </si>
  <si>
    <t>0793625124</t>
  </si>
  <si>
    <t>Krummenacher</t>
  </si>
  <si>
    <t>marco.krummenacher@unibas.ch</t>
  </si>
  <si>
    <t>Pfistergasse 26</t>
  </si>
  <si>
    <t>4800 Zofingen</t>
  </si>
  <si>
    <t>0764972719</t>
  </si>
  <si>
    <t>Can</t>
  </si>
  <si>
    <t>sayhi@valeriecan.com</t>
  </si>
  <si>
    <t>Rheinparkstrasse 3</t>
  </si>
  <si>
    <t>0797681276</t>
  </si>
  <si>
    <t>Alessandro</t>
  </si>
  <si>
    <t>Allegra</t>
  </si>
  <si>
    <t>alessandro.allegra@protonmail.com</t>
  </si>
  <si>
    <t>0798506503</t>
  </si>
  <si>
    <t>patricia.wagner@gmx.ch</t>
  </si>
  <si>
    <t>Kartausgasse 1</t>
  </si>
  <si>
    <t>0768224166</t>
  </si>
  <si>
    <t>Leucci</t>
  </si>
  <si>
    <t>sheila.leucci@gmx.ch</t>
  </si>
  <si>
    <t>Gustav-Wenk-Strasse 29</t>
  </si>
  <si>
    <t>0766982832</t>
  </si>
  <si>
    <t>Fatma</t>
  </si>
  <si>
    <t>Chraiet</t>
  </si>
  <si>
    <t>fatma.chraiet@gmail.com</t>
  </si>
  <si>
    <t>Hofmattstrasse 38</t>
  </si>
  <si>
    <t>0763086856</t>
  </si>
  <si>
    <t>Orjah</t>
  </si>
  <si>
    <t>Alef</t>
  </si>
  <si>
    <t>orjahalef@gmail.com</t>
  </si>
  <si>
    <t>Kembserweg 5</t>
  </si>
  <si>
    <t>0763066440</t>
  </si>
  <si>
    <t>Venus Marie</t>
  </si>
  <si>
    <t>Rojas</t>
  </si>
  <si>
    <t>vmrrojas@gmail.com</t>
  </si>
  <si>
    <t>Hofackerstrasse 61</t>
  </si>
  <si>
    <t>0796411451</t>
  </si>
  <si>
    <t>jolanda.weber@gmx.ch</t>
  </si>
  <si>
    <t>Rösslimatstrasse 2</t>
  </si>
  <si>
    <t>5512 Wohlenschwil</t>
  </si>
  <si>
    <t>0794836423</t>
  </si>
  <si>
    <t>Saverio</t>
  </si>
  <si>
    <t>Bonasso</t>
  </si>
  <si>
    <t>s.bonasso@icloud.com</t>
  </si>
  <si>
    <t>0795993149</t>
  </si>
  <si>
    <t>Gass</t>
  </si>
  <si>
    <t>0791752651</t>
  </si>
  <si>
    <t>Colin</t>
  </si>
  <si>
    <t>0612070421</t>
  </si>
  <si>
    <t>Nandha</t>
  </si>
  <si>
    <t>Govindasamy</t>
  </si>
  <si>
    <t>26j@gmx.de</t>
  </si>
  <si>
    <t>Gartenstrasse 55</t>
  </si>
  <si>
    <t>0796971944</t>
  </si>
  <si>
    <t>Jevtic</t>
  </si>
  <si>
    <t>nikola.jevtic@bluewin.ch</t>
  </si>
  <si>
    <t>Grubenstrasse 23</t>
  </si>
  <si>
    <t>004915234284378</t>
  </si>
  <si>
    <t>Timea</t>
  </si>
  <si>
    <t>Birkner</t>
  </si>
  <si>
    <t>timeabirkner@yahoo.de</t>
  </si>
  <si>
    <t>Colmarerstrasse 30</t>
  </si>
  <si>
    <t>0792397884</t>
  </si>
  <si>
    <t>Roberto Studer</t>
  </si>
  <si>
    <t>carstu@gmx.ch</t>
  </si>
  <si>
    <t>Blauenstrasse 8</t>
  </si>
  <si>
    <t>00491636377150</t>
  </si>
  <si>
    <t>Dainius</t>
  </si>
  <si>
    <t>Ramanauskas</t>
  </si>
  <si>
    <t>dainius@gmx.net</t>
  </si>
  <si>
    <t>Am Gottwill 38</t>
  </si>
  <si>
    <t>66117 Saarbrücken</t>
  </si>
  <si>
    <t>0799583889</t>
  </si>
  <si>
    <t>Melian</t>
  </si>
  <si>
    <t>vmelianm@gmail.com</t>
  </si>
  <si>
    <t>Chrischonaweg 121</t>
  </si>
  <si>
    <t>0794673159-1</t>
  </si>
  <si>
    <t>Hernan</t>
  </si>
  <si>
    <t xml:space="preserve">Fraga </t>
  </si>
  <si>
    <t>0795874184</t>
  </si>
  <si>
    <t>Bissegger</t>
  </si>
  <si>
    <t>hermiana@hotmail.com</t>
  </si>
  <si>
    <t>Belchenring 4</t>
  </si>
  <si>
    <t>0792298096</t>
  </si>
  <si>
    <t>Antonello</t>
  </si>
  <si>
    <t>Marscitti</t>
  </si>
  <si>
    <t>0797795183</t>
  </si>
  <si>
    <t>Mateja</t>
  </si>
  <si>
    <t>Kralievic</t>
  </si>
  <si>
    <t>004917634183256</t>
  </si>
  <si>
    <t>Alex</t>
  </si>
  <si>
    <t>Hart</t>
  </si>
  <si>
    <t>alexhart@live.eu</t>
  </si>
  <si>
    <t>0788027101</t>
  </si>
  <si>
    <t>Serge</t>
  </si>
  <si>
    <t>Wächter</t>
  </si>
  <si>
    <t>0795553452</t>
  </si>
  <si>
    <t>Guercio</t>
  </si>
  <si>
    <t>004917651817789</t>
  </si>
  <si>
    <t xml:space="preserve">Linda </t>
  </si>
  <si>
    <t xml:space="preserve">Fisch </t>
  </si>
  <si>
    <t>lindafisch92@gmail.com</t>
  </si>
  <si>
    <t>Riehenstrasse 101a</t>
  </si>
  <si>
    <t>79594 Inzlingen</t>
  </si>
  <si>
    <t>00351912196869</t>
  </si>
  <si>
    <t>Bernardo</t>
  </si>
  <si>
    <t xml:space="preserve">m </t>
  </si>
  <si>
    <t>00351916513184</t>
  </si>
  <si>
    <t>Malheiro</t>
  </si>
  <si>
    <t>0793974160</t>
  </si>
  <si>
    <t>julia_schlachter@gmx.ch</t>
  </si>
  <si>
    <t>Rickenbachstrasse 34</t>
  </si>
  <si>
    <t>4463 Buus</t>
  </si>
  <si>
    <t>0765324846</t>
  </si>
  <si>
    <t>Anke</t>
  </si>
  <si>
    <t>Reuss</t>
  </si>
  <si>
    <t>schweizerdeutsch@email.de</t>
  </si>
  <si>
    <t>Arlesheim</t>
  </si>
  <si>
    <t>004917658387198</t>
  </si>
  <si>
    <t>Sepideh</t>
  </si>
  <si>
    <t>Alassi</t>
  </si>
  <si>
    <t>sepideh.alassi@gmail.com</t>
  </si>
  <si>
    <t>Im Proli 28</t>
  </si>
  <si>
    <t>Grenzach-Wyhlen</t>
  </si>
  <si>
    <t>0795847300</t>
  </si>
  <si>
    <t>Liz</t>
  </si>
  <si>
    <t>Khatri</t>
  </si>
  <si>
    <t>lizkhatri@googlemail.com</t>
  </si>
  <si>
    <t>Binningerstrasse 53</t>
  </si>
  <si>
    <t>0775065346</t>
  </si>
  <si>
    <t>Robbie</t>
  </si>
  <si>
    <t>Peck</t>
  </si>
  <si>
    <t>robbiepeck@hotmail.com</t>
  </si>
  <si>
    <t>0796312810</t>
  </si>
  <si>
    <t>Gina</t>
  </si>
  <si>
    <t>Ermacora</t>
  </si>
  <si>
    <t>gina-ermacora@hotmail.com</t>
  </si>
  <si>
    <t>0797870964</t>
  </si>
  <si>
    <t>Fadila</t>
  </si>
  <si>
    <t>Zaouer</t>
  </si>
  <si>
    <t>fadila.zaouer@hotmail.com</t>
  </si>
  <si>
    <t>0786171207</t>
  </si>
  <si>
    <t>Isenegger</t>
  </si>
  <si>
    <t>rahel.i@bluewin.ch</t>
  </si>
  <si>
    <t>0787435246</t>
  </si>
  <si>
    <t>deboraffr@hotmail.com</t>
  </si>
  <si>
    <t>4402 Frenkendorf</t>
  </si>
  <si>
    <t>00447535726687</t>
  </si>
  <si>
    <t>Annie</t>
  </si>
  <si>
    <t>Malley</t>
  </si>
  <si>
    <t>anniemalley@outlook.com</t>
  </si>
  <si>
    <t>Rossmaison</t>
  </si>
  <si>
    <t>004917664778940</t>
  </si>
  <si>
    <t>Lawitzky</t>
  </si>
  <si>
    <t>sven-law@web.de</t>
  </si>
  <si>
    <t>Hüsingerstrasse 4</t>
  </si>
  <si>
    <t>79541 Lörrach</t>
  </si>
  <si>
    <t>0795620520</t>
  </si>
  <si>
    <t>Nelleke</t>
  </si>
  <si>
    <t>Barning</t>
  </si>
  <si>
    <t>nelleke.barning@dsm.com</t>
  </si>
  <si>
    <t>Kluserstrasse 25</t>
  </si>
  <si>
    <t>0765971909</t>
  </si>
  <si>
    <t>Schweizeraustrasse 3f</t>
  </si>
  <si>
    <t>0795324291</t>
  </si>
  <si>
    <t>Martins</t>
  </si>
  <si>
    <t>Schülerin</t>
  </si>
  <si>
    <t>0799557519</t>
  </si>
  <si>
    <t>Elsener</t>
  </si>
  <si>
    <t>janineelsener@hotmail.com</t>
  </si>
  <si>
    <t>0799557519-1</t>
  </si>
  <si>
    <t>0765070919</t>
  </si>
  <si>
    <t>Boos</t>
  </si>
  <si>
    <t>aline.boos@gmail.com</t>
  </si>
  <si>
    <t>Falkenstrasse 61</t>
  </si>
  <si>
    <t>0786315313</t>
  </si>
  <si>
    <t>celine.boos2000@hotmail.com</t>
  </si>
  <si>
    <t>00393272344160</t>
  </si>
  <si>
    <t>Rita</t>
  </si>
  <si>
    <t>Hampe</t>
  </si>
  <si>
    <t> ritaruth.hampe@gmail.com</t>
  </si>
  <si>
    <t>Steinentorberg 18</t>
  </si>
  <si>
    <t>0774752591</t>
  </si>
  <si>
    <t>Michèle</t>
  </si>
  <si>
    <t>Costantini</t>
  </si>
  <si>
    <t>michele.costantini@unibas.ch</t>
  </si>
  <si>
    <t>Muespacherstrasse 49</t>
  </si>
  <si>
    <t>0786768146</t>
  </si>
  <si>
    <t>Carra</t>
  </si>
  <si>
    <t>Tillon</t>
  </si>
  <si>
    <t>carra.tillon@gmail.com</t>
  </si>
  <si>
    <t>Wilerweg, 36A</t>
  </si>
  <si>
    <t>0782262169</t>
  </si>
  <si>
    <t>Malkin</t>
  </si>
  <si>
    <t>sammmalkin@gmail.com</t>
  </si>
  <si>
    <t>0794359335</t>
  </si>
  <si>
    <t>Tepic</t>
  </si>
  <si>
    <t>zorica.tepic@hotmail.com</t>
  </si>
  <si>
    <t>Beim Lindenbaum 27</t>
  </si>
  <si>
    <t>0765457168</t>
  </si>
  <si>
    <t>Vollmar</t>
  </si>
  <si>
    <t>Bundestrasse 7</t>
  </si>
  <si>
    <t>6003 Luzern</t>
  </si>
  <si>
    <t>0797665059</t>
  </si>
  <si>
    <t>Wernli</t>
  </si>
  <si>
    <t>anja.caroline.wernli@gmail.com</t>
  </si>
  <si>
    <t>Pappelnweg 30a</t>
  </si>
  <si>
    <t>0762191831</t>
  </si>
  <si>
    <t>Imke</t>
  </si>
  <si>
    <t>de Jong</t>
  </si>
  <si>
    <t>imkegreetdejong@gmail.com</t>
  </si>
  <si>
    <t>Rümmingerstrasse 17</t>
  </si>
  <si>
    <t>0793415374</t>
  </si>
  <si>
    <t>jacquelinemeier@msn.com</t>
  </si>
  <si>
    <t>0762506893</t>
  </si>
  <si>
    <t>Lara Rebeca</t>
  </si>
  <si>
    <t>Martin Pérez</t>
  </si>
  <si>
    <t>laramartinperez98@gmail.com</t>
  </si>
  <si>
    <t>Knöringerstrasse 3</t>
  </si>
  <si>
    <t>0766757959</t>
  </si>
  <si>
    <t>Gander</t>
  </si>
  <si>
    <t>0797197551</t>
  </si>
  <si>
    <t>Tischler</t>
  </si>
  <si>
    <t>anninatischler55@gmail.com</t>
  </si>
  <si>
    <t>Serrnussweg 20c</t>
  </si>
  <si>
    <t>004915770257787</t>
  </si>
  <si>
    <t>Peer</t>
  </si>
  <si>
    <t>max.peer@t-online.de</t>
  </si>
  <si>
    <t>0764934609</t>
  </si>
  <si>
    <t>Imed</t>
  </si>
  <si>
    <t>Karoui</t>
  </si>
  <si>
    <t>imed.karoui02@gmail.com</t>
  </si>
  <si>
    <t>Grellingerstrasse 68</t>
  </si>
  <si>
    <t>0764934609-1</t>
  </si>
  <si>
    <t>Amira</t>
  </si>
  <si>
    <t>a_benzarti@hotmail.fr</t>
  </si>
  <si>
    <t>004915253468917</t>
  </si>
  <si>
    <t>Samantha</t>
  </si>
  <si>
    <t>Wörner</t>
  </si>
  <si>
    <t>samantha.woerner@web.de</t>
  </si>
  <si>
    <t>Froburgstrasse 28</t>
  </si>
  <si>
    <t>0764326720</t>
  </si>
  <si>
    <t>Ruben</t>
  </si>
  <si>
    <t>rubencastillo@hotmail.ch</t>
  </si>
  <si>
    <t>Sennhofweg 16b</t>
  </si>
  <si>
    <t>0789195166</t>
  </si>
  <si>
    <t>Bonauer</t>
  </si>
  <si>
    <t>0765376441</t>
  </si>
  <si>
    <t>Serna</t>
  </si>
  <si>
    <t>0765306789</t>
  </si>
  <si>
    <t>Anna Lea</t>
  </si>
  <si>
    <t>Aebischer</t>
  </si>
  <si>
    <t>annalea.aebischer@gmail.com</t>
  </si>
  <si>
    <t>Rosentalstrasse 48</t>
  </si>
  <si>
    <t>0782225303</t>
  </si>
  <si>
    <t>Julius</t>
  </si>
  <si>
    <t>Klaas</t>
  </si>
  <si>
    <t>08sons-file@icloud.com</t>
  </si>
  <si>
    <t>Rudenzweg 21</t>
  </si>
  <si>
    <t>Zürich</t>
  </si>
  <si>
    <t>0765743928</t>
  </si>
  <si>
    <t>Kobler</t>
  </si>
  <si>
    <t>natascha.kobler@hotmail.de</t>
  </si>
  <si>
    <t>Colmarerweg 7c</t>
  </si>
  <si>
    <t>0049795836107</t>
  </si>
  <si>
    <t>0784042497</t>
  </si>
  <si>
    <t>Guillermo</t>
  </si>
  <si>
    <t>Vilanova</t>
  </si>
  <si>
    <t>gvilanovaa@gmail.com</t>
  </si>
  <si>
    <t>Schlettstadterstrasse 39</t>
  </si>
  <si>
    <t>Other</t>
  </si>
  <si>
    <t>0799208215</t>
  </si>
  <si>
    <t>Theresa</t>
  </si>
  <si>
    <t>Reiker</t>
  </si>
  <si>
    <t>0767437934</t>
  </si>
  <si>
    <t>Madlin</t>
  </si>
  <si>
    <t>madlin.walther@gmx.de</t>
  </si>
  <si>
    <t>Bartenheimerstrasse 23</t>
  </si>
  <si>
    <t>0788390064</t>
  </si>
  <si>
    <t>sara.ruberti@bluewin.ch</t>
  </si>
  <si>
    <t>Sternenbergweg 16</t>
  </si>
  <si>
    <t>4413 Büren</t>
  </si>
  <si>
    <t>0792130699</t>
  </si>
  <si>
    <t>Unterer Mühlestettenweg 8</t>
  </si>
  <si>
    <t>0798900694</t>
  </si>
  <si>
    <t>anigro178@googlemail.com</t>
  </si>
  <si>
    <t>004915112712423</t>
  </si>
  <si>
    <t>Musial</t>
  </si>
  <si>
    <t>julia.musial14@gmail.com</t>
  </si>
  <si>
    <t>Holeestrasse 153</t>
  </si>
  <si>
    <t>0782071395</t>
  </si>
  <si>
    <t>Johannes</t>
  </si>
  <si>
    <t>Frenger</t>
  </si>
  <si>
    <t>johannes.frenger@googlemail.com</t>
  </si>
  <si>
    <t>0765258785</t>
  </si>
  <si>
    <t>Schenke</t>
  </si>
  <si>
    <t>rena.schenke@gmail.com</t>
  </si>
  <si>
    <t>Weidgasse 5</t>
  </si>
  <si>
    <t>0033611744343</t>
  </si>
  <si>
    <t>Jack</t>
  </si>
  <si>
    <t>Swindle</t>
  </si>
  <si>
    <t>artlibrairie@gmail.com</t>
  </si>
  <si>
    <t>0033699684636</t>
  </si>
  <si>
    <t>Arman</t>
  </si>
  <si>
    <t>Willam</t>
  </si>
  <si>
    <t>00491797842407</t>
  </si>
  <si>
    <t>Kleinbölting</t>
  </si>
  <si>
    <t>christian@kleinboelting.de</t>
  </si>
  <si>
    <t>0779760144</t>
  </si>
  <si>
    <t>Zuñiga</t>
  </si>
  <si>
    <t>alejozurba2004@gmail.com</t>
  </si>
  <si>
    <t>Markgräflerstrasse 82</t>
  </si>
  <si>
    <t>0765100138</t>
  </si>
  <si>
    <t>Marie-Sophie</t>
  </si>
  <si>
    <t>Kusch</t>
  </si>
  <si>
    <t>ms.kusch@hotmail.com</t>
  </si>
  <si>
    <t>Thannerstrasse 15</t>
  </si>
  <si>
    <t>0791076308</t>
  </si>
  <si>
    <t>Bonic</t>
  </si>
  <si>
    <t>bonic40@gmail.com</t>
  </si>
  <si>
    <t>0764971909</t>
  </si>
  <si>
    <t>Messias</t>
  </si>
  <si>
    <t>0763202579</t>
  </si>
  <si>
    <t>Amelia</t>
  </si>
  <si>
    <t>Gisler</t>
  </si>
  <si>
    <t>0792984271</t>
  </si>
  <si>
    <t>Heterd</t>
  </si>
  <si>
    <t>nathalieheterd16@hotmail.com</t>
  </si>
  <si>
    <t>0795559222</t>
  </si>
  <si>
    <t>Romana</t>
  </si>
  <si>
    <t>Fister</t>
  </si>
  <si>
    <t>romana.fister@gmail.com</t>
  </si>
  <si>
    <t>Grenzacherstrasse 483a</t>
  </si>
  <si>
    <t>0767992199</t>
  </si>
  <si>
    <t>lukas.meier@gmail.com</t>
  </si>
  <si>
    <t>Barfüsserplatz 18</t>
  </si>
  <si>
    <t>0764426484</t>
  </si>
  <si>
    <t>Muhammad Bilal</t>
  </si>
  <si>
    <t>Sulaimankhil</t>
  </si>
  <si>
    <t>bilalsulaimankhil@gmail.com</t>
  </si>
  <si>
    <t>Müllheimerstrasse 14</t>
  </si>
  <si>
    <t>0774512624</t>
  </si>
  <si>
    <t>Geyer</t>
  </si>
  <si>
    <t>kathringey@gmail.com</t>
  </si>
  <si>
    <t>Burgfelderstrasse 224</t>
  </si>
  <si>
    <t>0797155329</t>
  </si>
  <si>
    <t>Margarita</t>
  </si>
  <si>
    <t>Kastrati</t>
  </si>
  <si>
    <t>margarita.kastrati@hotmail.com</t>
  </si>
  <si>
    <t>Wiesendamm 76</t>
  </si>
  <si>
    <t>0795763837</t>
  </si>
  <si>
    <t>Beyeler</t>
  </si>
  <si>
    <t>0034600874529</t>
  </si>
  <si>
    <t>Teresa</t>
  </si>
  <si>
    <t>Quesada</t>
  </si>
  <si>
    <t>mterquesada@gmail.com</t>
  </si>
  <si>
    <t>004915752487118</t>
  </si>
  <si>
    <t>Wyrwol</t>
  </si>
  <si>
    <t>daniela.wyrwol@gmail.com</t>
  </si>
  <si>
    <t>14 rue Victor Coste</t>
  </si>
  <si>
    <t>004917657675579</t>
  </si>
  <si>
    <t>Marius</t>
  </si>
  <si>
    <t>Harter</t>
  </si>
  <si>
    <t>0795342377</t>
  </si>
  <si>
    <t>Brosi</t>
  </si>
  <si>
    <t>lea.rebecca.brosi@gmail.com</t>
  </si>
  <si>
    <t>Morgartenring 132</t>
  </si>
  <si>
    <t>00491628546719</t>
  </si>
  <si>
    <t>Euchkorn</t>
  </si>
  <si>
    <t>eichkorn.sarah@googlemail.com</t>
  </si>
  <si>
    <t>Chesterplatz 8</t>
  </si>
  <si>
    <t>78539 Lörrach</t>
  </si>
  <si>
    <t>0793786935</t>
  </si>
  <si>
    <t>Engler</t>
  </si>
  <si>
    <t>martina_engler@gmx.net</t>
  </si>
  <si>
    <t>Gustackerstrasse 3</t>
  </si>
  <si>
    <t>0797957355</t>
  </si>
  <si>
    <t>Axel</t>
  </si>
  <si>
    <t>axel_engler@gmx.net</t>
  </si>
  <si>
    <t>0794500626</t>
  </si>
  <si>
    <t>Jenny</t>
  </si>
  <si>
    <t>Castro</t>
  </si>
  <si>
    <t>castro.jenny@hotmail.ch</t>
  </si>
  <si>
    <t>St. Alban-anlage 57</t>
  </si>
  <si>
    <t>0798522875</t>
  </si>
  <si>
    <t>Celso Manuel</t>
  </si>
  <si>
    <t>Dos Santos Mendes</t>
  </si>
  <si>
    <t>celso.mendes7@gmail.com</t>
  </si>
  <si>
    <t>Lachmattstrasse 53</t>
  </si>
  <si>
    <t>0764469409</t>
  </si>
  <si>
    <t>Carol</t>
  </si>
  <si>
    <t>Helan</t>
  </si>
  <si>
    <t>carollinda.helan@hotmail.com</t>
  </si>
  <si>
    <t>Drosselstrasse 7</t>
  </si>
  <si>
    <t>0792014940</t>
  </si>
  <si>
    <t>Baier</t>
  </si>
  <si>
    <t>y.baier@hotmail.com</t>
  </si>
  <si>
    <t>0763997434</t>
  </si>
  <si>
    <t>Puglisi</t>
  </si>
  <si>
    <t>bettina.puglisi@hotmail.com</t>
  </si>
  <si>
    <t>Haldenweg 45</t>
  </si>
  <si>
    <t>4460 Gelterkinden</t>
  </si>
  <si>
    <t>0798705456</t>
  </si>
  <si>
    <t>Fleury</t>
  </si>
  <si>
    <t>michel.fleury@gelterkinden.ch</t>
  </si>
  <si>
    <t>0763057696</t>
  </si>
  <si>
    <t>fischer.hannah@bluewin.ch</t>
  </si>
  <si>
    <t>Birsweg 36</t>
  </si>
  <si>
    <t>0796968663</t>
  </si>
  <si>
    <t>Somogyu</t>
  </si>
  <si>
    <t>somogyi.martina@gmail.com</t>
  </si>
  <si>
    <t>Turnerstrasse 7</t>
  </si>
  <si>
    <t>0793591008</t>
  </si>
  <si>
    <t>Laux</t>
  </si>
  <si>
    <t>farbluchs@gmail.com</t>
  </si>
  <si>
    <t>0763212117</t>
  </si>
  <si>
    <t>Grace</t>
  </si>
  <si>
    <t>Njoki</t>
  </si>
  <si>
    <t>grace.njoki@hotmail.com</t>
  </si>
  <si>
    <t>Nonnenweg 31</t>
  </si>
  <si>
    <t>0763212117-1</t>
  </si>
  <si>
    <t>Jäger</t>
  </si>
  <si>
    <t>tp.jaeger@gmail.com</t>
  </si>
  <si>
    <t>0787139344</t>
  </si>
  <si>
    <t>Mäder</t>
  </si>
  <si>
    <t>dmaeder1991@gmail.com</t>
  </si>
  <si>
    <t>Rebmatt 23</t>
  </si>
  <si>
    <t>4316 Hellikon</t>
  </si>
  <si>
    <t>0775284514</t>
  </si>
  <si>
    <t>Moorthy</t>
  </si>
  <si>
    <t>rachaelmoorthy@gmail.com</t>
  </si>
  <si>
    <t>0764800231</t>
  </si>
  <si>
    <t>Dorian</t>
  </si>
  <si>
    <t xml:space="preserve">Atene </t>
  </si>
  <si>
    <t>d.atene@gmx.ch</t>
  </si>
  <si>
    <t>0799590588</t>
  </si>
  <si>
    <t>Vanzi</t>
  </si>
  <si>
    <t>romina.vanzi@ipaf.org</t>
  </si>
  <si>
    <t>Lörracherstrasse 30</t>
  </si>
  <si>
    <t>0782513350</t>
  </si>
  <si>
    <t>Carolina</t>
  </si>
  <si>
    <t>carolinalona.ca@gmail.com</t>
  </si>
  <si>
    <t>Sevogelstrasse 140</t>
  </si>
  <si>
    <t>0793409518</t>
  </si>
  <si>
    <t>petrafi@bluewin.ch</t>
  </si>
  <si>
    <t>Freilager-Platz 5</t>
  </si>
  <si>
    <t>0794000823</t>
  </si>
  <si>
    <t>Hofmann</t>
  </si>
  <si>
    <t>yael_hofmann@hotmail.com</t>
  </si>
  <si>
    <t>Wielandplatz 8</t>
  </si>
  <si>
    <t>0786859903</t>
  </si>
  <si>
    <t>Luke</t>
  </si>
  <si>
    <t>Champion</t>
  </si>
  <si>
    <t>lukedavidchampion@gmail.com</t>
  </si>
  <si>
    <t>Eisenbahnweg 27</t>
  </si>
  <si>
    <t>004915906443291</t>
  </si>
  <si>
    <t>Benz</t>
  </si>
  <si>
    <t>lisabenz@gmx.de</t>
  </si>
  <si>
    <t>Müllheimer Strasse 33</t>
  </si>
  <si>
    <t>79395 Neuenburg am Rhein</t>
  </si>
  <si>
    <t>0786147334</t>
  </si>
  <si>
    <t>0798989284</t>
  </si>
  <si>
    <t>Lauren</t>
  </si>
  <si>
    <t>fisher.lauren17@gmail.com</t>
  </si>
  <si>
    <t>Heimstrasse 16a</t>
  </si>
  <si>
    <t>8953 Dietikon</t>
  </si>
  <si>
    <t>0792102721</t>
  </si>
  <si>
    <t>Tschanz</t>
  </si>
  <si>
    <t>anja.tschanz@gmail.com</t>
  </si>
  <si>
    <t>Grosspeterstrasse 9</t>
  </si>
  <si>
    <t>0799196160</t>
  </si>
  <si>
    <t>sinabruegger@gmx.ch</t>
  </si>
  <si>
    <t>Hohenrainstrasse 3</t>
  </si>
  <si>
    <t>0797018352</t>
  </si>
  <si>
    <t>fraenzigraf4@gmail.com</t>
  </si>
  <si>
    <t>Brückenstrasse 24</t>
  </si>
  <si>
    <t>0797018352-1</t>
  </si>
  <si>
    <t>Adam</t>
  </si>
  <si>
    <t>Straight</t>
  </si>
  <si>
    <t>0034639876758</t>
  </si>
  <si>
    <t>0799476764</t>
  </si>
  <si>
    <t>0796136360</t>
  </si>
  <si>
    <t>Montero</t>
  </si>
  <si>
    <t>0034666730221</t>
  </si>
  <si>
    <t>Rio</t>
  </si>
  <si>
    <t>0034661332317</t>
  </si>
  <si>
    <t>Alvaro</t>
  </si>
  <si>
    <t>Lopez Muñoz</t>
  </si>
  <si>
    <t>peski87@hotmail.com</t>
  </si>
  <si>
    <t>0797106919</t>
  </si>
  <si>
    <t>00447557100145</t>
  </si>
  <si>
    <t>Frances</t>
  </si>
  <si>
    <t>Handley</t>
  </si>
  <si>
    <t>franceshandley6590@hotmail.com</t>
  </si>
  <si>
    <t>0033788302464</t>
  </si>
  <si>
    <t>Lahy</t>
  </si>
  <si>
    <t>penderkp@yahoo.com</t>
  </si>
  <si>
    <t>0793124523</t>
  </si>
  <si>
    <t>Naida</t>
  </si>
  <si>
    <t>Lulic</t>
  </si>
  <si>
    <t>naida.lulic@gmail.com</t>
  </si>
  <si>
    <t>Leuenallee 24</t>
  </si>
  <si>
    <t>4702 Oensingen</t>
  </si>
  <si>
    <t>0794139859</t>
  </si>
  <si>
    <t>John</t>
  </si>
  <si>
    <t>Ritschl-Lassoudry</t>
  </si>
  <si>
    <t>john@lassoudry.ch</t>
  </si>
  <si>
    <t>Kohlistieg 61</t>
  </si>
  <si>
    <t>0764244936</t>
  </si>
  <si>
    <t>0764414200</t>
  </si>
  <si>
    <t>Bruner</t>
  </si>
  <si>
    <t>isabrunner.bs@gmail.com</t>
  </si>
  <si>
    <t>Bannwarweg 30</t>
  </si>
  <si>
    <t>0792238802</t>
  </si>
  <si>
    <t>veronicaberger68@gmail.com</t>
  </si>
  <si>
    <t>Wenkenstrasse 84</t>
  </si>
  <si>
    <t>0792238802-1</t>
  </si>
  <si>
    <t>0765069911</t>
  </si>
  <si>
    <t>Delia</t>
  </si>
  <si>
    <t>Aidoo</t>
  </si>
  <si>
    <t>delia-aidoo@hotmail.com</t>
  </si>
  <si>
    <t>Hauptstrasse 26</t>
  </si>
  <si>
    <t>4322 Mumpf</t>
  </si>
  <si>
    <t>0782222722</t>
  </si>
  <si>
    <t>Tschudi</t>
  </si>
  <si>
    <t>andreastschudi90@gmail.com</t>
  </si>
  <si>
    <t>0798497040</t>
  </si>
  <si>
    <t>Nelia</t>
  </si>
  <si>
    <t>Viele</t>
  </si>
  <si>
    <t>004915234072986</t>
  </si>
  <si>
    <t>Csilla</t>
  </si>
  <si>
    <t>csillabirkner@yahoo.de</t>
  </si>
  <si>
    <t>0793319325</t>
  </si>
  <si>
    <t>Anabela</t>
  </si>
  <si>
    <t>Francisco Farinha</t>
  </si>
  <si>
    <t>anabela.farinha@gmx.ch</t>
  </si>
  <si>
    <t>Heissglädstrasse 45</t>
  </si>
  <si>
    <t>4123 Muttenz</t>
  </si>
  <si>
    <t>004915752487118-1</t>
  </si>
  <si>
    <t>Wywol</t>
  </si>
  <si>
    <t>004917680442925</t>
  </si>
  <si>
    <t>sabinev912@googlemail.com</t>
  </si>
  <si>
    <t>Kanderner Str. 28</t>
  </si>
  <si>
    <t>79585 Steinen</t>
  </si>
  <si>
    <t>0763399289</t>
  </si>
  <si>
    <t>Ligia</t>
  </si>
  <si>
    <t>0796929873</t>
  </si>
  <si>
    <t>Liliane</t>
  </si>
  <si>
    <t>liliane.buergin@gmx.ch</t>
  </si>
  <si>
    <t>Im Kirsgarten</t>
  </si>
  <si>
    <t>0792559456</t>
  </si>
  <si>
    <t>pascal.buergin@bayer.com</t>
  </si>
  <si>
    <t>0786229301</t>
  </si>
  <si>
    <t>cynthia.fischer@bluewin.ch</t>
  </si>
  <si>
    <t>Moosackerweg 12</t>
  </si>
  <si>
    <t>4105 Biel-Benken</t>
  </si>
  <si>
    <t>004915784557057</t>
  </si>
  <si>
    <t>Anais</t>
  </si>
  <si>
    <t>Karier</t>
  </si>
  <si>
    <t>anaiskarier@yahoo.de</t>
  </si>
  <si>
    <t>0779189457</t>
  </si>
  <si>
    <t>Tandazo</t>
  </si>
  <si>
    <t>tanialexadrian@gmail.com</t>
  </si>
  <si>
    <t>Hochstrasse 67</t>
  </si>
  <si>
    <t>0792623599</t>
  </si>
  <si>
    <t>Von Büren</t>
  </si>
  <si>
    <t>angivonburen@hotmail.com</t>
  </si>
  <si>
    <t>Ramsteinerstrasse 8</t>
  </si>
  <si>
    <t>00491748067582</t>
  </si>
  <si>
    <t>Annerose</t>
  </si>
  <si>
    <t>Krumm</t>
  </si>
  <si>
    <t>annerose.krumm@web.de</t>
  </si>
  <si>
    <t>Humboldtstrasse 7</t>
  </si>
  <si>
    <t>0789640777</t>
  </si>
  <si>
    <t>Schätzle</t>
  </si>
  <si>
    <t>sarahelisabeth.schaetzle@gmail.com</t>
  </si>
  <si>
    <t>Hochlettenstrasse 2</t>
  </si>
  <si>
    <t>0764494023</t>
  </si>
  <si>
    <t>Arroba</t>
  </si>
  <si>
    <t>0795085991</t>
  </si>
  <si>
    <t>Züger</t>
  </si>
  <si>
    <t>valeria_zueger@hotmail.com</t>
  </si>
  <si>
    <t>Poststrasse 16</t>
  </si>
  <si>
    <t>6300 Zug</t>
  </si>
  <si>
    <t>0787917085</t>
  </si>
  <si>
    <t>Diana Rose</t>
  </si>
  <si>
    <t>Strohbach</t>
  </si>
  <si>
    <t>rosasdianarose39@yahoo.com</t>
  </si>
  <si>
    <t>0793407579</t>
  </si>
  <si>
    <t>0798552652</t>
  </si>
  <si>
    <t>andreaj94@live.com</t>
  </si>
  <si>
    <t>Muesmattweg 78a</t>
  </si>
  <si>
    <t>0796219577</t>
  </si>
  <si>
    <t>lorena_98@live.de</t>
  </si>
  <si>
    <t>0762422726</t>
  </si>
  <si>
    <t>Tangentenweg 30</t>
  </si>
  <si>
    <t>0795407596</t>
  </si>
  <si>
    <t>Sebastian.Engel@t-online.de</t>
  </si>
  <si>
    <t>Alte Strasse 24</t>
  </si>
  <si>
    <t>Weil am Rhein</t>
  </si>
  <si>
    <t>0765805038</t>
  </si>
  <si>
    <t>Desirée</t>
  </si>
  <si>
    <t>Bohren</t>
  </si>
  <si>
    <t>desi.bohren@gmail.com</t>
  </si>
  <si>
    <t>Farnsburgerstrasse 59</t>
  </si>
  <si>
    <t>00491787352373</t>
  </si>
  <si>
    <t>Haichen</t>
  </si>
  <si>
    <t>haichen.liu@icloud.com</t>
  </si>
  <si>
    <t>Bertlingen 15</t>
  </si>
  <si>
    <t>00491771447777</t>
  </si>
  <si>
    <t>johannes.frenger@gmail.com</t>
  </si>
  <si>
    <t>0049151127124</t>
  </si>
  <si>
    <t>0762631508</t>
  </si>
  <si>
    <t>Pradas Sanchez</t>
  </si>
  <si>
    <t>marinapradassanchez@gmail.com</t>
  </si>
  <si>
    <t>Holeestrasse 73</t>
  </si>
  <si>
    <t>0799047679</t>
  </si>
  <si>
    <t>Franka</t>
  </si>
  <si>
    <t>Gerhard</t>
  </si>
  <si>
    <t>franka.gerhard@gmail.com</t>
  </si>
  <si>
    <t>Eichenstrasse 22</t>
  </si>
  <si>
    <t>0762006956</t>
  </si>
  <si>
    <t>Berton</t>
  </si>
  <si>
    <t>mattiabert93@gmail.com</t>
  </si>
  <si>
    <t>Hauptstrasse 11</t>
  </si>
  <si>
    <t>0762326073</t>
  </si>
  <si>
    <t>Bettonte</t>
  </si>
  <si>
    <t>0765706064</t>
  </si>
  <si>
    <t>Meise</t>
  </si>
  <si>
    <t>jonas.f.meise@gmail.com</t>
  </si>
  <si>
    <t>0795758685</t>
  </si>
  <si>
    <t>Anne</t>
  </si>
  <si>
    <t>Albrecht</t>
  </si>
  <si>
    <t>anne.albrecht@gmx.ch</t>
  </si>
  <si>
    <t>Maiengasse 13</t>
  </si>
  <si>
    <t>0793458377</t>
  </si>
  <si>
    <t>michelle.albrecht@gmx.ch</t>
  </si>
  <si>
    <t>0792490894</t>
  </si>
  <si>
    <t>Wendelspiess</t>
  </si>
  <si>
    <t>soraya.wendelspiess@hotmail.com</t>
  </si>
  <si>
    <t>Bahnhofstrasse 40</t>
  </si>
  <si>
    <t>0796122092</t>
  </si>
  <si>
    <t>Cristian</t>
  </si>
  <si>
    <t>Brigante</t>
  </si>
  <si>
    <t>0792122775</t>
  </si>
  <si>
    <t>Veronika</t>
  </si>
  <si>
    <t>Holliger</t>
  </si>
  <si>
    <t>veronikajens@gmx.net</t>
  </si>
  <si>
    <t>Habsburgerstrasse 12</t>
  </si>
  <si>
    <t>0779092811</t>
  </si>
  <si>
    <t>Joachim</t>
  </si>
  <si>
    <t>Schillinger</t>
  </si>
  <si>
    <t>joachim.schillinger@gmail.com</t>
  </si>
  <si>
    <t>0763021542</t>
  </si>
  <si>
    <t>Zeier</t>
  </si>
  <si>
    <t>leoniezeier@yahoo.com</t>
  </si>
  <si>
    <t>0795838112</t>
  </si>
  <si>
    <t>Rosmus</t>
  </si>
  <si>
    <t>rosmus@sunrise.ch</t>
  </si>
  <si>
    <t>Neuensteinerstrasse 12</t>
  </si>
  <si>
    <t>0794602175</t>
  </si>
  <si>
    <t>cmangold@gmx.ch</t>
  </si>
  <si>
    <t>Achilles Bischoff-Strasse 11</t>
  </si>
  <si>
    <t>0789669556</t>
  </si>
  <si>
    <t>Sigg</t>
  </si>
  <si>
    <t>jonathan.sigg@hotmail.com</t>
  </si>
  <si>
    <t>0774510425</t>
  </si>
  <si>
    <t>Karau</t>
  </si>
  <si>
    <t>simone.karau@gmail.com</t>
  </si>
  <si>
    <t>Freulerstrasse 31</t>
  </si>
  <si>
    <t>0767799337</t>
  </si>
  <si>
    <t>Cassarà</t>
  </si>
  <si>
    <t>lorenacassara@hotmail.com</t>
  </si>
  <si>
    <t>Max Kämpf-Platz 1</t>
  </si>
  <si>
    <t>0033769375774</t>
  </si>
  <si>
    <t>Yann</t>
  </si>
  <si>
    <t>yprobst@outlook.fr</t>
  </si>
  <si>
    <t>2 rue du cimetiere</t>
  </si>
  <si>
    <t>68220 Hegenheim FR</t>
  </si>
  <si>
    <t>0033619708856</t>
  </si>
  <si>
    <t>Mambre</t>
  </si>
  <si>
    <t>0772499333</t>
  </si>
  <si>
    <t>guillesanchezr@gmail.com</t>
  </si>
  <si>
    <t>Dornacherstrasse 293</t>
  </si>
  <si>
    <t>0772499333-1</t>
  </si>
  <si>
    <t>Hefti</t>
  </si>
  <si>
    <t>0789356789</t>
  </si>
  <si>
    <t>Valentin</t>
  </si>
  <si>
    <t>lopez.b.valentin@gmail.com</t>
  </si>
  <si>
    <t>Riehenring 5</t>
  </si>
  <si>
    <t>0765423525</t>
  </si>
  <si>
    <t>Regina</t>
  </si>
  <si>
    <t>Bucher</t>
  </si>
  <si>
    <t>regina.bucher@sunrise.ch</t>
  </si>
  <si>
    <t>Fuchshagweg 71</t>
  </si>
  <si>
    <t>0763030959</t>
  </si>
  <si>
    <t>Bonjour</t>
  </si>
  <si>
    <t>Sevi_6738@hotmail.com</t>
  </si>
  <si>
    <t>Roggenburgstrasse 6</t>
  </si>
  <si>
    <t>0765027952</t>
  </si>
  <si>
    <t>ju_widmer@yahoo.de</t>
  </si>
  <si>
    <t>00258845115136</t>
  </si>
  <si>
    <t>Joana</t>
  </si>
  <si>
    <t>Falcao</t>
  </si>
  <si>
    <t>falcaojoana333@gmail.com</t>
  </si>
  <si>
    <t>Avenue de Bale 85</t>
  </si>
  <si>
    <t>Saint Louis</t>
  </si>
  <si>
    <t>0788842211</t>
  </si>
  <si>
    <t>Kuipers</t>
  </si>
  <si>
    <t>jack.kuipers@bsse.ethz.ch</t>
  </si>
  <si>
    <t>Weiherhofstrasse 86</t>
  </si>
  <si>
    <t>0788827899</t>
  </si>
  <si>
    <t>Giusi</t>
  </si>
  <si>
    <t>Moffa</t>
  </si>
  <si>
    <t>003931217699</t>
  </si>
  <si>
    <t>Farina</t>
  </si>
  <si>
    <t>Grazia</t>
  </si>
  <si>
    <t>grazia.farina81@gmail.com</t>
  </si>
  <si>
    <t>Elisabethenanlage</t>
  </si>
  <si>
    <t>0033674158402</t>
  </si>
  <si>
    <t>Da Silva</t>
  </si>
  <si>
    <t>ana.dasilva21@yahoo.fr</t>
  </si>
  <si>
    <t>Rue de la Liberation 22</t>
  </si>
  <si>
    <t>0765493095</t>
  </si>
  <si>
    <t>Lima</t>
  </si>
  <si>
    <t>0799422205</t>
  </si>
  <si>
    <t>karinetmeier@googlemail.com</t>
  </si>
  <si>
    <t>Reiterstrasse 4</t>
  </si>
  <si>
    <t>0786394924</t>
  </si>
  <si>
    <t>Srovin Coralli</t>
  </si>
  <si>
    <t>ana.srovin@gmail.com</t>
  </si>
  <si>
    <t>Andlauerstrasse 2</t>
  </si>
  <si>
    <t>0787091094</t>
  </si>
  <si>
    <t>Fernando</t>
  </si>
  <si>
    <t>Alonso Tuero</t>
  </si>
  <si>
    <t>fatuero@gmail.com</t>
  </si>
  <si>
    <t>0786110875</t>
  </si>
  <si>
    <t>rmcagb@yahoo.es</t>
  </si>
  <si>
    <t>Malzgasse 23</t>
  </si>
  <si>
    <t>0798256963</t>
  </si>
  <si>
    <t>luki_riehen@hotmail.com</t>
  </si>
  <si>
    <t>Schützengasse 3</t>
  </si>
  <si>
    <t>0782519313</t>
  </si>
  <si>
    <t>Ellen</t>
  </si>
  <si>
    <t>e.k.schm@gmail.com</t>
  </si>
  <si>
    <t>Thiersteinerallee 60</t>
  </si>
  <si>
    <t>‭0786472860‬</t>
  </si>
  <si>
    <t>Robledano Cabrera</t>
  </si>
  <si>
    <t>0795472459</t>
  </si>
  <si>
    <t>Schüpbach</t>
  </si>
  <si>
    <t>schueppi.si@gmail.com</t>
  </si>
  <si>
    <t>Fadenwegring 23</t>
  </si>
  <si>
    <t>6247 Schötz</t>
  </si>
  <si>
    <t>004917684855150</t>
  </si>
  <si>
    <t>lorenahuber@yahoo.de</t>
  </si>
  <si>
    <t>Bernerring 81</t>
  </si>
  <si>
    <t>8003 Basel</t>
  </si>
  <si>
    <t>004917684855150-1</t>
  </si>
  <si>
    <t>Paco</t>
  </si>
  <si>
    <t>Cerletti</t>
  </si>
  <si>
    <t>paco_cerletti@bluewin.ch</t>
  </si>
  <si>
    <t>0774966764</t>
  </si>
  <si>
    <t>Arina</t>
  </si>
  <si>
    <t>Kadanik</t>
  </si>
  <si>
    <t>0789087490</t>
  </si>
  <si>
    <t>Marion Roberta</t>
  </si>
  <si>
    <t>Neudeck</t>
  </si>
  <si>
    <t>vidyamurti@web.de</t>
  </si>
  <si>
    <t>Bürenfluhstrasse 6</t>
  </si>
  <si>
    <t>004916095592891</t>
  </si>
  <si>
    <t>Emilie</t>
  </si>
  <si>
    <t>Plewnia</t>
  </si>
  <si>
    <t>plewnia.emilie@gmail.com</t>
  </si>
  <si>
    <t>Zechenwihlstrasse 15</t>
  </si>
  <si>
    <t>Murg DE</t>
  </si>
  <si>
    <t>00491797443180</t>
  </si>
  <si>
    <t>William</t>
  </si>
  <si>
    <t>williamsteiger98@gmail.com</t>
  </si>
  <si>
    <t>Hauptstrasse 171b</t>
  </si>
  <si>
    <t>004915737751728</t>
  </si>
  <si>
    <t>Alina</t>
  </si>
  <si>
    <t>Miller</t>
  </si>
  <si>
    <t>0033608776633</t>
  </si>
  <si>
    <t xml:space="preserve">Damian </t>
  </si>
  <si>
    <t>Begue</t>
  </si>
  <si>
    <t>0765180723</t>
  </si>
  <si>
    <t>Oso</t>
  </si>
  <si>
    <t>0792335649</t>
  </si>
  <si>
    <t>0797518674</t>
  </si>
  <si>
    <t>Gasperina</t>
  </si>
  <si>
    <t>lina.gasperina@bluewin.ch</t>
  </si>
  <si>
    <t>Schnetzelenmatt 48</t>
  </si>
  <si>
    <t>0796451269</t>
  </si>
  <si>
    <t>Nils</t>
  </si>
  <si>
    <t>Lienhard</t>
  </si>
  <si>
    <t>nils.lienhard14@gmail.com</t>
  </si>
  <si>
    <t>Blochmonterstrasse 17</t>
  </si>
  <si>
    <t>0762005911</t>
  </si>
  <si>
    <t>Solmaz</t>
  </si>
  <si>
    <t>solmaz.lienhard@gmail.com</t>
  </si>
  <si>
    <t>0787610202</t>
  </si>
  <si>
    <t>Marlon</t>
  </si>
  <si>
    <t>Meurs</t>
  </si>
  <si>
    <t>marlonmeurs@hotmail.com</t>
  </si>
  <si>
    <t>Gorenmattstrasse 4</t>
  </si>
  <si>
    <t>0031646529838</t>
  </si>
  <si>
    <t>Piers</t>
  </si>
  <si>
    <t>da Camino Soligo</t>
  </si>
  <si>
    <t>piers.da.camino.soligo@gmail.com</t>
  </si>
  <si>
    <t>0788882475</t>
  </si>
  <si>
    <t>Nena</t>
  </si>
  <si>
    <t>Stebler</t>
  </si>
  <si>
    <t>nena.stebler@gmail.com</t>
  </si>
  <si>
    <t>Rüttihardstrasse 5</t>
  </si>
  <si>
    <t>0764833182</t>
  </si>
  <si>
    <t>Eichkorn</t>
  </si>
  <si>
    <t>Lehenmattstrasse 284</t>
  </si>
  <si>
    <t>0779984000</t>
  </si>
  <si>
    <t>Matthew</t>
  </si>
  <si>
    <t>Leipner</t>
  </si>
  <si>
    <t>0796700662</t>
  </si>
  <si>
    <t>Olivia</t>
  </si>
  <si>
    <t>Vogt</t>
  </si>
  <si>
    <t>olivia.vogt@me.com</t>
  </si>
  <si>
    <t>Kernmatstrasse 36</t>
  </si>
  <si>
    <t>0764302686</t>
  </si>
  <si>
    <t>Procopia</t>
  </si>
  <si>
    <t>0783101332</t>
  </si>
  <si>
    <t>Michaela</t>
  </si>
  <si>
    <t>Kristakova</t>
  </si>
  <si>
    <t>michaela.kristakova@gmail.com</t>
  </si>
  <si>
    <t>Steinmattweg 19</t>
  </si>
  <si>
    <t>004917645783774</t>
  </si>
  <si>
    <t>004915228916526</t>
  </si>
  <si>
    <t>Wischnowski</t>
  </si>
  <si>
    <t>vivianawischnowski@gmx.de</t>
  </si>
  <si>
    <t>Fasanenweg 15</t>
  </si>
  <si>
    <t>4334 Sisseln</t>
  </si>
  <si>
    <t>0034634426790</t>
  </si>
  <si>
    <t>Imanol</t>
  </si>
  <si>
    <t>Moreno Huerga</t>
  </si>
  <si>
    <t>i.moreno.huerga@gmail.com</t>
  </si>
  <si>
    <t>Feldbergstrasse 57</t>
  </si>
  <si>
    <t>0034648156327</t>
  </si>
  <si>
    <t>Diana</t>
  </si>
  <si>
    <t>Albertos Torres</t>
  </si>
  <si>
    <t>didialbertos@hotmail.com</t>
  </si>
  <si>
    <t>Spitzengartenweg 2</t>
  </si>
  <si>
    <t>0779645700</t>
  </si>
  <si>
    <t>Hetzel</t>
  </si>
  <si>
    <t>a.hetzel1@gmx.de</t>
  </si>
  <si>
    <t>0775329903</t>
  </si>
  <si>
    <t>Barrios</t>
  </si>
  <si>
    <t>barriosva@gmail.com</t>
  </si>
  <si>
    <t>Quellenstrasse 18</t>
  </si>
  <si>
    <t>0775205374</t>
  </si>
  <si>
    <t>Justyna</t>
  </si>
  <si>
    <t>Nowakowska</t>
  </si>
  <si>
    <t>jn.nowakowska@gmail.com</t>
  </si>
  <si>
    <t>Dornacherstrasse</t>
  </si>
  <si>
    <t>00491789727233</t>
  </si>
  <si>
    <t>Caspar</t>
  </si>
  <si>
    <t>larissa.alina.casper@gmail.com</t>
  </si>
  <si>
    <t>Bürgelerweg 1</t>
  </si>
  <si>
    <t>0797374604</t>
  </si>
  <si>
    <t>Schmutz</t>
  </si>
  <si>
    <t>simi_s_88@hotmail.com</t>
  </si>
  <si>
    <t>Giebenacherstrasse 16</t>
  </si>
  <si>
    <t>4302 Augst</t>
  </si>
  <si>
    <t>0778115328</t>
  </si>
  <si>
    <t>Leon</t>
  </si>
  <si>
    <t>Kiper</t>
  </si>
  <si>
    <t>leonkiper@posteo.de</t>
  </si>
  <si>
    <t>Laufenstrasse 22</t>
  </si>
  <si>
    <t>004917623282174-1</t>
  </si>
  <si>
    <t>Kleinsorge</t>
  </si>
  <si>
    <t>0795025930</t>
  </si>
  <si>
    <t>Pamperl</t>
  </si>
  <si>
    <t>elisabeth.pamperl@gmail.com</t>
  </si>
  <si>
    <t>Kraftstrasse 25</t>
  </si>
  <si>
    <t>0031648858069</t>
  </si>
  <si>
    <t>Jasarevic</t>
  </si>
  <si>
    <t>v.jasarevic@mail.com</t>
  </si>
  <si>
    <t>Kapellenstrasse 17</t>
  </si>
  <si>
    <t>0031616430569</t>
  </si>
  <si>
    <t>Calin</t>
  </si>
  <si>
    <t>0762022093</t>
  </si>
  <si>
    <t>Ebert</t>
  </si>
  <si>
    <t>p.ebert@mail.ch</t>
  </si>
  <si>
    <t>Fiechtenweg 27</t>
  </si>
  <si>
    <t>00966553977177</t>
  </si>
  <si>
    <t>Hamad</t>
  </si>
  <si>
    <t>Alllahem</t>
  </si>
  <si>
    <t>hlahim@yahoo.com</t>
  </si>
  <si>
    <t>Schützenmattstrasse 30</t>
  </si>
  <si>
    <t>0796124696</t>
  </si>
  <si>
    <t>lottiegonzalez@gmail.com</t>
  </si>
  <si>
    <t>Seltisbergerstrasse 74</t>
  </si>
  <si>
    <t>0763614487</t>
  </si>
  <si>
    <t>Völler</t>
  </si>
  <si>
    <t>mo.schwarzburg-1@yahoo.com</t>
  </si>
  <si>
    <t>Kandererstrasse 25</t>
  </si>
  <si>
    <t>0789710059</t>
  </si>
  <si>
    <t>Hediger</t>
  </si>
  <si>
    <t>lea.hediger@hotmail.ch</t>
  </si>
  <si>
    <t>Zweiengasse 5</t>
  </si>
  <si>
    <t>0799633676</t>
  </si>
  <si>
    <t>Planella</t>
  </si>
  <si>
    <t>michelle.planella@bluewin.ch</t>
  </si>
  <si>
    <t>Hochlettenstrasse 13</t>
  </si>
  <si>
    <t>0792981138</t>
  </si>
  <si>
    <t>Rossel</t>
  </si>
  <si>
    <t>0765110517</t>
  </si>
  <si>
    <t>0764071606</t>
  </si>
  <si>
    <t>Atilla</t>
  </si>
  <si>
    <t>Toptas</t>
  </si>
  <si>
    <t>toptas.atilla@bluewin.ch</t>
  </si>
  <si>
    <t>Austrasse 79</t>
  </si>
  <si>
    <t>0786593105</t>
  </si>
  <si>
    <t>Pfefferle</t>
  </si>
  <si>
    <t>jo.pfefferle@hotmail.de</t>
  </si>
  <si>
    <t>Luzernerring</t>
  </si>
  <si>
    <t>0786490429</t>
  </si>
  <si>
    <t>Burgert</t>
  </si>
  <si>
    <t>0794697244</t>
  </si>
  <si>
    <t>Aldijana</t>
  </si>
  <si>
    <t>Pargan</t>
  </si>
  <si>
    <t>aldijana.pargan@gmail.com</t>
  </si>
  <si>
    <t>Dornachweg 15</t>
  </si>
  <si>
    <t>0782200954</t>
  </si>
  <si>
    <t>Handschin</t>
  </si>
  <si>
    <t>anita.handschin@hotmail.com</t>
  </si>
  <si>
    <t>0772561565</t>
  </si>
  <si>
    <t>michelfroehlich@gmx.ch</t>
  </si>
  <si>
    <t>Margarethenstrasse 63</t>
  </si>
  <si>
    <t>0772561565-1</t>
  </si>
  <si>
    <t>Graber</t>
  </si>
  <si>
    <t>0782421252</t>
  </si>
  <si>
    <t>Neuhausstrasse 8</t>
  </si>
  <si>
    <t>0033786514296</t>
  </si>
  <si>
    <t>Laure</t>
  </si>
  <si>
    <t>Plasseraud</t>
  </si>
  <si>
    <t>lplasseraud@yahoo.co.uk</t>
  </si>
  <si>
    <t>20b Rue Du Stade</t>
  </si>
  <si>
    <t>68220 Leymen</t>
  </si>
  <si>
    <t>0788428182</t>
  </si>
  <si>
    <t>pascal.steiner@me.com</t>
  </si>
  <si>
    <t>Bündtenmattstrasse 50</t>
  </si>
  <si>
    <t>0795796321</t>
  </si>
  <si>
    <t>Léonie</t>
  </si>
  <si>
    <t>0786892855</t>
  </si>
  <si>
    <t>Renzo</t>
  </si>
  <si>
    <t>Del Carlo</t>
  </si>
  <si>
    <t>renzod3lcarlo@gmail.com</t>
  </si>
  <si>
    <t>Thiersteinerallee 76</t>
  </si>
  <si>
    <t>0795816915</t>
  </si>
  <si>
    <t>0775284631</t>
  </si>
  <si>
    <t>Lächleweg 9</t>
  </si>
  <si>
    <t>0765947931</t>
  </si>
  <si>
    <t>Ly</t>
  </si>
  <si>
    <t>angela-ly_93@hotmail.com</t>
  </si>
  <si>
    <t>Burgunderstrasse 31</t>
  </si>
  <si>
    <t>0787222311</t>
  </si>
  <si>
    <t>Horbaty</t>
  </si>
  <si>
    <t>patyhorbaty@gmail.com</t>
  </si>
  <si>
    <t>Kreuznagelweg 1</t>
  </si>
  <si>
    <t>004917657610283</t>
  </si>
  <si>
    <t>Viktoria</t>
  </si>
  <si>
    <t>Nömer</t>
  </si>
  <si>
    <t>viktoria.noemer@gmx.de</t>
  </si>
  <si>
    <t>00491747067918</t>
  </si>
  <si>
    <t>Schumacher</t>
  </si>
  <si>
    <t>helena-schumacher@web.de</t>
  </si>
  <si>
    <t>Wiesenstrasse 19</t>
  </si>
  <si>
    <t>79227 Schallstadt</t>
  </si>
  <si>
    <t>004915782965840</t>
  </si>
  <si>
    <t>Nicholas</t>
  </si>
  <si>
    <t>Wiedmaier</t>
  </si>
  <si>
    <t>nicholasrwiedmaier@web.de</t>
  </si>
  <si>
    <t>Adelbergstraße 9</t>
  </si>
  <si>
    <t>79618 Rheinfelden</t>
  </si>
  <si>
    <t>004915786102101</t>
  </si>
  <si>
    <t>laurasrsan@gmail.com</t>
  </si>
  <si>
    <t>00491772474490</t>
  </si>
  <si>
    <t>roberto.selina@web.de</t>
  </si>
  <si>
    <t>Freiburg</t>
  </si>
  <si>
    <t>0778201586</t>
  </si>
  <si>
    <t>Polley</t>
  </si>
  <si>
    <t>lucapolley@mailbox.org</t>
  </si>
  <si>
    <t>0772766506</t>
  </si>
  <si>
    <t>Miruna</t>
  </si>
  <si>
    <t>Bontas</t>
  </si>
  <si>
    <t>bontasmiruna@gmail.com</t>
  </si>
  <si>
    <t>0797125063</t>
  </si>
  <si>
    <t>Vollmer</t>
  </si>
  <si>
    <t>vollmer.da@gmx.ch</t>
  </si>
  <si>
    <t>Kasernenstrasse 30</t>
  </si>
  <si>
    <t>0799001197</t>
  </si>
  <si>
    <t>Indra</t>
  </si>
  <si>
    <t>oliver.indra@unibas.ch</t>
  </si>
  <si>
    <t>Spechtweg 18</t>
  </si>
  <si>
    <t>0767119003</t>
  </si>
  <si>
    <t>Oleg</t>
  </si>
  <si>
    <t>Vöhringer</t>
  </si>
  <si>
    <t>ovoehringer@pm.me</t>
  </si>
  <si>
    <t>Hammerstrasse 15</t>
  </si>
  <si>
    <t>0793472276</t>
  </si>
  <si>
    <t>Aurelia</t>
  </si>
  <si>
    <t>Hartung</t>
  </si>
  <si>
    <t>aurelia.hartung@hotmail.com</t>
  </si>
  <si>
    <t>Missionsstrasse 35 B</t>
  </si>
  <si>
    <t>0794850816</t>
  </si>
  <si>
    <t>Fernanda</t>
  </si>
  <si>
    <t>Brand</t>
  </si>
  <si>
    <t>fernandabrand56@gmail.com</t>
  </si>
  <si>
    <t>Flughafenstrasse 41</t>
  </si>
  <si>
    <t>0798696601</t>
  </si>
  <si>
    <t>Leiser</t>
  </si>
  <si>
    <t>corinneleiser@bluewin.ch</t>
  </si>
  <si>
    <t>0763352088</t>
  </si>
  <si>
    <t>Ceric</t>
  </si>
  <si>
    <t>0763881844</t>
  </si>
  <si>
    <t>Marvyn</t>
  </si>
  <si>
    <t>Aban</t>
  </si>
  <si>
    <t>marvyn.aban@gmx.ch</t>
  </si>
  <si>
    <t>0764789727</t>
  </si>
  <si>
    <t>Ariana</t>
  </si>
  <si>
    <t>ariana.roethlisberger@eigenerweg.com</t>
  </si>
  <si>
    <t>Eptingerstrasse 17</t>
  </si>
  <si>
    <t>0033673403130</t>
  </si>
  <si>
    <t>Joel</t>
  </si>
  <si>
    <t>d'Errico</t>
  </si>
  <si>
    <t>joel.derrico@orange.fr</t>
  </si>
  <si>
    <t>32 rue du Tribunal</t>
  </si>
  <si>
    <t>68730 Blotzheim</t>
  </si>
  <si>
    <t>0044779229792</t>
  </si>
  <si>
    <t>Palmerini</t>
  </si>
  <si>
    <t>marianna.palmerini@gmail.com</t>
  </si>
  <si>
    <t>Dornacherstrasse 317</t>
  </si>
  <si>
    <t>0762479750</t>
  </si>
  <si>
    <t>Noëmi Deborah</t>
  </si>
  <si>
    <t>Hässli</t>
  </si>
  <si>
    <t>noemi.haessle@gmail.com</t>
  </si>
  <si>
    <t>Wasgenring 98</t>
  </si>
  <si>
    <t>0791014956</t>
  </si>
  <si>
    <t>Patrik</t>
  </si>
  <si>
    <t>Büchel</t>
  </si>
  <si>
    <t>p.buechel@hotmail.com</t>
  </si>
  <si>
    <t>0787168599</t>
  </si>
  <si>
    <t>christan.knapp@tum.de</t>
  </si>
  <si>
    <t>Laufenstrasse 62</t>
  </si>
  <si>
    <t>0787097862</t>
  </si>
  <si>
    <t>fb.fischer@web.de</t>
  </si>
  <si>
    <t>Gotthelfstrasse 93</t>
  </si>
  <si>
    <t>0793567229</t>
  </si>
  <si>
    <t>Sohrmann</t>
  </si>
  <si>
    <t>sohrmann@teleport.ch</t>
  </si>
  <si>
    <t>Bettingerstrasse 11</t>
  </si>
  <si>
    <t>004915161616134</t>
  </si>
  <si>
    <t>Laszlo</t>
  </si>
  <si>
    <t>Wiesner</t>
  </si>
  <si>
    <t>laszlo.wiesner@icloud.com</t>
  </si>
  <si>
    <t>Bahnhofstrasse 22</t>
  </si>
  <si>
    <t>79400 Kandern</t>
  </si>
  <si>
    <t>0766422943</t>
  </si>
  <si>
    <t>Thiele</t>
  </si>
  <si>
    <t>sarah.l.thiele@gmail.com</t>
  </si>
  <si>
    <t>Immengasse 7</t>
  </si>
  <si>
    <t>0766422943-1</t>
  </si>
  <si>
    <t>00491711047608</t>
  </si>
  <si>
    <t>Kristin</t>
  </si>
  <si>
    <t>Sattler</t>
  </si>
  <si>
    <t>kristineinhausen@aol.com</t>
  </si>
  <si>
    <t>Dornacherstrasse 124</t>
  </si>
  <si>
    <t>0799392908</t>
  </si>
  <si>
    <t>Paolo</t>
  </si>
  <si>
    <t>Pangrazi</t>
  </si>
  <si>
    <t>paolo.pangrazi@gmail.com</t>
  </si>
  <si>
    <t>Wuhrmattstrasse 31</t>
  </si>
  <si>
    <t>0799392908-1</t>
  </si>
  <si>
    <t>0798591385</t>
  </si>
  <si>
    <t>Groebke Zbinden</t>
  </si>
  <si>
    <t>kgz@bluewin.ch</t>
  </si>
  <si>
    <t>Laubibergstrasse 61</t>
  </si>
  <si>
    <t>Liestal</t>
  </si>
  <si>
    <t>0797706911</t>
  </si>
  <si>
    <t>Rey</t>
  </si>
  <si>
    <t>Reyka@bluewin.ch</t>
  </si>
  <si>
    <t>In den Schorenmatten 89</t>
  </si>
  <si>
    <t>0793369750</t>
  </si>
  <si>
    <t>Lorenzo</t>
  </si>
  <si>
    <t>Ponti</t>
  </si>
  <si>
    <t>0764968863</t>
  </si>
  <si>
    <t>Zaffora</t>
  </si>
  <si>
    <t>004915758899652</t>
  </si>
  <si>
    <t>Schreckenberg</t>
  </si>
  <si>
    <t>nc-schrecma@netcologne.de</t>
  </si>
  <si>
    <t>Muttenzerstrasse 56</t>
  </si>
  <si>
    <t>0763704188</t>
  </si>
  <si>
    <t>Echavarria</t>
  </si>
  <si>
    <t>mae456@hotmail.com</t>
  </si>
  <si>
    <t>Auf der wacht 6b</t>
  </si>
  <si>
    <t>0763704188-1</t>
  </si>
  <si>
    <t>Matteo</t>
  </si>
  <si>
    <t>Bombara</t>
  </si>
  <si>
    <t>004917613463863</t>
  </si>
  <si>
    <t>Reichardt</t>
  </si>
  <si>
    <t>alexreichardt92@gmail.com</t>
  </si>
  <si>
    <t>0799228410</t>
  </si>
  <si>
    <t>Devin</t>
  </si>
  <si>
    <t>Fehr</t>
  </si>
  <si>
    <t>devin.fehr@yahoo.com</t>
  </si>
  <si>
    <t>schoorenweg 1A</t>
  </si>
  <si>
    <t>Ammerswil</t>
  </si>
  <si>
    <t>0799228410-1</t>
  </si>
  <si>
    <t>Nilani</t>
  </si>
  <si>
    <t>Antonxavier</t>
  </si>
  <si>
    <t>Meral</t>
  </si>
  <si>
    <t>Bozkiraç</t>
  </si>
  <si>
    <t>meral.bozkirac@gmail.com</t>
  </si>
  <si>
    <t>Drahtzugstrasse 54</t>
  </si>
  <si>
    <t>0766807085</t>
  </si>
  <si>
    <t>Ezgi</t>
  </si>
  <si>
    <t>Yilmaz</t>
  </si>
  <si>
    <t>ezgi.Y@gmx.ch</t>
  </si>
  <si>
    <t>Zürcherstrasse 23</t>
  </si>
  <si>
    <t>004915752674492</t>
  </si>
  <si>
    <t>Jacob</t>
  </si>
  <si>
    <t>Fischer-Barnicol</t>
  </si>
  <si>
    <t>jacob.fischer-barnicol@gmx.de</t>
  </si>
  <si>
    <t>Lothringerstrasse 94</t>
  </si>
  <si>
    <t>0763371072</t>
  </si>
  <si>
    <t>Lola</t>
  </si>
  <si>
    <t>Blum</t>
  </si>
  <si>
    <t>0792296050</t>
  </si>
  <si>
    <t>Dörner</t>
  </si>
  <si>
    <t>a.doerner@gmx.ch</t>
  </si>
  <si>
    <t>Elsässerstrasse 139</t>
  </si>
  <si>
    <t>0792296050-1</t>
  </si>
  <si>
    <t>c.doerner@gmx.de</t>
  </si>
  <si>
    <t>0799239039</t>
  </si>
  <si>
    <t>Bernabeu</t>
  </si>
  <si>
    <t>i_berbeu@hotmail.com</t>
  </si>
  <si>
    <t>In den Holeematten 2</t>
  </si>
  <si>
    <t>0764647450</t>
  </si>
  <si>
    <t>Bussalleu</t>
  </si>
  <si>
    <t>004915202307191</t>
  </si>
  <si>
    <t>Feutel</t>
  </si>
  <si>
    <t>0792003541</t>
  </si>
  <si>
    <t xml:space="preserve">Marina </t>
  </si>
  <si>
    <t>Aeschimann</t>
  </si>
  <si>
    <t>0797667838</t>
  </si>
  <si>
    <t>Jazz</t>
  </si>
  <si>
    <t>Panchoo</t>
  </si>
  <si>
    <t>jpanchoo968@gmail.com</t>
  </si>
  <si>
    <t>Dornacherstrasse 163</t>
  </si>
  <si>
    <t>0794139681</t>
  </si>
  <si>
    <t>Luigi</t>
  </si>
  <si>
    <t>Ferraro</t>
  </si>
  <si>
    <t>luigi.ferraro@bluewin.ch</t>
  </si>
  <si>
    <t>00491607883468</t>
  </si>
  <si>
    <t>Regine</t>
  </si>
  <si>
    <t>Trenkle</t>
  </si>
  <si>
    <t>rt@amabiente.com</t>
  </si>
  <si>
    <t>0798017331</t>
  </si>
  <si>
    <t>Pinto</t>
  </si>
  <si>
    <t>pinto.ana.80@gmail.com</t>
  </si>
  <si>
    <t>2012 Auvernier</t>
  </si>
  <si>
    <t>0797085072</t>
  </si>
  <si>
    <t>Colaci</t>
  </si>
  <si>
    <t>lucia.colaci@juriconsult.ch</t>
  </si>
  <si>
    <t>2037 Montezillon</t>
  </si>
  <si>
    <t>0782560300</t>
  </si>
  <si>
    <t>Jaime</t>
  </si>
  <si>
    <t>Fernandez de Santaella</t>
  </si>
  <si>
    <t>jaimesantaella@gmail.com</t>
  </si>
  <si>
    <t>Erlenstrasse 59</t>
  </si>
  <si>
    <t>00447865685869</t>
  </si>
  <si>
    <t>Madau</t>
  </si>
  <si>
    <t>0795737253</t>
  </si>
  <si>
    <t>Gianluca</t>
  </si>
  <si>
    <t>Rossato</t>
  </si>
  <si>
    <t>gianluca.rossato@gmail.com</t>
  </si>
  <si>
    <t>Baldeggerstrasse 30</t>
  </si>
  <si>
    <t>0762656385</t>
  </si>
  <si>
    <t>Ceccarelli</t>
  </si>
  <si>
    <t>ceccarelli.giulia@hotmail.com</t>
  </si>
  <si>
    <t>0794290594</t>
  </si>
  <si>
    <t>Surace</t>
  </si>
  <si>
    <t>claudio.surace@gmail.com</t>
  </si>
  <si>
    <t>0794290594-1</t>
  </si>
  <si>
    <t>Rocchetti</t>
  </si>
  <si>
    <t>giorgiarocchetti@yahoo.it</t>
  </si>
  <si>
    <t>0796592335</t>
  </si>
  <si>
    <t>Imhof</t>
  </si>
  <si>
    <t>s.imhof@zsl-so.ch</t>
  </si>
  <si>
    <t>Rue du Waldeck 3a</t>
  </si>
  <si>
    <t>0795616431</t>
  </si>
  <si>
    <t>Nussbaumer</t>
  </si>
  <si>
    <t>004917634539169</t>
  </si>
  <si>
    <t>Ulrike</t>
  </si>
  <si>
    <t>ulrike-schulz2@gmx.de</t>
  </si>
  <si>
    <t>Bei den Gärten 17/3</t>
  </si>
  <si>
    <t>0793534145</t>
  </si>
  <si>
    <t>jessica-lanz@hotmail.com</t>
  </si>
  <si>
    <t>Margarethenstrasse 54</t>
  </si>
  <si>
    <t>0793534145-1</t>
  </si>
  <si>
    <t>Inan</t>
  </si>
  <si>
    <t>Gökdemir</t>
  </si>
  <si>
    <t>inan.goekdemir@gmail.com</t>
  </si>
  <si>
    <t>0763878274</t>
  </si>
  <si>
    <t>Garn</t>
  </si>
  <si>
    <t>kevin.garn@hotmail.com</t>
  </si>
  <si>
    <t>Eggstrasse 35</t>
  </si>
  <si>
    <t>0797757326</t>
  </si>
  <si>
    <t>Finkler</t>
  </si>
  <si>
    <t>salsa@finkler.me</t>
  </si>
  <si>
    <t>Missionsstrasse 57</t>
  </si>
  <si>
    <t>0786796760</t>
  </si>
  <si>
    <t>Murielle</t>
  </si>
  <si>
    <t>Ritzmann</t>
  </si>
  <si>
    <t>ritzmann.murielle@gmail.com</t>
  </si>
  <si>
    <t>Wallbach</t>
  </si>
  <si>
    <t>0798493965</t>
  </si>
  <si>
    <t>Schärz</t>
  </si>
  <si>
    <t>myrian.schaerz@gmail.com</t>
  </si>
  <si>
    <t>Bahnhofstrasse 82</t>
  </si>
  <si>
    <t>0762815224</t>
  </si>
  <si>
    <t>Bauer</t>
  </si>
  <si>
    <t>ankebauer8@gmail.com</t>
  </si>
  <si>
    <t>0765145287</t>
  </si>
  <si>
    <t>joelferreira@outlook.de</t>
  </si>
  <si>
    <t>0792494409</t>
  </si>
  <si>
    <t>Kasper</t>
  </si>
  <si>
    <t>bkasper@bluewin.ch</t>
  </si>
  <si>
    <t>Mitteldorf 14</t>
  </si>
  <si>
    <t>0763434134</t>
  </si>
  <si>
    <t>Sabina</t>
  </si>
  <si>
    <t>Ziberi</t>
  </si>
  <si>
    <t>s_ziberi@hotmail.ch</t>
  </si>
  <si>
    <t>Flühstrasse 39</t>
  </si>
  <si>
    <t>4114 Hofstetten</t>
  </si>
  <si>
    <t>0786584192</t>
  </si>
  <si>
    <t>Kym</t>
  </si>
  <si>
    <t>mirjam.kym@bluewin.ch</t>
  </si>
  <si>
    <t>Weidenpark 7</t>
  </si>
  <si>
    <t>0765150001</t>
  </si>
  <si>
    <t>Gut</t>
  </si>
  <si>
    <t>billygut@gmx.ch</t>
  </si>
  <si>
    <t>Unterdorfstrasse 6</t>
  </si>
  <si>
    <t>4223 Blauen</t>
  </si>
  <si>
    <t>0788055808</t>
  </si>
  <si>
    <t>Marchetti</t>
  </si>
  <si>
    <t>sylvia.marchetti@gmx.ch</t>
  </si>
  <si>
    <t>Zollstrasse 18</t>
  </si>
  <si>
    <t>4124 Schönenbuch</t>
  </si>
  <si>
    <t>0766415152</t>
  </si>
  <si>
    <t>Bustos</t>
  </si>
  <si>
    <t>cristinabustosro@gmail.com</t>
  </si>
  <si>
    <t>Wallstrasse 21</t>
  </si>
  <si>
    <t>0768241394</t>
  </si>
  <si>
    <t>Asli</t>
  </si>
  <si>
    <t>Yavas</t>
  </si>
  <si>
    <t>asli.yavas77@gmail.com</t>
  </si>
  <si>
    <t>St. Jakobs-Strasse 187</t>
  </si>
  <si>
    <t>0768241394-1</t>
  </si>
  <si>
    <t>00491756085499</t>
  </si>
  <si>
    <t>Hohmann</t>
  </si>
  <si>
    <t>clarahohmann@yahoo.de</t>
  </si>
  <si>
    <t>Laufenstrasse 66</t>
  </si>
  <si>
    <t>0784218543</t>
  </si>
  <si>
    <t>Hilfenhaus</t>
  </si>
  <si>
    <t>ethisch.saeulen_0e@icloud.com</t>
  </si>
  <si>
    <t>0798918936</t>
  </si>
  <si>
    <t>beautydreams@bluewin.ch</t>
  </si>
  <si>
    <t>Im Gwidem 12</t>
  </si>
  <si>
    <t>00491799782143</t>
  </si>
  <si>
    <t>Wienkamp</t>
  </si>
  <si>
    <t>g.wienkamp@o2online.de</t>
  </si>
  <si>
    <t>Austraße 15</t>
  </si>
  <si>
    <t>79540 Lörrach</t>
  </si>
  <si>
    <t>00491739079394</t>
  </si>
  <si>
    <t>Giuseppe</t>
  </si>
  <si>
    <t>Grillo</t>
  </si>
  <si>
    <t>giuseppe.grillo@web.de</t>
  </si>
  <si>
    <t>Zähringerstrasse 48</t>
  </si>
  <si>
    <t>Neuenburg</t>
  </si>
  <si>
    <t>0765719154</t>
  </si>
  <si>
    <t>Doris</t>
  </si>
  <si>
    <t>Aznar</t>
  </si>
  <si>
    <t>doris_aznar@hotmail.com</t>
  </si>
  <si>
    <t>0799425660</t>
  </si>
  <si>
    <t>Madina</t>
  </si>
  <si>
    <t>Umbetova</t>
  </si>
  <si>
    <t>madina.umbetova@mail.ru</t>
  </si>
  <si>
    <t>Bärenbrunnenweg 24</t>
  </si>
  <si>
    <t>0765276779</t>
  </si>
  <si>
    <t>Bruderholzstrasse 32</t>
  </si>
  <si>
    <t>0799660500</t>
  </si>
  <si>
    <t>Greussing</t>
  </si>
  <si>
    <t>carina_greussing@hotmail.com</t>
  </si>
  <si>
    <t>Rebgasse 43</t>
  </si>
  <si>
    <t>0762082540</t>
  </si>
  <si>
    <t>Nathalie Käthe</t>
  </si>
  <si>
    <t>Linke Aguirre</t>
  </si>
  <si>
    <t>linkeaguirrenatalie@gmail.com</t>
  </si>
  <si>
    <t>Zehntenstrasse 10B</t>
  </si>
  <si>
    <t>0798569600</t>
  </si>
  <si>
    <t>Umut</t>
  </si>
  <si>
    <t>Paldir</t>
  </si>
  <si>
    <t>umut.paldir@gmail.com</t>
  </si>
  <si>
    <t>Erzenbergstrasse 64</t>
  </si>
  <si>
    <t>0766385109</t>
  </si>
  <si>
    <t>Nir</t>
  </si>
  <si>
    <t>Sharkany</t>
  </si>
  <si>
    <t>n9irsharkany@gmail.com</t>
  </si>
  <si>
    <t>Blumenrain 16</t>
  </si>
  <si>
    <t>0766385109-1</t>
  </si>
  <si>
    <t>Ronit</t>
  </si>
  <si>
    <t>0794845019</t>
  </si>
  <si>
    <t>Bolli</t>
  </si>
  <si>
    <t>0796341892</t>
  </si>
  <si>
    <t>Ackermann</t>
  </si>
  <si>
    <t>flavio.ackermann@gmail.com</t>
  </si>
  <si>
    <t>Ackerstrasse 48</t>
  </si>
  <si>
    <t>0789128420</t>
  </si>
  <si>
    <t>Rivas</t>
  </si>
  <si>
    <t>0795059509</t>
  </si>
  <si>
    <t>Bograd</t>
  </si>
  <si>
    <t>johazelhular.bograd@bayer.com</t>
  </si>
  <si>
    <t>0784086247</t>
  </si>
  <si>
    <t>Jeronimo</t>
  </si>
  <si>
    <t>Andura</t>
  </si>
  <si>
    <t>jero-andura@hotmail.de</t>
  </si>
  <si>
    <t>Tellstrasse 5</t>
  </si>
  <si>
    <t>0784086247-1</t>
  </si>
  <si>
    <t>Chloe</t>
  </si>
  <si>
    <t>Petris</t>
  </si>
  <si>
    <t>0796592335-1</t>
  </si>
  <si>
    <t>0794579616</t>
  </si>
  <si>
    <t>Ricarda</t>
  </si>
  <si>
    <t>ricardastuder@yahoo.com</t>
  </si>
  <si>
    <t>0033663793442</t>
  </si>
  <si>
    <t>Abisur</t>
  </si>
  <si>
    <t>vievia971@gmailc.om</t>
  </si>
  <si>
    <t>rue de Habsheim 10B</t>
  </si>
  <si>
    <t>68170 Rixheim</t>
  </si>
  <si>
    <t>0763765559</t>
  </si>
  <si>
    <t>Idania</t>
  </si>
  <si>
    <t>Petullo</t>
  </si>
  <si>
    <t>0792181800</t>
  </si>
  <si>
    <t>Miele</t>
  </si>
  <si>
    <t>0767015095</t>
  </si>
  <si>
    <t>Saul</t>
  </si>
  <si>
    <t>Aguilar</t>
  </si>
  <si>
    <t>0787041875</t>
  </si>
  <si>
    <t>Calvin</t>
  </si>
  <si>
    <t>Donatiello</t>
  </si>
  <si>
    <t>0765610894</t>
  </si>
  <si>
    <t>Baumgartl</t>
  </si>
  <si>
    <t>baumgartl_linda@yahoo.de</t>
  </si>
  <si>
    <t>Mattenweg 2</t>
  </si>
  <si>
    <t>Pratteln</t>
  </si>
  <si>
    <t>0796557312</t>
  </si>
  <si>
    <t>Anne-Marie</t>
  </si>
  <si>
    <t>anne_marie.k@hotmail.com</t>
  </si>
  <si>
    <t>Blauenstrasse 35</t>
  </si>
  <si>
    <t>0764372013</t>
  </si>
  <si>
    <t>Radojicic</t>
  </si>
  <si>
    <t>lidiaradojicic@gmx.ch</t>
  </si>
  <si>
    <t>Im Reinacherhof 25</t>
  </si>
  <si>
    <t>0799499212</t>
  </si>
  <si>
    <t>Jamie</t>
  </si>
  <si>
    <t>Avila</t>
  </si>
  <si>
    <t>jamiec.avila@gmail.com</t>
  </si>
  <si>
    <t>Gartenstrasse 20</t>
  </si>
  <si>
    <t>0787481497</t>
  </si>
  <si>
    <t>Wacker</t>
  </si>
  <si>
    <t>nico.wacker@gmx.ch</t>
  </si>
  <si>
    <t>0764883636</t>
  </si>
  <si>
    <t>Lajtman</t>
  </si>
  <si>
    <t>marta.lajtman@gmail.com</t>
  </si>
  <si>
    <t>Holeeholzweg 17</t>
  </si>
  <si>
    <t>0763227044</t>
  </si>
  <si>
    <t>Jose</t>
  </si>
  <si>
    <t>Masar</t>
  </si>
  <si>
    <t>mojzismasar@gmail.com</t>
  </si>
  <si>
    <t>Vogesenstrasse 70</t>
  </si>
  <si>
    <t>0764842166</t>
  </si>
  <si>
    <t>Cansu</t>
  </si>
  <si>
    <t>Suna</t>
  </si>
  <si>
    <t>cansusuna@hotmail.com</t>
  </si>
  <si>
    <t>0765131639</t>
  </si>
  <si>
    <t>Özgür</t>
  </si>
  <si>
    <t>Genc</t>
  </si>
  <si>
    <t>ozgurgenc@gmail.com</t>
  </si>
  <si>
    <t>Burgfelderstrasse 9</t>
  </si>
  <si>
    <t>0774629552</t>
  </si>
  <si>
    <t>Karine</t>
  </si>
  <si>
    <t>Baader</t>
  </si>
  <si>
    <t>karin.baader94@gmail.com</t>
  </si>
  <si>
    <t>Jurastrasse 49</t>
  </si>
  <si>
    <t>0791223163</t>
  </si>
  <si>
    <t>simon.kottmann@outlook.com</t>
  </si>
  <si>
    <t>004917632111012</t>
  </si>
  <si>
    <t>Helmut</t>
  </si>
  <si>
    <t>Trippel</t>
  </si>
  <si>
    <t>helmuttrippel@web.de</t>
  </si>
  <si>
    <t>Bottmingerstr 40</t>
  </si>
  <si>
    <t>0789173988</t>
  </si>
  <si>
    <t>Vögtli</t>
  </si>
  <si>
    <t>eli.voegtli@gmail.com</t>
  </si>
  <si>
    <t>Hegenheimerstrasse 100</t>
  </si>
  <si>
    <t>0792656810</t>
  </si>
  <si>
    <t>Buss</t>
  </si>
  <si>
    <t>elena.buss@gmx.ch</t>
  </si>
  <si>
    <t>Belchenring 8</t>
  </si>
  <si>
    <t>0796707790</t>
  </si>
  <si>
    <t>Sally</t>
  </si>
  <si>
    <t>sally@senn.pro</t>
  </si>
  <si>
    <t>Hauptstrasse 23</t>
  </si>
  <si>
    <t>0798286819</t>
  </si>
  <si>
    <t>xenia.schneider@hotmail.com</t>
  </si>
  <si>
    <t>Blauensteinerstrasse</t>
  </si>
  <si>
    <t>0797247117</t>
  </si>
  <si>
    <t>Hitz</t>
  </si>
  <si>
    <t>vanessahitz@gmx.ch</t>
  </si>
  <si>
    <t>Frobenstrasse 42</t>
  </si>
  <si>
    <t>0798081849</t>
  </si>
  <si>
    <t>Bailach</t>
  </si>
  <si>
    <t>annabailach94@gmail.com</t>
  </si>
  <si>
    <t>Hochstrasse 51</t>
  </si>
  <si>
    <t>0798791583</t>
  </si>
  <si>
    <t>Tatjana</t>
  </si>
  <si>
    <t>Miskovic</t>
  </si>
  <si>
    <t>tatjana.miskov@gmail.com</t>
  </si>
  <si>
    <t>Baselmattweg 153</t>
  </si>
  <si>
    <t>004915734232765</t>
  </si>
  <si>
    <t>schmidtjuliane25@hotmail.de</t>
  </si>
  <si>
    <t>Riedlistrasse</t>
  </si>
  <si>
    <t>004915734232765-1</t>
  </si>
  <si>
    <t>Sharmi</t>
  </si>
  <si>
    <t>Sibvasubramaniam</t>
  </si>
  <si>
    <t>0791015721</t>
  </si>
  <si>
    <t>Lomma</t>
  </si>
  <si>
    <t>sabrinalomma@hotmail.com</t>
  </si>
  <si>
    <t>Colmarerstrasse 124</t>
  </si>
  <si>
    <t>0765651655</t>
  </si>
  <si>
    <t>0799147278</t>
  </si>
  <si>
    <t>Heeb</t>
  </si>
  <si>
    <t>iriniheeb@gmx.ch</t>
  </si>
  <si>
    <t>Bahnhofstrasse 14</t>
  </si>
  <si>
    <t>0798923711</t>
  </si>
  <si>
    <t>Niki</t>
  </si>
  <si>
    <t>niki.muller115@gmail.com</t>
  </si>
  <si>
    <t>Nunningerstrasse 7</t>
  </si>
  <si>
    <t>Grellingen</t>
  </si>
  <si>
    <t>0786659394</t>
  </si>
  <si>
    <t>Carole</t>
  </si>
  <si>
    <t>Del Degan</t>
  </si>
  <si>
    <t>carole.dd@hispeed.ch</t>
  </si>
  <si>
    <t>Rennweg 25</t>
  </si>
  <si>
    <t>4001 Basel</t>
  </si>
  <si>
    <t>0764714458</t>
  </si>
  <si>
    <t>Giannattasio</t>
  </si>
  <si>
    <t>marcogiannattasio2000@gmail.com</t>
  </si>
  <si>
    <t>Holderstrasse 14</t>
  </si>
  <si>
    <t>00393319134992</t>
  </si>
  <si>
    <t>Benedetta</t>
  </si>
  <si>
    <t>Antognoli</t>
  </si>
  <si>
    <t>benedetta.antognoli@roche.com</t>
  </si>
  <si>
    <t>0798111059</t>
  </si>
  <si>
    <t>m.leiser@bluewin.ch</t>
  </si>
  <si>
    <t>Rainallee 167</t>
  </si>
  <si>
    <t>00393890432458</t>
  </si>
  <si>
    <t>Dal Monte</t>
  </si>
  <si>
    <t>dalmonte.greta@gmail.com</t>
  </si>
  <si>
    <t>Drahtzugstrasse 62</t>
  </si>
  <si>
    <t>00393491966713</t>
  </si>
  <si>
    <t>Cervini</t>
  </si>
  <si>
    <t>marticervini@gmail.com</t>
  </si>
  <si>
    <t>004915122464231</t>
  </si>
  <si>
    <t>D'Angelo</t>
  </si>
  <si>
    <t>oliviadangelo4@gmail.com</t>
  </si>
  <si>
    <t>Kanderner Strasse 39</t>
  </si>
  <si>
    <t>79588 Efringen-Kirchen</t>
  </si>
  <si>
    <t>0782042740</t>
  </si>
  <si>
    <t>Benitez</t>
  </si>
  <si>
    <t>ebenitezgarcia@gmail.com</t>
  </si>
  <si>
    <t>Malzgasse 12</t>
  </si>
  <si>
    <t>0763771609</t>
  </si>
  <si>
    <t>Grimm</t>
  </si>
  <si>
    <t>ogrimm5@gmail.com</t>
  </si>
  <si>
    <t>0796245139</t>
  </si>
  <si>
    <t>Raquel Maria</t>
  </si>
  <si>
    <t>Ramos Calçada</t>
  </si>
  <si>
    <t>raquelmcalcada@gmail.com</t>
  </si>
  <si>
    <t>Baselmattweg 133c</t>
  </si>
  <si>
    <t>0762489597</t>
  </si>
  <si>
    <t>Leonardo Filipe</t>
  </si>
  <si>
    <t>Lemos Rocha</t>
  </si>
  <si>
    <t>leo.filipe@outlook.com</t>
  </si>
  <si>
    <t>0792355602</t>
  </si>
  <si>
    <t>Rasser</t>
  </si>
  <si>
    <t>oliviarasser@gmail.com</t>
  </si>
  <si>
    <t>4422 Arisdorf</t>
  </si>
  <si>
    <t>0767950482</t>
  </si>
  <si>
    <t>Gonzalez Dominguez</t>
  </si>
  <si>
    <t>riti65@hotmail.com</t>
  </si>
  <si>
    <t>Parkweg 35</t>
  </si>
  <si>
    <t>0762158527</t>
  </si>
  <si>
    <t>Angelo</t>
  </si>
  <si>
    <t>D'Elia</t>
  </si>
  <si>
    <t>angelo473cedric@gmail.com</t>
  </si>
  <si>
    <t>0798375398</t>
  </si>
  <si>
    <t>bruniranda@gmail.com</t>
  </si>
  <si>
    <t>Wasgenring 56</t>
  </si>
  <si>
    <t>0774619836</t>
  </si>
  <si>
    <t>Rayan</t>
  </si>
  <si>
    <t>Kieffer</t>
  </si>
  <si>
    <t>rayan.kieffer@gmail.com</t>
  </si>
  <si>
    <t>In den Klostermatten 34</t>
  </si>
  <si>
    <t>00491707447947</t>
  </si>
  <si>
    <t>jochen.schm@gmx.net</t>
  </si>
  <si>
    <t>Hauptstrasse 42/1</t>
  </si>
  <si>
    <t>0766837548</t>
  </si>
  <si>
    <t>Naomi</t>
  </si>
  <si>
    <t>Chollet</t>
  </si>
  <si>
    <t>naomi.chollet@gmail.com</t>
  </si>
  <si>
    <t>Austrasse 102</t>
  </si>
  <si>
    <t>0033620109549</t>
  </si>
  <si>
    <t>Gaston</t>
  </si>
  <si>
    <t>Ramos</t>
  </si>
  <si>
    <t>0792837450</t>
  </si>
  <si>
    <t>0782488517</t>
  </si>
  <si>
    <t>Ignacio</t>
  </si>
  <si>
    <t>nramirezverdyguer@gmail.com</t>
  </si>
  <si>
    <t>Delsbergerallee 20</t>
  </si>
  <si>
    <t>0788303250</t>
  </si>
  <si>
    <t>Alba</t>
  </si>
  <si>
    <t>alba.l.mangas@gmail.com</t>
  </si>
  <si>
    <t>0786911763</t>
  </si>
  <si>
    <t>Ginny</t>
  </si>
  <si>
    <t>Gomez Caraballo</t>
  </si>
  <si>
    <t>ginny.gomezc@hotmail.com</t>
  </si>
  <si>
    <t>Schützenmattstrasse 16</t>
  </si>
  <si>
    <t>0774931376</t>
  </si>
  <si>
    <t>Gheorghe</t>
  </si>
  <si>
    <t>e.andreeagheorghe@gmail.com</t>
  </si>
  <si>
    <t>0798389467</t>
  </si>
  <si>
    <t>Dr. Fringeli</t>
  </si>
  <si>
    <t>bettina.fringeli@gmx.ch</t>
  </si>
  <si>
    <t>Freie Strasse 11</t>
  </si>
  <si>
    <t>0798389467-1</t>
  </si>
  <si>
    <t>Ritschard</t>
  </si>
  <si>
    <t>0792673494</t>
  </si>
  <si>
    <t>Meryem</t>
  </si>
  <si>
    <t>Yesildag</t>
  </si>
  <si>
    <t>meryem.yesildag@gmx.ch</t>
  </si>
  <si>
    <t>Altachenstrasse 3</t>
  </si>
  <si>
    <t>0764009418</t>
  </si>
  <si>
    <t>Stuber</t>
  </si>
  <si>
    <t>s.stuber@icloud.com</t>
  </si>
  <si>
    <t>Hegenheimerstrasse 155</t>
  </si>
  <si>
    <t>0794861354</t>
  </si>
  <si>
    <t>sportyd@gmx.ch</t>
  </si>
  <si>
    <t>Turnerstrasse 8</t>
  </si>
  <si>
    <t>0774487625</t>
  </si>
  <si>
    <t>christine.stebler@gmail.com</t>
  </si>
  <si>
    <t>Klingnaustrasse 1</t>
  </si>
  <si>
    <t>0774487625-1</t>
  </si>
  <si>
    <t>Etienne</t>
  </si>
  <si>
    <t>Winter</t>
  </si>
  <si>
    <t>0782214145</t>
  </si>
  <si>
    <t>Marchesi</t>
  </si>
  <si>
    <t>claudiomarchesi@gmx.ch</t>
  </si>
  <si>
    <t>Benkenstrasse 28</t>
  </si>
  <si>
    <t>0765597925</t>
  </si>
  <si>
    <t>normal</t>
  </si>
  <si>
    <t>andreas.adler@vtxnet.ch</t>
  </si>
  <si>
    <t>Bernerstrasse 1</t>
  </si>
  <si>
    <t>0789125588</t>
  </si>
  <si>
    <t>Akins</t>
  </si>
  <si>
    <t>jlaurenakins@gmail.com</t>
  </si>
  <si>
    <t>Bechburgerstrasse 9</t>
  </si>
  <si>
    <t>0779241160</t>
  </si>
  <si>
    <t>Gaby</t>
  </si>
  <si>
    <t>Nguyen</t>
  </si>
  <si>
    <t>maihanhgaby@gmail.com</t>
  </si>
  <si>
    <t>Quellenstrasse 41B</t>
  </si>
  <si>
    <t>0797025374</t>
  </si>
  <si>
    <t>jfmgass@intergga.ch</t>
  </si>
  <si>
    <t>Mausackerweg</t>
  </si>
  <si>
    <t>0798778407</t>
  </si>
  <si>
    <t>Jean-Francois</t>
  </si>
  <si>
    <t>0788829797</t>
  </si>
  <si>
    <t>Rafih</t>
  </si>
  <si>
    <t>Majedi</t>
  </si>
  <si>
    <t>ragih.majedi@gmail.com</t>
  </si>
  <si>
    <t>Römerweg 27</t>
  </si>
  <si>
    <t>4460 Sissach</t>
  </si>
  <si>
    <t>0798891989</t>
  </si>
  <si>
    <t>Mahler</t>
  </si>
  <si>
    <t>liliane.mahler@bluewin.ch</t>
  </si>
  <si>
    <t>Wattstrasse 27</t>
  </si>
  <si>
    <t>0767361357</t>
  </si>
  <si>
    <t>Bremer</t>
  </si>
  <si>
    <t>lena_bremer96@web.de</t>
  </si>
  <si>
    <t>St. Jakobs-Straße 90</t>
  </si>
  <si>
    <t>0782058088</t>
  </si>
  <si>
    <t>Alberto Torres</t>
  </si>
  <si>
    <t xml:space="preserve">w </t>
  </si>
  <si>
    <t>Riehenstrasse 42</t>
  </si>
  <si>
    <t>0789356222</t>
  </si>
  <si>
    <t>Hammel</t>
  </si>
  <si>
    <t>eva.hammel@protonmail.ch</t>
  </si>
  <si>
    <t>Laufenburgerstrasse 30</t>
  </si>
  <si>
    <t>0774406365</t>
  </si>
  <si>
    <t>Wülser</t>
  </si>
  <si>
    <t>michellew@gmx.ch</t>
  </si>
  <si>
    <t>Lachmattstrasse 21</t>
  </si>
  <si>
    <t>0798536344</t>
  </si>
  <si>
    <t>Nora</t>
  </si>
  <si>
    <t>nora.weber@outlook.com</t>
  </si>
  <si>
    <t>Landskronstrasse 68</t>
  </si>
  <si>
    <t>0795835133</t>
  </si>
  <si>
    <t>Esther</t>
  </si>
  <si>
    <t>esther_wiesner@hotmail.com</t>
  </si>
  <si>
    <t>Bahnhofplatz 2</t>
  </si>
  <si>
    <t>004915161404279</t>
  </si>
  <si>
    <t>Yohannes</t>
  </si>
  <si>
    <t>egalmadrid@gmx.com</t>
  </si>
  <si>
    <t>Hauptstrasse 83</t>
  </si>
  <si>
    <t>0762446443</t>
  </si>
  <si>
    <t>Bujaki</t>
  </si>
  <si>
    <t>Bujaki.Attila@gmail.com</t>
  </si>
  <si>
    <t>Baldeggerstrasse 58</t>
  </si>
  <si>
    <t>0762832921</t>
  </si>
  <si>
    <t>Hari</t>
  </si>
  <si>
    <t>Narayanan</t>
  </si>
  <si>
    <t>hnarayanan93@gmail.com</t>
  </si>
  <si>
    <t>Mittlere Strasse 33</t>
  </si>
  <si>
    <t>0768244463</t>
  </si>
  <si>
    <t>Rous</t>
  </si>
  <si>
    <t>adam.rous@gmail.com</t>
  </si>
  <si>
    <t>Karl Jaspers-Allee 4</t>
  </si>
  <si>
    <t>0795044463-1</t>
  </si>
  <si>
    <t>Marianne</t>
  </si>
  <si>
    <t>Greber</t>
  </si>
  <si>
    <t>marianne.greber@hotmail.ch</t>
  </si>
  <si>
    <t>0797293204</t>
  </si>
  <si>
    <t>Melina</t>
  </si>
  <si>
    <t>melina.grogg@hotmail.com</t>
  </si>
  <si>
    <t>Bahnhofstrasse 12a</t>
  </si>
  <si>
    <t>0795252800</t>
  </si>
  <si>
    <t>Ettlin</t>
  </si>
  <si>
    <t>amp-net@sunrise.ch</t>
  </si>
  <si>
    <t>Bodenmattstrasse 6</t>
  </si>
  <si>
    <t>0782156840</t>
  </si>
  <si>
    <t>Flad</t>
  </si>
  <si>
    <t>v.flad@hotmail.de</t>
  </si>
  <si>
    <t>Habsburgerstrasse 14</t>
  </si>
  <si>
    <t>0765852702</t>
  </si>
  <si>
    <t>Burmeister</t>
  </si>
  <si>
    <t>burmesol27@gmail.com</t>
  </si>
  <si>
    <t>St. Jakobstrasse 110</t>
  </si>
  <si>
    <t>0775264343</t>
  </si>
  <si>
    <t>Hwajeong</t>
  </si>
  <si>
    <t>kocotedi@gmail.com</t>
  </si>
  <si>
    <t>Jungstrasse 44</t>
  </si>
  <si>
    <t>0775264343-1</t>
  </si>
  <si>
    <t>yves.senn84@gmail.com</t>
  </si>
  <si>
    <t>0783045885</t>
  </si>
  <si>
    <t>Prueffer</t>
  </si>
  <si>
    <t>kajapruffer@gmail.com</t>
  </si>
  <si>
    <t>St. Jakobs-Strasse 71</t>
  </si>
  <si>
    <t>0765608884</t>
  </si>
  <si>
    <t>Kristijan</t>
  </si>
  <si>
    <t>kristijan1.markovic@gmail.com</t>
  </si>
  <si>
    <t>Drahtzugstrasse 22</t>
  </si>
  <si>
    <t>0783032990</t>
  </si>
  <si>
    <t>elisabethea2@gmail.com</t>
  </si>
  <si>
    <t>Querstrasse 7</t>
  </si>
  <si>
    <t>8050 Zürich</t>
  </si>
  <si>
    <t>0798755598</t>
  </si>
  <si>
    <t>ajmtnezo@gmail.com</t>
  </si>
  <si>
    <t>Burggartenstrasse 6</t>
  </si>
  <si>
    <t>0793658679</t>
  </si>
  <si>
    <t>Anissa</t>
  </si>
  <si>
    <t>Stalder</t>
  </si>
  <si>
    <t>anissastalder9@gmail.com</t>
  </si>
  <si>
    <t>Beckenstrasse 10</t>
  </si>
  <si>
    <t>0762509180</t>
  </si>
  <si>
    <t>Esra</t>
  </si>
  <si>
    <t>Ciydem</t>
  </si>
  <si>
    <t>esra_ciydem@hotmail.com</t>
  </si>
  <si>
    <t>St. Jakobstrasse 59</t>
  </si>
  <si>
    <t>0767859086</t>
  </si>
  <si>
    <t>Tijana</t>
  </si>
  <si>
    <t>Miljkovic</t>
  </si>
  <si>
    <t>tijana.miljkovic@icloud.com</t>
  </si>
  <si>
    <t>Haupstrasse 79</t>
  </si>
  <si>
    <t>4126 Bettingen</t>
  </si>
  <si>
    <t>0787478553</t>
  </si>
  <si>
    <t>sarah.imhof60@gmail.com</t>
  </si>
  <si>
    <t>Missionsstrasse 40</t>
  </si>
  <si>
    <t>0791268035</t>
  </si>
  <si>
    <t>Ronny</t>
  </si>
  <si>
    <t>Hardegger</t>
  </si>
  <si>
    <t>ronny97@gmx.ch</t>
  </si>
  <si>
    <t>0786262771</t>
  </si>
  <si>
    <t>Ali</t>
  </si>
  <si>
    <t>Üstündag</t>
  </si>
  <si>
    <t>ali.uestuendag@gmail.com</t>
  </si>
  <si>
    <t>St.Jakobs-Strasse 189</t>
  </si>
  <si>
    <t>0763493544</t>
  </si>
  <si>
    <t>arina.ber@bluewin.ch</t>
  </si>
  <si>
    <t>Hafenrainstrasse 22</t>
  </si>
  <si>
    <t>0793574567</t>
  </si>
  <si>
    <t>Maldonado</t>
  </si>
  <si>
    <t>jose.luis.maldonado@icloud.com</t>
  </si>
  <si>
    <t>Rotfluhstrasse 24</t>
  </si>
  <si>
    <t>8702 Zollikon</t>
  </si>
  <si>
    <t>0792229499</t>
  </si>
  <si>
    <t>Nikki</t>
  </si>
  <si>
    <t>Parsons</t>
  </si>
  <si>
    <t>nikk.a.parsons@gmail.com</t>
  </si>
  <si>
    <t>Oristalstrasse 24A</t>
  </si>
  <si>
    <t>0034626617000</t>
  </si>
  <si>
    <t>Clara Puente</t>
  </si>
  <si>
    <t>albaclarapuente@gmail.com</t>
  </si>
  <si>
    <t>Langackerstrasse 14</t>
  </si>
  <si>
    <t>4332 Stein</t>
  </si>
  <si>
    <t>0767812471</t>
  </si>
  <si>
    <t>Comas</t>
  </si>
  <si>
    <t>helenaccreus@gmail.com</t>
  </si>
  <si>
    <t>Elisabethenstrasse 39</t>
  </si>
  <si>
    <t>0767036653</t>
  </si>
  <si>
    <t>Garrido Trigo</t>
  </si>
  <si>
    <t>albagarridotrigo@gmail.com</t>
  </si>
  <si>
    <t>Burgweg 8</t>
  </si>
  <si>
    <t>0798176626</t>
  </si>
  <si>
    <t>christineadler@hotmail.com</t>
  </si>
  <si>
    <t>0787400177</t>
  </si>
  <si>
    <t>yvonne22fischer@gmail.com</t>
  </si>
  <si>
    <t>Bättwilerstrasse 9</t>
  </si>
  <si>
    <t>0786129574</t>
  </si>
  <si>
    <t>monique@schmille.ch</t>
  </si>
  <si>
    <t>0793588795</t>
  </si>
  <si>
    <t>Spezzacatena</t>
  </si>
  <si>
    <t>jessica.spezzacatena96@hotmail.com</t>
  </si>
  <si>
    <t>Lehenmattsrasse 306</t>
  </si>
  <si>
    <t>0783110068</t>
  </si>
  <si>
    <t xml:space="preserve">Raul </t>
  </si>
  <si>
    <t>Penaguiao</t>
  </si>
  <si>
    <t>raul.penas@hotmail.com</t>
  </si>
  <si>
    <t>Baslerstrasse 13</t>
  </si>
  <si>
    <t>4203 Grellingen</t>
  </si>
  <si>
    <t>0765767096</t>
  </si>
  <si>
    <t>steffi_felix@hotmail.com</t>
  </si>
  <si>
    <t>Missionsstrasse 41</t>
  </si>
  <si>
    <t>0772225899</t>
  </si>
  <si>
    <t>Osman</t>
  </si>
  <si>
    <t>Bukari</t>
  </si>
  <si>
    <t>abusco@hotmail.de</t>
  </si>
  <si>
    <t>Birkenstrasse 5</t>
  </si>
  <si>
    <t>00491725171583</t>
  </si>
  <si>
    <t>0793894087</t>
  </si>
  <si>
    <t>kevin.koenig@bluewin.ch</t>
  </si>
  <si>
    <t>In den Klostermatten 4</t>
  </si>
  <si>
    <t>0033652045892</t>
  </si>
  <si>
    <t>Servane</t>
  </si>
  <si>
    <t>Hardouin</t>
  </si>
  <si>
    <t>servanehardouin@gmail.com</t>
  </si>
  <si>
    <t>Gerbergässlein 16</t>
  </si>
  <si>
    <t>0033652045892-1</t>
  </si>
  <si>
    <t>Badolle</t>
  </si>
  <si>
    <t>0034689391845</t>
  </si>
  <si>
    <t>Rocandio</t>
  </si>
  <si>
    <t>vrocandio@gmail.com</t>
  </si>
  <si>
    <t>Jurastrasse 25</t>
  </si>
  <si>
    <t>0788817339</t>
  </si>
  <si>
    <t>Lüthy</t>
  </si>
  <si>
    <t>00491787042737</t>
  </si>
  <si>
    <t>Poladova</t>
  </si>
  <si>
    <t>Hijran</t>
  </si>
  <si>
    <t>hicran.poladzade.97@mail.ru</t>
  </si>
  <si>
    <t>79576 Deutschland</t>
  </si>
  <si>
    <t>0764474423</t>
  </si>
  <si>
    <t>Karla</t>
  </si>
  <si>
    <t>Wolters</t>
  </si>
  <si>
    <t>kwolters4@web.de</t>
  </si>
  <si>
    <t>Jacob-Burckhardt-Strasse</t>
  </si>
  <si>
    <t>0796489165</t>
  </si>
  <si>
    <t>Estela</t>
  </si>
  <si>
    <t>Celi</t>
  </si>
  <si>
    <t>estelaceli@hotmail.com</t>
  </si>
  <si>
    <t>Kornhausgasse 2</t>
  </si>
  <si>
    <t>0795761175</t>
  </si>
  <si>
    <t>Gugler</t>
  </si>
  <si>
    <t>m.gugler@intergga.ch</t>
  </si>
  <si>
    <t>Beinwilerstrasse 8</t>
  </si>
  <si>
    <t>0793711470</t>
  </si>
  <si>
    <t>Knecht</t>
  </si>
  <si>
    <t>david.knecht@hotmail.com</t>
  </si>
  <si>
    <t>0789136792</t>
  </si>
  <si>
    <t>Aufrichtig</t>
  </si>
  <si>
    <t>j.aufrichtig@gmx.ch</t>
  </si>
  <si>
    <t>Hagenbachstrasse 11</t>
  </si>
  <si>
    <t>0799019296</t>
  </si>
  <si>
    <t>Andrey</t>
  </si>
  <si>
    <t>Gorbunov</t>
  </si>
  <si>
    <t>andrey.gorbunov@hotmail.com</t>
  </si>
  <si>
    <t>Münchensteinerstrasse 8</t>
  </si>
  <si>
    <t>00491778442461</t>
  </si>
  <si>
    <t>Lindenmayer</t>
  </si>
  <si>
    <t>slindenmayer@outlook.de</t>
  </si>
  <si>
    <t>Herbergsgasse 7</t>
  </si>
  <si>
    <t>0797119833</t>
  </si>
  <si>
    <t>Berenice</t>
  </si>
  <si>
    <t>Roch</t>
  </si>
  <si>
    <t>berenice_roch@yahoo.com.mx</t>
  </si>
  <si>
    <t>Bettingerstrasse 267</t>
  </si>
  <si>
    <t>0798217595</t>
  </si>
  <si>
    <t>Pascale</t>
  </si>
  <si>
    <t>Dhoop</t>
  </si>
  <si>
    <t>pascale.dhoop@gmail.com</t>
  </si>
  <si>
    <t>Sevogelstrasse 76</t>
  </si>
  <si>
    <t>0792234285</t>
  </si>
  <si>
    <t>Rütimann</t>
  </si>
  <si>
    <t>patrik.ruetimann@gmx.ch</t>
  </si>
  <si>
    <t>Gempenstrasse 2</t>
  </si>
  <si>
    <t>0786346015</t>
  </si>
  <si>
    <t>Moni</t>
  </si>
  <si>
    <t>Jakober</t>
  </si>
  <si>
    <t>monijakober@windowslive.com</t>
  </si>
  <si>
    <t>0764496118</t>
  </si>
  <si>
    <t>Bannier</t>
  </si>
  <si>
    <t>muriel.b@bluewin.ch</t>
  </si>
  <si>
    <t>Burgfeldermattweg 23</t>
  </si>
  <si>
    <t>0793283745</t>
  </si>
  <si>
    <t>selina.schenker@live.de</t>
  </si>
  <si>
    <t>Müllhauserstrasse 150</t>
  </si>
  <si>
    <t>0791081167</t>
  </si>
  <si>
    <t>Valerio</t>
  </si>
  <si>
    <t>Job</t>
  </si>
  <si>
    <t>valerio.job@students.fhnw.ch</t>
  </si>
  <si>
    <t>Ligusterweg 2</t>
  </si>
  <si>
    <t>00491731444713</t>
  </si>
  <si>
    <t>Tomm</t>
  </si>
  <si>
    <t>hannah.tomm@web.de</t>
  </si>
  <si>
    <t>0782553761</t>
  </si>
  <si>
    <t>Pedro</t>
  </si>
  <si>
    <t>Albornoz</t>
  </si>
  <si>
    <t>pedrogabrielalbornoz@gmail.com</t>
  </si>
  <si>
    <t>0794425700</t>
  </si>
  <si>
    <t>Amman</t>
  </si>
  <si>
    <t>manuela.ammann@bluewin.ch</t>
  </si>
  <si>
    <t>Riehenring 22</t>
  </si>
  <si>
    <t>0788202526</t>
  </si>
  <si>
    <t>Johner</t>
  </si>
  <si>
    <t>andreas.johner@gmx.ch</t>
  </si>
  <si>
    <t>Emil-Frey Strasse 147</t>
  </si>
  <si>
    <t>0791223117</t>
  </si>
  <si>
    <t>Llugiqi</t>
  </si>
  <si>
    <t>l.llugiqi@hotmail.ch</t>
  </si>
  <si>
    <t>0763608358</t>
  </si>
  <si>
    <t>Ricardo</t>
  </si>
  <si>
    <t>ricardo.rrodriguez@icloud.com</t>
  </si>
  <si>
    <t>0792470512</t>
  </si>
  <si>
    <t>Vetterli Fatty</t>
  </si>
  <si>
    <t>lvetterli@yahoo.de</t>
  </si>
  <si>
    <t>Paradieshofstr.77</t>
  </si>
  <si>
    <t>0775220490</t>
  </si>
  <si>
    <t>Weimann</t>
  </si>
  <si>
    <t>weimann@sunrise.ch</t>
  </si>
  <si>
    <t>0796625657</t>
  </si>
  <si>
    <t>Perdomo</t>
  </si>
  <si>
    <t>caroperd@gmail.com</t>
  </si>
  <si>
    <t>0796625657-1</t>
  </si>
  <si>
    <t>Ivan</t>
  </si>
  <si>
    <t>0787308841</t>
  </si>
  <si>
    <t>Nevia</t>
  </si>
  <si>
    <t>Culiat</t>
  </si>
  <si>
    <t>penelopeTnevia@gmail.com</t>
  </si>
  <si>
    <t>Via delle fornaci 16/c</t>
  </si>
  <si>
    <t>Balerna</t>
  </si>
  <si>
    <t>0767157163</t>
  </si>
  <si>
    <t>Rosli</t>
  </si>
  <si>
    <t>rosli.alessandro@gmail.com</t>
  </si>
  <si>
    <t>0762403453</t>
  </si>
  <si>
    <t>Beemsterboer</t>
  </si>
  <si>
    <t>dbeemsterboer@me.com</t>
  </si>
  <si>
    <t>Pappelnweg 36D</t>
  </si>
  <si>
    <t>0782058276</t>
  </si>
  <si>
    <t>Theobald</t>
  </si>
  <si>
    <t>sophie.theobald@outlook.com</t>
  </si>
  <si>
    <t>0763600112</t>
  </si>
  <si>
    <t>Lucie</t>
  </si>
  <si>
    <t>Bourguignon</t>
  </si>
  <si>
    <t>lucie.bourguignon90@gmail.com</t>
  </si>
  <si>
    <t>Kleinhüningerstrasse 89</t>
  </si>
  <si>
    <t>00351918697557</t>
  </si>
  <si>
    <t>Penaguião</t>
  </si>
  <si>
    <t>0798316935</t>
  </si>
  <si>
    <t>Saranya</t>
  </si>
  <si>
    <t>Thambipillai</t>
  </si>
  <si>
    <t>t.saranya1990@live.de</t>
  </si>
  <si>
    <t>0795274396</t>
  </si>
  <si>
    <t>Shakiba</t>
  </si>
  <si>
    <t>Azizi</t>
  </si>
  <si>
    <t>wuma.arlesheim@erlenhof-bl.ch</t>
  </si>
  <si>
    <t>Blauenstrasse 10</t>
  </si>
  <si>
    <t>0789655097</t>
  </si>
  <si>
    <t>Wilson</t>
  </si>
  <si>
    <t>sam.dobree@gmail.com</t>
  </si>
  <si>
    <t>Dornacherstrasse 29</t>
  </si>
  <si>
    <t>0763464465</t>
  </si>
  <si>
    <t>Déborah</t>
  </si>
  <si>
    <t>debi-meyer@hotmail.ch</t>
  </si>
  <si>
    <t>0798730344</t>
  </si>
  <si>
    <t>Jill</t>
  </si>
  <si>
    <t>jill.hoffmann@bluewin.ch</t>
  </si>
  <si>
    <t>Sierenzerstrasse 74</t>
  </si>
  <si>
    <t>0797620196</t>
  </si>
  <si>
    <t>Löckener</t>
  </si>
  <si>
    <t>christianloeckener@gmail.com</t>
  </si>
  <si>
    <t>Erlenstrasse 14</t>
  </si>
  <si>
    <t>0795690629</t>
  </si>
  <si>
    <t>Johanna Aurelia</t>
  </si>
  <si>
    <t>johannaaurelia94@gmail.com</t>
  </si>
  <si>
    <t>0764429959</t>
  </si>
  <si>
    <t>Bruns</t>
  </si>
  <si>
    <t>elisa.bruns@outlook.com</t>
  </si>
  <si>
    <t>Markgräflerstrasse 1</t>
  </si>
  <si>
    <t>0793319186</t>
  </si>
  <si>
    <t>Natascia</t>
  </si>
  <si>
    <t>Basic</t>
  </si>
  <si>
    <t>basicsatan1@gmail.com</t>
  </si>
  <si>
    <t>Talweg 24</t>
  </si>
  <si>
    <t>0764244084</t>
  </si>
  <si>
    <t>Graziano</t>
  </si>
  <si>
    <t>steph_g@sunrise.ch</t>
  </si>
  <si>
    <t>Pestalozzistrasse 39</t>
  </si>
  <si>
    <t>0786868790</t>
  </si>
  <si>
    <t>Marischa</t>
  </si>
  <si>
    <t>Cereghetti</t>
  </si>
  <si>
    <t>marischa@bizmail.ch</t>
  </si>
  <si>
    <t>Nelkering 21</t>
  </si>
  <si>
    <t>4416 Bubendorf</t>
  </si>
  <si>
    <t>0798567231</t>
  </si>
  <si>
    <t>Noëlle</t>
  </si>
  <si>
    <t>Burri</t>
  </si>
  <si>
    <t>noelle.burri@gmail.com</t>
  </si>
  <si>
    <t>Klingelbergstrasse 87</t>
  </si>
  <si>
    <t>0034605261891</t>
  </si>
  <si>
    <t>ritamaria.gd@gmail.com</t>
  </si>
  <si>
    <t>0033770049577</t>
  </si>
  <si>
    <t>Carl</t>
  </si>
  <si>
    <t>Ekman</t>
  </si>
  <si>
    <t>almocarlekman@gmail.com</t>
  </si>
  <si>
    <t>4B rue du senateur brom</t>
  </si>
  <si>
    <t>00353876384398</t>
  </si>
  <si>
    <t>Noel</t>
  </si>
  <si>
    <t>Murphy</t>
  </si>
  <si>
    <t>noelmurphy33@gmail.com</t>
  </si>
  <si>
    <t>Rue de Belfort 46</t>
  </si>
  <si>
    <t>68128 Village-Neuf</t>
  </si>
  <si>
    <t>00491772412849</t>
  </si>
  <si>
    <t>Margit</t>
  </si>
  <si>
    <t>Dauner</t>
  </si>
  <si>
    <t>margitdauner@web.de</t>
  </si>
  <si>
    <t>Dornacherstrasse 154</t>
  </si>
  <si>
    <t>0767470983</t>
  </si>
  <si>
    <t>Seggering</t>
  </si>
  <si>
    <t>k.seggering@gmail.com</t>
  </si>
  <si>
    <t>Austrasse 128</t>
  </si>
  <si>
    <t>0048600945360</t>
  </si>
  <si>
    <t>Werczynska</t>
  </si>
  <si>
    <t>kwerczynska@op.pl</t>
  </si>
  <si>
    <t>Holeestrasse 95</t>
  </si>
  <si>
    <t>0794088955</t>
  </si>
  <si>
    <t>Geisseler</t>
  </si>
  <si>
    <t>0797098406</t>
  </si>
  <si>
    <t>axelhernandez@gmx.ch</t>
  </si>
  <si>
    <t>Fleischbachstrasse 28</t>
  </si>
  <si>
    <t>0764229200</t>
  </si>
  <si>
    <t>0772655009</t>
  </si>
  <si>
    <t>Iryna</t>
  </si>
  <si>
    <t>Marrini</t>
  </si>
  <si>
    <t>iryna@marrini.com</t>
  </si>
  <si>
    <t>Schleifenbergstrasse 37</t>
  </si>
  <si>
    <t>0797600320</t>
  </si>
  <si>
    <t>Biert</t>
  </si>
  <si>
    <t>anna.biert@gmail.com</t>
  </si>
  <si>
    <t>St Johanns Parkweg 16</t>
  </si>
  <si>
    <t>0796303609</t>
  </si>
  <si>
    <t>Mariella</t>
  </si>
  <si>
    <t>Rossetto</t>
  </si>
  <si>
    <t>0793566228</t>
  </si>
  <si>
    <t>Nairo</t>
  </si>
  <si>
    <t>Guzmann</t>
  </si>
  <si>
    <t>0797236625</t>
  </si>
  <si>
    <t>Haet</t>
  </si>
  <si>
    <t>andreahaener@bluewin.ch</t>
  </si>
  <si>
    <t>Güterstrasse 84</t>
  </si>
  <si>
    <t>0794542820</t>
  </si>
  <si>
    <t>Merlin</t>
  </si>
  <si>
    <t>Zeugin</t>
  </si>
  <si>
    <t>0033626626590</t>
  </si>
  <si>
    <t>studerisa@aol.com</t>
  </si>
  <si>
    <t>68680 Kembs</t>
  </si>
  <si>
    <t>0789150024</t>
  </si>
  <si>
    <t>Aysun</t>
  </si>
  <si>
    <t>Bouzzine</t>
  </si>
  <si>
    <t>a.bouzzine@gmx.ch</t>
  </si>
  <si>
    <t>0767371357</t>
  </si>
  <si>
    <t>Mihai</t>
  </si>
  <si>
    <t>Plasoianu</t>
  </si>
  <si>
    <t>Teacher</t>
  </si>
  <si>
    <t>0786575031</t>
  </si>
  <si>
    <t>Eleni</t>
  </si>
  <si>
    <t>Katsagani</t>
  </si>
  <si>
    <t>eleni.katsagani@gmail.com</t>
  </si>
  <si>
    <t>Singerweg 4</t>
  </si>
  <si>
    <t>0798302923</t>
  </si>
  <si>
    <t>Pamela</t>
  </si>
  <si>
    <t>Cuneo</t>
  </si>
  <si>
    <t>pamela.cuneo@gmail.com</t>
  </si>
  <si>
    <t>Rennweg 92</t>
  </si>
  <si>
    <t>0795720080</t>
  </si>
  <si>
    <t>Lais</t>
  </si>
  <si>
    <t>laisroland@aol.com</t>
  </si>
  <si>
    <t>Im Pfarrgarten 12</t>
  </si>
  <si>
    <t>79597 Schallbach</t>
  </si>
  <si>
    <t>0795720080-1</t>
  </si>
  <si>
    <t>Annemarie</t>
  </si>
  <si>
    <t>0768150705</t>
  </si>
  <si>
    <t>danielalexandra970@gmail.com</t>
  </si>
  <si>
    <t>Fürstenbergstrasse</t>
  </si>
  <si>
    <t>Dornach</t>
  </si>
  <si>
    <t>0762811962</t>
  </si>
  <si>
    <t>004915771525038</t>
  </si>
  <si>
    <t>Bernhard</t>
  </si>
  <si>
    <t>Lange</t>
  </si>
  <si>
    <t>bernhard.lange@posteo.de</t>
  </si>
  <si>
    <t>Klybeckstrasse 9</t>
  </si>
  <si>
    <t>004915165159683</t>
  </si>
  <si>
    <t>Songül</t>
  </si>
  <si>
    <t>songullange@gmail.com</t>
  </si>
  <si>
    <t>0783069509</t>
  </si>
  <si>
    <t>0791094516</t>
  </si>
  <si>
    <t>Jonasch</t>
  </si>
  <si>
    <t>anna.jonasch@gmail.com</t>
  </si>
  <si>
    <t>Hermann Suter-Strasse 7</t>
  </si>
  <si>
    <t>004915756580848</t>
  </si>
  <si>
    <t>Urbain</t>
  </si>
  <si>
    <t>Houenou</t>
  </si>
  <si>
    <t>urbainhouenou@yahoo.fr</t>
  </si>
  <si>
    <t>Hartmattenstr 15b</t>
  </si>
  <si>
    <t>79539 Lörrach</t>
  </si>
  <si>
    <t>0792431407</t>
  </si>
  <si>
    <t>Minder</t>
  </si>
  <si>
    <t>Orchidee1977@gmx.ch</t>
  </si>
  <si>
    <t>0775040934</t>
  </si>
  <si>
    <t>Maria-Elisa</t>
  </si>
  <si>
    <t>Schrade</t>
  </si>
  <si>
    <t>mariaschrade@gmail.com</t>
  </si>
  <si>
    <t>Bläsiring 1</t>
  </si>
  <si>
    <t>0764836451</t>
  </si>
  <si>
    <t>Ines</t>
  </si>
  <si>
    <t>Villagrasa</t>
  </si>
  <si>
    <t>iness_villagrasa9@hotmail.es</t>
  </si>
  <si>
    <t>Breisacherstrasse 6</t>
  </si>
  <si>
    <t>0764836451-1</t>
  </si>
  <si>
    <t>0795062805</t>
  </si>
  <si>
    <t>Schafroth</t>
  </si>
  <si>
    <t>sandrakarin@gmx.net</t>
  </si>
  <si>
    <t>Habshagstrasse 14</t>
  </si>
  <si>
    <t>0796031949</t>
  </si>
  <si>
    <t>Andrzej</t>
  </si>
  <si>
    <t>Zyla</t>
  </si>
  <si>
    <t>zyla.andrzej@gmail.com</t>
  </si>
  <si>
    <t>Rheinstrasse 16</t>
  </si>
  <si>
    <t>0784041374</t>
  </si>
  <si>
    <t>Gail</t>
  </si>
  <si>
    <t>Black</t>
  </si>
  <si>
    <t>post2gail@pm.me</t>
  </si>
  <si>
    <t>Meret Oppenheim-Platz 1</t>
  </si>
  <si>
    <t>0784041374-1</t>
  </si>
  <si>
    <t>Ian</t>
  </si>
  <si>
    <t>004915732775054</t>
  </si>
  <si>
    <t>Peppel</t>
  </si>
  <si>
    <t>paula-pe@gmx.de</t>
  </si>
  <si>
    <t>Hegenheimerstrasse 131</t>
  </si>
  <si>
    <t>0789076119</t>
  </si>
  <si>
    <t>Stone</t>
  </si>
  <si>
    <t>andreabstone@yahoo.com</t>
  </si>
  <si>
    <t>Postgasse 4</t>
  </si>
  <si>
    <t>4450 Sissach</t>
  </si>
  <si>
    <t>0795873438</t>
  </si>
  <si>
    <t>ematt@gmx.ch</t>
  </si>
  <si>
    <t>Hechtweg 19</t>
  </si>
  <si>
    <t>0795498685</t>
  </si>
  <si>
    <t>Bausch</t>
  </si>
  <si>
    <t>ujb@gmx.ch</t>
  </si>
  <si>
    <t>Chemin du Creux-de-la-Terre 35</t>
  </si>
  <si>
    <t>0033606880434</t>
  </si>
  <si>
    <t>Matthieu</t>
  </si>
  <si>
    <t>Schwob</t>
  </si>
  <si>
    <t>matthieu.schwob@gmail.com</t>
  </si>
  <si>
    <t>0798111649</t>
  </si>
  <si>
    <t>Milena</t>
  </si>
  <si>
    <t>George</t>
  </si>
  <si>
    <t>milena.george@gmx.ch</t>
  </si>
  <si>
    <t>Lothringerstrasse 113</t>
  </si>
  <si>
    <t>0798111649-1</t>
  </si>
  <si>
    <t>Bryan</t>
  </si>
  <si>
    <t>Albán</t>
  </si>
  <si>
    <t>004915735545110</t>
  </si>
  <si>
    <t>Nepple</t>
  </si>
  <si>
    <t>veronikamurielnepple@gmail.com</t>
  </si>
  <si>
    <t>Kanderstrasse 10</t>
  </si>
  <si>
    <t>004915735545110-1</t>
  </si>
  <si>
    <t>Ingmar</t>
  </si>
  <si>
    <t>0772220189</t>
  </si>
  <si>
    <t>Rolt</t>
  </si>
  <si>
    <t>Fiftypence666@hotmail.co.uk</t>
  </si>
  <si>
    <t>Elisabethenstrasse 41</t>
  </si>
  <si>
    <t>0783106616</t>
  </si>
  <si>
    <t>Wissam</t>
  </si>
  <si>
    <t>Alkhalil</t>
  </si>
  <si>
    <t>wissamalkhalil94@gmail.com</t>
  </si>
  <si>
    <t>Hegenheimerstrasse 49</t>
  </si>
  <si>
    <t>0033668656384</t>
  </si>
  <si>
    <t>melanie_koch@live.fr</t>
  </si>
  <si>
    <t>68220 Neuwiller</t>
  </si>
  <si>
    <t>0033781218069</t>
  </si>
  <si>
    <t>julien.m.schmidt@gmail.com</t>
  </si>
  <si>
    <t>39B rue du Marechal Foch</t>
  </si>
  <si>
    <t>68510 Sierentz</t>
  </si>
  <si>
    <t>0788719691</t>
  </si>
  <si>
    <t>Federica</t>
  </si>
  <si>
    <t>Barbieri</t>
  </si>
  <si>
    <t>0789274403</t>
  </si>
  <si>
    <t>Ariane</t>
  </si>
  <si>
    <t>Marwood</t>
  </si>
  <si>
    <t>a.marwood@bluewin.ch</t>
  </si>
  <si>
    <t>Neuensteinerstrasse 25</t>
  </si>
  <si>
    <t>0767218541</t>
  </si>
  <si>
    <t>Montes de Oca</t>
  </si>
  <si>
    <t>smmod.90@gmail.com</t>
  </si>
  <si>
    <t>9320 Arbon</t>
  </si>
  <si>
    <t>0793360625</t>
  </si>
  <si>
    <t>Reno</t>
  </si>
  <si>
    <t>Sami</t>
  </si>
  <si>
    <t>rsami@sunrise.ch</t>
  </si>
  <si>
    <t>Sustenstrasse 7</t>
  </si>
  <si>
    <t>0779989000</t>
  </si>
  <si>
    <t>leipner1@gmail.com</t>
  </si>
  <si>
    <t>Mittlere Strasse 2</t>
  </si>
  <si>
    <t>0763811139</t>
  </si>
  <si>
    <t>Alain</t>
  </si>
  <si>
    <t>Appel</t>
  </si>
  <si>
    <t>alain.appel@icloud.com</t>
  </si>
  <si>
    <t>0798713821</t>
  </si>
  <si>
    <t>Ela</t>
  </si>
  <si>
    <t>Smajic</t>
  </si>
  <si>
    <t>elasmajic@icloud.com</t>
  </si>
  <si>
    <t>Im Witterswilerhof 4</t>
  </si>
  <si>
    <t>0798713821-1</t>
  </si>
  <si>
    <t>Nenad</t>
  </si>
  <si>
    <t>Bubalo</t>
  </si>
  <si>
    <t>0786999011</t>
  </si>
  <si>
    <t>Bretz</t>
  </si>
  <si>
    <t>0766296655</t>
  </si>
  <si>
    <t>rothmaria1987@gmail.com</t>
  </si>
  <si>
    <t>Oberwilerstrasse 82</t>
  </si>
  <si>
    <t>0795869501</t>
  </si>
  <si>
    <t>michel.strub91@gmail.com</t>
  </si>
  <si>
    <t>Chlederenweg 11</t>
  </si>
  <si>
    <t>4112 Bättwil</t>
  </si>
  <si>
    <t>0786660591</t>
  </si>
  <si>
    <t>Senis</t>
  </si>
  <si>
    <t>Gafar</t>
  </si>
  <si>
    <t>shenis.gafar@gmail.com</t>
  </si>
  <si>
    <t>Amerikanerstrasse 36</t>
  </si>
  <si>
    <t>0787409952</t>
  </si>
  <si>
    <t>Zafer</t>
  </si>
  <si>
    <t>Altay</t>
  </si>
  <si>
    <t>0797737396</t>
  </si>
  <si>
    <t>Marc-Simon</t>
  </si>
  <si>
    <t>Willi</t>
  </si>
  <si>
    <t>marc-simon.willi@hotmail.com</t>
  </si>
  <si>
    <t>Fraumattstrasse 39</t>
  </si>
  <si>
    <t>00393332533135</t>
  </si>
  <si>
    <t>Kahlouche</t>
  </si>
  <si>
    <t>sabrina-k@hotmail.it</t>
  </si>
  <si>
    <t>Baslerstrasse 20</t>
  </si>
  <si>
    <t>79639 Grenzach Wyhlen</t>
  </si>
  <si>
    <t>0762102543</t>
  </si>
  <si>
    <t>Eccher</t>
  </si>
  <si>
    <t>johnrobertsportal@hotmail.com</t>
  </si>
  <si>
    <t>0797575867</t>
  </si>
  <si>
    <t>leoniemoreno@icloud.com</t>
  </si>
  <si>
    <t>Lerchenstrasse 41</t>
  </si>
  <si>
    <t>0778148182</t>
  </si>
  <si>
    <t>Kamila</t>
  </si>
  <si>
    <t>Kowalska</t>
  </si>
  <si>
    <t>kamilazkowalska@gmail.com</t>
  </si>
  <si>
    <t>Austrasse 15</t>
  </si>
  <si>
    <t>0048505674703</t>
  </si>
  <si>
    <t>Krzysztof</t>
  </si>
  <si>
    <t>Lorens</t>
  </si>
  <si>
    <t>kristoflorens@gmail.com</t>
  </si>
  <si>
    <t>0764731688</t>
  </si>
  <si>
    <t>Fengyue</t>
  </si>
  <si>
    <t>Hu</t>
  </si>
  <si>
    <t>katherina.0820@gmail.com</t>
  </si>
  <si>
    <t>Mittlere Strasse 71</t>
  </si>
  <si>
    <t>0764800231-1</t>
  </si>
  <si>
    <t>Marilyn</t>
  </si>
  <si>
    <t>Grossen</t>
  </si>
  <si>
    <t>0794414672</t>
  </si>
  <si>
    <t>Norina</t>
  </si>
  <si>
    <t>Martig</t>
  </si>
  <si>
    <t>norma@bluewin.ch</t>
  </si>
  <si>
    <t>Fährweg 47</t>
  </si>
  <si>
    <t>0793738508</t>
  </si>
  <si>
    <t>Harald</t>
  </si>
  <si>
    <t>Kruse</t>
  </si>
  <si>
    <t>hkruse@gmx.ch</t>
  </si>
  <si>
    <t>Route de Vicques 6</t>
  </si>
  <si>
    <t>2830 Courrendlin</t>
  </si>
  <si>
    <t>0786119844</t>
  </si>
  <si>
    <t>Yuvilmaris</t>
  </si>
  <si>
    <t>castilloyuvilmaris@gmail.com</t>
  </si>
  <si>
    <t>Rainweg 7</t>
  </si>
  <si>
    <t>0763254501</t>
  </si>
  <si>
    <t>Erzer</t>
  </si>
  <si>
    <t>pola.erzer@hotmail.com</t>
  </si>
  <si>
    <t>Zürcherstrasse 42</t>
  </si>
  <si>
    <t>Winterthur</t>
  </si>
  <si>
    <t>0765715751</t>
  </si>
  <si>
    <t>Marita</t>
  </si>
  <si>
    <t>Nuesslein</t>
  </si>
  <si>
    <t>marita.nuesslein@googlemail.com</t>
  </si>
  <si>
    <t>Sonnenweg 3</t>
  </si>
  <si>
    <t>0798877550</t>
  </si>
  <si>
    <t>Zita</t>
  </si>
  <si>
    <t>Magyar</t>
  </si>
  <si>
    <t>zita.magyar@yahoo.com</t>
  </si>
  <si>
    <t>Burggartenstrasse 40</t>
  </si>
  <si>
    <t>004915225875144</t>
  </si>
  <si>
    <t>Arglebe-Osswasld</t>
  </si>
  <si>
    <t>hpaogabi@gmail.com</t>
  </si>
  <si>
    <t>Im Sand 17</t>
  </si>
  <si>
    <t>004915771785402</t>
  </si>
  <si>
    <t>Binder</t>
  </si>
  <si>
    <t>franz.binder1960@gmail.com</t>
  </si>
  <si>
    <t>0763696082</t>
  </si>
  <si>
    <t>Rok</t>
  </si>
  <si>
    <t>Pikon</t>
  </si>
  <si>
    <t>rok1.pikon@gmail.com</t>
  </si>
  <si>
    <t>Baselmattweg 221</t>
  </si>
  <si>
    <t>00306989401344</t>
  </si>
  <si>
    <t>Andriani</t>
  </si>
  <si>
    <t>Vervelaki</t>
  </si>
  <si>
    <t>andrivervelak@gmail.com</t>
  </si>
  <si>
    <t>Hegenheimerstrasse 30</t>
  </si>
  <si>
    <t>0774131048</t>
  </si>
  <si>
    <t>Carolin</t>
  </si>
  <si>
    <t>Schreiner</t>
  </si>
  <si>
    <t>carolin.schreiner@gmx.de</t>
  </si>
  <si>
    <t>0788844162</t>
  </si>
  <si>
    <t>Cao</t>
  </si>
  <si>
    <t>xiaoyancaoli@gmail.com</t>
  </si>
  <si>
    <t>Liegusterweg 29</t>
  </si>
  <si>
    <t>004915112618418</t>
  </si>
  <si>
    <t>Nüsslein</t>
  </si>
  <si>
    <t>alinanusslein@gmail.com</t>
  </si>
  <si>
    <t>0768175700</t>
  </si>
  <si>
    <t>Duque</t>
  </si>
  <si>
    <t>raquel.duquecabrera@gmail.com</t>
  </si>
  <si>
    <t>Parkstrasse 34</t>
  </si>
  <si>
    <t>0765681803-1</t>
  </si>
  <si>
    <t>Notaro</t>
  </si>
  <si>
    <t>Im Ettingerhof 1</t>
  </si>
  <si>
    <t>004915147972942</t>
  </si>
  <si>
    <t>Werda</t>
  </si>
  <si>
    <t>leonie-werda@web.de</t>
  </si>
  <si>
    <t>79639 Grenzach</t>
  </si>
  <si>
    <t>004917691334339</t>
  </si>
  <si>
    <t>Gräfe</t>
  </si>
  <si>
    <t>salsaflow-dc@lukas-graefe.de</t>
  </si>
  <si>
    <t>79539 Lörrech</t>
  </si>
  <si>
    <t>0765681803</t>
  </si>
  <si>
    <t>Marika</t>
  </si>
  <si>
    <t>De Vito</t>
  </si>
  <si>
    <t>marikadvt@gmail.com</t>
  </si>
  <si>
    <t>0033771757148</t>
  </si>
  <si>
    <t>Schwörer</t>
  </si>
  <si>
    <t>schwoerer.melissa@hotmail.fr</t>
  </si>
  <si>
    <t>1B rue de Blotzheim</t>
  </si>
  <si>
    <t>0033771757148-1</t>
  </si>
  <si>
    <t>Batistini</t>
  </si>
  <si>
    <t>004915234163687</t>
  </si>
  <si>
    <t>Magalie</t>
  </si>
  <si>
    <t>Magalie.mueller@gmail.com</t>
  </si>
  <si>
    <t>Birsstrasse 52</t>
  </si>
  <si>
    <t>0763772292</t>
  </si>
  <si>
    <t>Linus</t>
  </si>
  <si>
    <t>Espach</t>
  </si>
  <si>
    <t>linus@espach.ch</t>
  </si>
  <si>
    <t>Riehenring 65</t>
  </si>
  <si>
    <t>0764122399</t>
  </si>
  <si>
    <t>Irma</t>
  </si>
  <si>
    <t>Waltisberg</t>
  </si>
  <si>
    <t>walirma@bluewin.ch</t>
  </si>
  <si>
    <t>Buchmattweg 24</t>
  </si>
  <si>
    <t>0787361648</t>
  </si>
  <si>
    <t>Bourson</t>
  </si>
  <si>
    <t>christine.bourson@gmail.com</t>
  </si>
  <si>
    <t>Blauensteinerstrasse 12</t>
  </si>
  <si>
    <t>0774986027</t>
  </si>
  <si>
    <t>Lai</t>
  </si>
  <si>
    <t>pia.hl.lai@gmail.com</t>
  </si>
  <si>
    <t>Magnolienpark 9</t>
  </si>
  <si>
    <t>0782698318</t>
  </si>
  <si>
    <t>kathrin.reber91@gmail.com</t>
  </si>
  <si>
    <t>Schützenweg 8</t>
  </si>
  <si>
    <t>0788242901</t>
  </si>
  <si>
    <t>Faduma</t>
  </si>
  <si>
    <t>Abukar</t>
  </si>
  <si>
    <t>abukar.faduma@gmail.com</t>
  </si>
  <si>
    <t>Bernerring 25</t>
  </si>
  <si>
    <t>0764546894</t>
  </si>
  <si>
    <t>Roger</t>
  </si>
  <si>
    <t>von Rotz</t>
  </si>
  <si>
    <t>roeschel21@hotmail.com</t>
  </si>
  <si>
    <t>Nasenweg 11</t>
  </si>
  <si>
    <t>0765696902</t>
  </si>
  <si>
    <t>Adriana</t>
  </si>
  <si>
    <t>Trejos</t>
  </si>
  <si>
    <t>adrianita687@hotmail.com</t>
  </si>
  <si>
    <t>0764350787</t>
  </si>
  <si>
    <t>fz.v.bueren@gmail.com</t>
  </si>
  <si>
    <t>Im Westfeld 15</t>
  </si>
  <si>
    <t>0766509733</t>
  </si>
  <si>
    <t>János</t>
  </si>
  <si>
    <t>Hatos</t>
  </si>
  <si>
    <t>hatosjanos18@gmail.com</t>
  </si>
  <si>
    <t>In den Gstüden 1</t>
  </si>
  <si>
    <t>0779766054</t>
  </si>
  <si>
    <t>Göbel</t>
  </si>
  <si>
    <t>egoebel@gmx.net</t>
  </si>
  <si>
    <t>Breisacherstrasse 83</t>
  </si>
  <si>
    <t>0788176985</t>
  </si>
  <si>
    <t>Malte</t>
  </si>
  <si>
    <t>Flachmeyer</t>
  </si>
  <si>
    <t>malte.flachmeyer@gmail.com</t>
  </si>
  <si>
    <t>0762960096</t>
  </si>
  <si>
    <t>Sabatell</t>
  </si>
  <si>
    <t>anasabatell4@gmail.com</t>
  </si>
  <si>
    <t>Steinentorstrasse 14</t>
  </si>
  <si>
    <t>0787964448</t>
  </si>
  <si>
    <t>Cédric</t>
  </si>
  <si>
    <t>Jenni</t>
  </si>
  <si>
    <t>cedricjenni99@gmail.com</t>
  </si>
  <si>
    <t>Rainenweg 121</t>
  </si>
  <si>
    <t>0782002256</t>
  </si>
  <si>
    <t>Tajda</t>
  </si>
  <si>
    <t>Krajnc</t>
  </si>
  <si>
    <t>tajda.krajnc@gmail.com</t>
  </si>
  <si>
    <t>Wettsteinallee 147</t>
  </si>
  <si>
    <t>0798768875</t>
  </si>
  <si>
    <t>Kasia</t>
  </si>
  <si>
    <t>Cnatalska</t>
  </si>
  <si>
    <t>katarzyna.cnatalska@gmail.com</t>
  </si>
  <si>
    <t>Lehenmattstrasse 306</t>
  </si>
  <si>
    <t>0798503351</t>
  </si>
  <si>
    <t>Liliia</t>
  </si>
  <si>
    <t>Kheilik</t>
  </si>
  <si>
    <t>heyliklili@gmail.com</t>
  </si>
  <si>
    <t>Sulzerstrasse</t>
  </si>
  <si>
    <t>00393351662702</t>
  </si>
  <si>
    <t>Zamolo</t>
  </si>
  <si>
    <t>joellezamolo@gmail.com</t>
  </si>
  <si>
    <t>Bachlettenstrasse 27</t>
  </si>
  <si>
    <t>0779507623</t>
  </si>
  <si>
    <t>Karolina</t>
  </si>
  <si>
    <t>Dziedzic</t>
  </si>
  <si>
    <t>kdziedzic09@gmail.com</t>
  </si>
  <si>
    <t>Gerichtsgasse 77</t>
  </si>
  <si>
    <t>5089 Laufenburg</t>
  </si>
  <si>
    <t>0779146940</t>
  </si>
  <si>
    <t>Alicja</t>
  </si>
  <si>
    <t>alicja.dziedzic99@gmail.com</t>
  </si>
  <si>
    <t>Mitteldorf 12</t>
  </si>
  <si>
    <t>0782077796</t>
  </si>
  <si>
    <t>Karina</t>
  </si>
  <si>
    <t>Rogaczewski</t>
  </si>
  <si>
    <t>k.gansera@googlemail.com</t>
  </si>
  <si>
    <t>Klingnaustrasse 8</t>
  </si>
  <si>
    <t>0766737983</t>
  </si>
  <si>
    <t>Filippo</t>
  </si>
  <si>
    <t>Palermo</t>
  </si>
  <si>
    <t>flpp.palermo@gmail.com</t>
  </si>
  <si>
    <t>0798254397-1</t>
  </si>
  <si>
    <t>Mike</t>
  </si>
  <si>
    <t>0798688634</t>
  </si>
  <si>
    <t>Nekko</t>
  </si>
  <si>
    <t>nekko08@gmail.com</t>
  </si>
  <si>
    <t>St. Johanns-Ring 133c</t>
  </si>
  <si>
    <t>0795694012</t>
  </si>
  <si>
    <t>Mann</t>
  </si>
  <si>
    <t>dominik.mann@icloud.com</t>
  </si>
  <si>
    <t>Hegenheimerstrasse 106</t>
  </si>
  <si>
    <t>bekannten</t>
  </si>
  <si>
    <t>0763719922</t>
  </si>
  <si>
    <t>Güler</t>
  </si>
  <si>
    <t>Bögüs</t>
  </si>
  <si>
    <t>guler.atmaca@hotmail.com</t>
  </si>
  <si>
    <t>Speeberweg 20</t>
  </si>
  <si>
    <t>0793203080</t>
  </si>
  <si>
    <t>Aytekin</t>
  </si>
  <si>
    <t>aytekinbg@hotmail.com</t>
  </si>
  <si>
    <t>0788548745</t>
  </si>
  <si>
    <t>salome1901hubler@gmail.com</t>
  </si>
  <si>
    <t>Dammstrasse 26</t>
  </si>
  <si>
    <t>Zunzgen</t>
  </si>
  <si>
    <t>0615348179</t>
  </si>
  <si>
    <t>Kovanah</t>
  </si>
  <si>
    <t>steff.kovanah@gmail.com</t>
  </si>
  <si>
    <t>0794250303</t>
  </si>
  <si>
    <t>Nadien</t>
  </si>
  <si>
    <t>namomu93@bluewin.ch</t>
  </si>
  <si>
    <t>0762018317</t>
  </si>
  <si>
    <t>Makarouni</t>
  </si>
  <si>
    <t>elenimkr22@gmail.com</t>
  </si>
  <si>
    <t>Elsässerstrasse 65</t>
  </si>
  <si>
    <t>0764655959</t>
  </si>
  <si>
    <t>Reuveni Mazig</t>
  </si>
  <si>
    <t>reuveni.tamara@gmail.com</t>
  </si>
  <si>
    <t>Dornacherstrasse 161</t>
  </si>
  <si>
    <t>0762900604</t>
  </si>
  <si>
    <t>Calzadilla</t>
  </si>
  <si>
    <t>irene15c@hotmail.com</t>
  </si>
  <si>
    <t>Rue des Charmilles 24</t>
  </si>
  <si>
    <t>Geneva</t>
  </si>
  <si>
    <t>0763368111</t>
  </si>
  <si>
    <t>Eirao</t>
  </si>
  <si>
    <t>eirao.1976@gmail.com</t>
  </si>
  <si>
    <t>Kleinhüningerstrasse 171</t>
  </si>
  <si>
    <t>0788723313</t>
  </si>
  <si>
    <t>Hava</t>
  </si>
  <si>
    <t>Masyan</t>
  </si>
  <si>
    <t>hava.masyan@gmail.com</t>
  </si>
  <si>
    <t>0782047899</t>
  </si>
  <si>
    <t>Mariona</t>
  </si>
  <si>
    <t>Colomer Rosell</t>
  </si>
  <si>
    <t>mcolomerrosell@gmail.com</t>
  </si>
  <si>
    <t>Gotthelfstrasse 98</t>
  </si>
  <si>
    <t>0764261453</t>
  </si>
  <si>
    <t>Kaymak</t>
  </si>
  <si>
    <t>deniz.kaymak@unibas.ch</t>
  </si>
  <si>
    <t>Zeughausstrasse 31</t>
  </si>
  <si>
    <t>0764604695</t>
  </si>
  <si>
    <t>Nerymar Alejandra</t>
  </si>
  <si>
    <t>nervil73@hotmail.com</t>
  </si>
  <si>
    <t>0765675649</t>
  </si>
  <si>
    <t>Bruna</t>
  </si>
  <si>
    <t>Renna</t>
  </si>
  <si>
    <t>brunarenna@hotmail.com</t>
  </si>
  <si>
    <t>Ofenstrasse 50</t>
  </si>
  <si>
    <t>0783183530</t>
  </si>
  <si>
    <t>Sberna</t>
  </si>
  <si>
    <t>silviasberna30@gmail.com</t>
  </si>
  <si>
    <t>Klybeckstrasse 58</t>
  </si>
  <si>
    <t>00491627628205</t>
  </si>
  <si>
    <t>Fuchs</t>
  </si>
  <si>
    <t>sebastian.fuchs91@yahoo.de</t>
  </si>
  <si>
    <t>Spalentorweg 2</t>
  </si>
  <si>
    <t>0797519880</t>
  </si>
  <si>
    <t>Leopoldo</t>
  </si>
  <si>
    <t>Betesh</t>
  </si>
  <si>
    <t>leopoldobetesh@gmail.com</t>
  </si>
  <si>
    <t>Unterdorfstrasse 25</t>
  </si>
  <si>
    <t>4443 Wittinsburg</t>
  </si>
  <si>
    <t>0797519880-1</t>
  </si>
  <si>
    <t>Prilling</t>
  </si>
  <si>
    <t>julia.prilling@gmail.com</t>
  </si>
  <si>
    <t>0033627532091</t>
  </si>
  <si>
    <t>Estelle</t>
  </si>
  <si>
    <t>Pierrot</t>
  </si>
  <si>
    <t>stella110@hotmail.fr</t>
  </si>
  <si>
    <t>Baselstrasse 62</t>
  </si>
  <si>
    <t>0774461136</t>
  </si>
  <si>
    <t>simon.henry.burri@gmail.com</t>
  </si>
  <si>
    <t>Neuweilerstrasse 96</t>
  </si>
  <si>
    <t>0034674916337</t>
  </si>
  <si>
    <t>Cañadas</t>
  </si>
  <si>
    <t>chochoevolution@hotmail.com</t>
  </si>
  <si>
    <t>Salamanca</t>
  </si>
  <si>
    <t>004917676744505</t>
  </si>
  <si>
    <t>Ugo</t>
  </si>
  <si>
    <t>Jametti</t>
  </si>
  <si>
    <t>asa400@gmx.ch</t>
  </si>
  <si>
    <t>0793691732</t>
  </si>
  <si>
    <t>Zuparic</t>
  </si>
  <si>
    <t>ivan.zuparic@gmx.ch</t>
  </si>
  <si>
    <t>Im Pfauenhof 7</t>
  </si>
  <si>
    <t>004917684104011</t>
  </si>
  <si>
    <t>Ernst</t>
  </si>
  <si>
    <t>ernst.carolin@outlook.de</t>
  </si>
  <si>
    <t>Schloßgasse 55</t>
  </si>
  <si>
    <t>004917684104011-1</t>
  </si>
  <si>
    <t>Raster</t>
  </si>
  <si>
    <t>0793792059</t>
  </si>
  <si>
    <t>Meissner</t>
  </si>
  <si>
    <t>st_meissner@hotmail.com</t>
  </si>
  <si>
    <t>Schlüsselgasse 8</t>
  </si>
  <si>
    <t>004915158381193</t>
  </si>
  <si>
    <t>Luckner</t>
  </si>
  <si>
    <t>b.luckner@outlook.com</t>
  </si>
  <si>
    <t>Binningerstrasse 45</t>
  </si>
  <si>
    <t>0764538513</t>
  </si>
  <si>
    <t>Raggiotto</t>
  </si>
  <si>
    <t>raggiotto.michelle@icloud.com</t>
  </si>
  <si>
    <t>Teichweg 17</t>
  </si>
  <si>
    <t>0795467598</t>
  </si>
  <si>
    <t>carina.handschin@bluewin.ch</t>
  </si>
  <si>
    <t>Rebbergweg 8</t>
  </si>
  <si>
    <t>0774907360</t>
  </si>
  <si>
    <t>Schwegler</t>
  </si>
  <si>
    <t>davidschweg@gmail.com</t>
  </si>
  <si>
    <t>Ramsteinerstrasse</t>
  </si>
  <si>
    <t>0791967599</t>
  </si>
  <si>
    <t>Eckhardt</t>
  </si>
  <si>
    <t>eckhardt_anna@yahoo.de</t>
  </si>
  <si>
    <t>0786018992</t>
  </si>
  <si>
    <t>Ostermayer</t>
  </si>
  <si>
    <t>benjamin@ostermayer.ch</t>
  </si>
  <si>
    <t>0762613597</t>
  </si>
  <si>
    <t>Natalia</t>
  </si>
  <si>
    <t>Tousiaki</t>
  </si>
  <si>
    <t>tousiaki.en@gmail.com</t>
  </si>
  <si>
    <t>Grenzacherstrasse 103</t>
  </si>
  <si>
    <t>00491628913762</t>
  </si>
  <si>
    <t>Karl</t>
  </si>
  <si>
    <t>Neubeck</t>
  </si>
  <si>
    <t>karl.rudolf.neubeck@outlook.de</t>
  </si>
  <si>
    <t>Gartenstrasse 66</t>
  </si>
  <si>
    <t>0789029777</t>
  </si>
  <si>
    <t>Franzi</t>
  </si>
  <si>
    <t>Roppelt</t>
  </si>
  <si>
    <t>franziska.roppelt@gmx.de</t>
  </si>
  <si>
    <t>0797704890</t>
  </si>
  <si>
    <t>Enrique</t>
  </si>
  <si>
    <t>Munoz</t>
  </si>
  <si>
    <t>enrique.munoz@gmx.ch</t>
  </si>
  <si>
    <t>Herrenmattstrasse 3</t>
  </si>
  <si>
    <t>0033661209806</t>
  </si>
  <si>
    <t>alice.alves@protonmail.com</t>
  </si>
  <si>
    <t>50 Rue Poincare</t>
  </si>
  <si>
    <t>Sierentz</t>
  </si>
  <si>
    <t>0799069270</t>
  </si>
  <si>
    <t>lauraalineprobst@gmail.com</t>
  </si>
  <si>
    <t>0774681468</t>
  </si>
  <si>
    <t>Seher</t>
  </si>
  <si>
    <t>Cicek</t>
  </si>
  <si>
    <t>sseher@hotmail.de</t>
  </si>
  <si>
    <t>Baslerstrasse 315</t>
  </si>
  <si>
    <t>0795949196</t>
  </si>
  <si>
    <t>Livia</t>
  </si>
  <si>
    <t>Straumann</t>
  </si>
  <si>
    <t>livia.straumann@bluewin.ch</t>
  </si>
  <si>
    <t>Mörsbergerstrasse 5</t>
  </si>
  <si>
    <t>0797645250</t>
  </si>
  <si>
    <t>Sylwia</t>
  </si>
  <si>
    <t>Kaczanowska</t>
  </si>
  <si>
    <t>sylwiapolsa@gmail.com</t>
  </si>
  <si>
    <t>0786926160</t>
  </si>
  <si>
    <t>Zankl</t>
  </si>
  <si>
    <t>hzankl@datanorm.ch</t>
  </si>
  <si>
    <t>Dorenbachstrasse 91</t>
  </si>
  <si>
    <t>0797423056</t>
  </si>
  <si>
    <t>Carbonetti</t>
  </si>
  <si>
    <t>nina.carbonetti@hotmail.com</t>
  </si>
  <si>
    <t>0795618912</t>
  </si>
  <si>
    <t>Flock</t>
  </si>
  <si>
    <t>judy.flock@gmail.com</t>
  </si>
  <si>
    <t>Kernmattstrasse 88</t>
  </si>
  <si>
    <t>0784068619</t>
  </si>
  <si>
    <t>Rinner</t>
  </si>
  <si>
    <t>rinner.marcia@yahoo.com</t>
  </si>
  <si>
    <t>Pfeffindegerstrasse 105</t>
  </si>
  <si>
    <t>0799590327</t>
  </si>
  <si>
    <t>Leitlein</t>
  </si>
  <si>
    <t>leifel@protonmail.com</t>
  </si>
  <si>
    <t>004915118672219</t>
  </si>
  <si>
    <t>Freja</t>
  </si>
  <si>
    <t>frejas.marcus@gmail.com</t>
  </si>
  <si>
    <t>Innere Margarethenstrasse 9</t>
  </si>
  <si>
    <t>0788221435</t>
  </si>
  <si>
    <t>Amirtha</t>
  </si>
  <si>
    <t>Amirthalingam</t>
  </si>
  <si>
    <t>amirtha40@gmail.com</t>
  </si>
  <si>
    <t>August-Cuenistrasse 14</t>
  </si>
  <si>
    <t>4222 Zwingen</t>
  </si>
  <si>
    <t>00491727841139</t>
  </si>
  <si>
    <t>Ilka</t>
  </si>
  <si>
    <t>Backfisch</t>
  </si>
  <si>
    <t>ilka.backfisch@web.de</t>
  </si>
  <si>
    <t>Bottmingerstrasse 31</t>
  </si>
  <si>
    <t>0764433553</t>
  </si>
  <si>
    <t>Mülleorvá</t>
  </si>
  <si>
    <t>kamullka@gmail.com</t>
  </si>
  <si>
    <t>00491626912222</t>
  </si>
  <si>
    <t>Schengel</t>
  </si>
  <si>
    <t>schengel.julia@hotmail.de</t>
  </si>
  <si>
    <t>Mumpferfährstr 66/5</t>
  </si>
  <si>
    <t>0796580395</t>
  </si>
  <si>
    <t>lexxx.lexxx@gmail.com</t>
  </si>
  <si>
    <t>Horburgstrasse 13</t>
  </si>
  <si>
    <t>0797961351</t>
  </si>
  <si>
    <t>Natum</t>
  </si>
  <si>
    <t>naschizone@gmx.ch</t>
  </si>
  <si>
    <t>Schafmattweg 9</t>
  </si>
  <si>
    <t>0036703794124</t>
  </si>
  <si>
    <t>Lukacs</t>
  </si>
  <si>
    <t>laci91128@gmail.com</t>
  </si>
  <si>
    <t>0798112780</t>
  </si>
  <si>
    <t>0795507919</t>
  </si>
  <si>
    <t>0798082641</t>
  </si>
  <si>
    <t>Ilkay</t>
  </si>
  <si>
    <t>ilkay-kaya@gmx.ch</t>
  </si>
  <si>
    <t>Rheinparkstrasse 1</t>
  </si>
  <si>
    <t>0794640454</t>
  </si>
  <si>
    <t>Senti</t>
  </si>
  <si>
    <t>sandra.senti@gmx.ch</t>
  </si>
  <si>
    <t>Zenzachweg 20</t>
  </si>
  <si>
    <t>Wintersingen</t>
  </si>
  <si>
    <t>0793559012</t>
  </si>
  <si>
    <t>Recher</t>
  </si>
  <si>
    <t>0782604464</t>
  </si>
  <si>
    <t>Thomasse</t>
  </si>
  <si>
    <t>d.thomasse@live.nl</t>
  </si>
  <si>
    <t>Bahnhofstrasse 12 A</t>
  </si>
  <si>
    <t>0792917712</t>
  </si>
  <si>
    <t>Toussaint</t>
  </si>
  <si>
    <t>doca.toussaint@gmail.com</t>
  </si>
  <si>
    <t>Bäumlihofstrasse 421</t>
  </si>
  <si>
    <t>00491711794809</t>
  </si>
  <si>
    <t>Bouron</t>
  </si>
  <si>
    <t>Bouron@t-online.de</t>
  </si>
  <si>
    <t>Kandelstraße 56</t>
  </si>
  <si>
    <t>79194 Gundelfingen</t>
  </si>
  <si>
    <t>0033745314987</t>
  </si>
  <si>
    <t>Beatriz</t>
  </si>
  <si>
    <t>Mackinlay</t>
  </si>
  <si>
    <t>beatrizmackinlay@gmail.com</t>
  </si>
  <si>
    <t>Avenida de la cruz roja n11</t>
  </si>
  <si>
    <t>Jerez de la Frontera</t>
  </si>
  <si>
    <t>0779253658</t>
  </si>
  <si>
    <t>Vlasia</t>
  </si>
  <si>
    <t>Kastrinou Lampou</t>
  </si>
  <si>
    <t>vlasiakastrinou@gmail.com</t>
  </si>
  <si>
    <t>Voltastrasse 89</t>
  </si>
  <si>
    <t>0765647994</t>
  </si>
  <si>
    <t>Waldmann</t>
  </si>
  <si>
    <t>v.a.waldmann@gmail.com</t>
  </si>
  <si>
    <t>0764177421</t>
  </si>
  <si>
    <t>Csendes</t>
  </si>
  <si>
    <t>stephanie.csendes@gmail.com</t>
  </si>
  <si>
    <t>Thiersteinerallee 79</t>
  </si>
  <si>
    <t>0767058228</t>
  </si>
  <si>
    <t>massimo.fusco@hotmail.com</t>
  </si>
  <si>
    <t>Elsässerstrasse 22</t>
  </si>
  <si>
    <t>0763031188</t>
  </si>
  <si>
    <t>Harder</t>
  </si>
  <si>
    <t>michelle.harder@sunrise.ch</t>
  </si>
  <si>
    <t>0792496783</t>
  </si>
  <si>
    <t>4054 Bas</t>
  </si>
  <si>
    <t>0763887046</t>
  </si>
  <si>
    <t>Pertoldi</t>
  </si>
  <si>
    <t>pertoldi@gmx.net</t>
  </si>
  <si>
    <t>0767468694</t>
  </si>
  <si>
    <t>Salzmann</t>
  </si>
  <si>
    <t>salzmannannika@gmail.com</t>
  </si>
  <si>
    <t>6207 Nottwil</t>
  </si>
  <si>
    <t>0795995529</t>
  </si>
  <si>
    <t>Helmecke</t>
  </si>
  <si>
    <t>McByte@gmx.de</t>
  </si>
  <si>
    <t>Klingelbergstr. 57</t>
  </si>
  <si>
    <t>0799093818</t>
  </si>
  <si>
    <t>Gnann</t>
  </si>
  <si>
    <t>AnkeGnann@gmx.de</t>
  </si>
  <si>
    <t>0791924189</t>
  </si>
  <si>
    <t>Olena</t>
  </si>
  <si>
    <t>Kyselova</t>
  </si>
  <si>
    <t>kyselova-olena@ukr.net</t>
  </si>
  <si>
    <t>0797227720</t>
  </si>
  <si>
    <t>Ghitti</t>
  </si>
  <si>
    <t>karin.ghitti@bluewin.ch</t>
  </si>
  <si>
    <t>5415 Nussbaum</t>
  </si>
  <si>
    <t>0762842552</t>
  </si>
  <si>
    <t>Tobler</t>
  </si>
  <si>
    <t>Patrizia.tobler@hotmail.ch</t>
  </si>
  <si>
    <t>Schopfheimerstrasse 8</t>
  </si>
  <si>
    <t>0793197017</t>
  </si>
  <si>
    <t>Dietz</t>
  </si>
  <si>
    <t>dietz@praxisengelgasse.ch</t>
  </si>
  <si>
    <t>Engelgasse 45</t>
  </si>
  <si>
    <t>0793339848</t>
  </si>
  <si>
    <t>stefanie.wirz@gmail.com</t>
  </si>
  <si>
    <t>Heuwinkelstrasse 8</t>
  </si>
  <si>
    <t>0762329667</t>
  </si>
  <si>
    <t>Rau</t>
  </si>
  <si>
    <t>rebecca.rau@gmx.net</t>
  </si>
  <si>
    <t>Margarethenstrasse 75</t>
  </si>
  <si>
    <t>0774667677</t>
  </si>
  <si>
    <t>Richter</t>
  </si>
  <si>
    <t>geiserceline@gmail.com</t>
  </si>
  <si>
    <t>Feldstrasse 5</t>
  </si>
  <si>
    <t>Dulliken</t>
  </si>
  <si>
    <t>0764262929</t>
  </si>
  <si>
    <t>Heymoz</t>
  </si>
  <si>
    <t>m.heymoz@gmx.ch</t>
  </si>
  <si>
    <t>Brennnessel 201</t>
  </si>
  <si>
    <t>00491742016011</t>
  </si>
  <si>
    <t>Reiss</t>
  </si>
  <si>
    <t>Isabelreiss@gmx.de</t>
  </si>
  <si>
    <t>0774037065</t>
  </si>
  <si>
    <t>wolf-hug@bluewin.ch</t>
  </si>
  <si>
    <t>Untere Weid, 20</t>
  </si>
  <si>
    <t>0763409935</t>
  </si>
  <si>
    <t>Buletti</t>
  </si>
  <si>
    <t>rbuletti@muttenznet.ch</t>
  </si>
  <si>
    <t>Langackerstrasse 2</t>
  </si>
  <si>
    <t>0796607307</t>
  </si>
  <si>
    <t>martinagschwind@hotmail.com</t>
  </si>
  <si>
    <t>Leonhardsberg 15</t>
  </si>
  <si>
    <t>0796607307-1</t>
  </si>
  <si>
    <t>Nicolai</t>
  </si>
  <si>
    <t>Rhyn</t>
  </si>
  <si>
    <t>nicolai.rhyn@unibas.ch</t>
  </si>
  <si>
    <t>0795988422</t>
  </si>
  <si>
    <t>Agnes</t>
  </si>
  <si>
    <t>Würsch</t>
  </si>
  <si>
    <t>agnes.wuersch@klybeck.org</t>
  </si>
  <si>
    <t>Mülhauserstrasse 93</t>
  </si>
  <si>
    <t>0797401635</t>
  </si>
  <si>
    <t>Székely</t>
  </si>
  <si>
    <t>momo@klybeck.org</t>
  </si>
  <si>
    <t>0792458375</t>
  </si>
  <si>
    <t>Ewelina</t>
  </si>
  <si>
    <t>Lenartowicz</t>
  </si>
  <si>
    <t>lenartowicz.ewelina@gmail.com</t>
  </si>
  <si>
    <t>Tessinstrasse 36</t>
  </si>
  <si>
    <t>0793823759</t>
  </si>
  <si>
    <t>Mattschas</t>
  </si>
  <si>
    <t>margarete.mattschas@gmail.com</t>
  </si>
  <si>
    <t>Thiersteinerallee 73</t>
  </si>
  <si>
    <t>0764979121</t>
  </si>
  <si>
    <t>Lancia</t>
  </si>
  <si>
    <t>andrea.lancia@outlook.it</t>
  </si>
  <si>
    <t>Reiterstrasse 50</t>
  </si>
  <si>
    <t>0764979121-1</t>
  </si>
  <si>
    <t>Mostarda</t>
  </si>
  <si>
    <t>mostarda.serena@gmail.com</t>
  </si>
  <si>
    <t>004915738643317</t>
  </si>
  <si>
    <t>Filipova</t>
  </si>
  <si>
    <t>lea.filipova@yahoo.de</t>
  </si>
  <si>
    <t>Froberstrasse 81</t>
  </si>
  <si>
    <t>0798122926</t>
  </si>
  <si>
    <t>Kalin</t>
  </si>
  <si>
    <t>Marinov</t>
  </si>
  <si>
    <t>kalin.marinov977@gmail.com</t>
  </si>
  <si>
    <t>Luzernerstrasse 9</t>
  </si>
  <si>
    <t>Rotkreuz</t>
  </si>
  <si>
    <t>0764535573</t>
  </si>
  <si>
    <t>Magno</t>
  </si>
  <si>
    <t>carmen_magno4@hotmail.com</t>
  </si>
  <si>
    <t>Erlenmattweg 9</t>
  </si>
  <si>
    <t>0774063151</t>
  </si>
  <si>
    <t>Kofmehl</t>
  </si>
  <si>
    <t>lkofmehl.lk@gmail.ch</t>
  </si>
  <si>
    <t>0033787383930</t>
  </si>
  <si>
    <t>Dominic</t>
  </si>
  <si>
    <t>Klingelfuss</t>
  </si>
  <si>
    <t>domikling101@gmail.com</t>
  </si>
  <si>
    <t>1 rue du Sundgau</t>
  </si>
  <si>
    <t>0764953389</t>
  </si>
  <si>
    <t>Sgura</t>
  </si>
  <si>
    <t>sgura87@gmail.com</t>
  </si>
  <si>
    <t>Dorfstrasse 20</t>
  </si>
  <si>
    <t>Hersberg</t>
  </si>
  <si>
    <t>0797522739</t>
  </si>
  <si>
    <t>Battaglia</t>
  </si>
  <si>
    <t>battaglia.alessandro@bluewin.ch</t>
  </si>
  <si>
    <t>0792448800</t>
  </si>
  <si>
    <t>maya.moritz@bluewin.ch</t>
  </si>
  <si>
    <t>Im Rank 9</t>
  </si>
  <si>
    <t>4417 Ziefen</t>
  </si>
  <si>
    <t>0795325644</t>
  </si>
  <si>
    <t>Hopf</t>
  </si>
  <si>
    <t>svenhopf@hotmail.com</t>
  </si>
  <si>
    <t>Am Mühlebach 7</t>
  </si>
  <si>
    <t>0798280433</t>
  </si>
  <si>
    <t>Marin</t>
  </si>
  <si>
    <t>Ollagnon</t>
  </si>
  <si>
    <t>marin.ollagnon@hotmail.com</t>
  </si>
  <si>
    <t>0767468693</t>
  </si>
  <si>
    <t>Eichmatt 12a</t>
  </si>
  <si>
    <t>0766051503</t>
  </si>
  <si>
    <t>Ruth</t>
  </si>
  <si>
    <t>ruth-maria-weber@t-online.de</t>
  </si>
  <si>
    <t>St.Joahnns-Vorstadt 35</t>
  </si>
  <si>
    <t>0036501047403</t>
  </si>
  <si>
    <t>Vinnai</t>
  </si>
  <si>
    <t>daniel.vinnai@gmail.com</t>
  </si>
  <si>
    <t>Rümulelinsplatz 19</t>
  </si>
  <si>
    <t>0775011520</t>
  </si>
  <si>
    <t>eric.etienne@protonmail.com</t>
  </si>
  <si>
    <t>route de vorbourg</t>
  </si>
  <si>
    <t>0796124108</t>
  </si>
  <si>
    <t>Ladina</t>
  </si>
  <si>
    <t>Federspiel</t>
  </si>
  <si>
    <t>ladina.federspiel@breitband.ch</t>
  </si>
  <si>
    <t>Güterstrasse 265</t>
  </si>
  <si>
    <t>0774583310</t>
  </si>
  <si>
    <t>Pablo</t>
  </si>
  <si>
    <t>pablowuethrich@bluewin.ch</t>
  </si>
  <si>
    <t>Riehenring 10</t>
  </si>
  <si>
    <t>0797606333</t>
  </si>
  <si>
    <t>sheenafabienne@outlook.com</t>
  </si>
  <si>
    <t>0793676399</t>
  </si>
  <si>
    <t>Gensan</t>
  </si>
  <si>
    <t>Thavarajah</t>
  </si>
  <si>
    <t>gensan.t@hotmail.ch</t>
  </si>
  <si>
    <t>Netzenweg 12</t>
  </si>
  <si>
    <t>0783409939</t>
  </si>
  <si>
    <t>Mellor</t>
  </si>
  <si>
    <t>chazmellor@yahoo.co.uk</t>
  </si>
  <si>
    <t>9 rue des Libellules</t>
  </si>
  <si>
    <t>0798764102</t>
  </si>
  <si>
    <t>Baran</t>
  </si>
  <si>
    <t>Ayhan</t>
  </si>
  <si>
    <t>baranayhan@hotmail.com</t>
  </si>
  <si>
    <t>Juchstrasse 1</t>
  </si>
  <si>
    <t>0793619352</t>
  </si>
  <si>
    <t>Yannic</t>
  </si>
  <si>
    <t>yannic.lais@gmx.ch</t>
  </si>
  <si>
    <t>Kastanienweg 9</t>
  </si>
  <si>
    <t>00491795531616</t>
  </si>
  <si>
    <t>Grube</t>
  </si>
  <si>
    <t>Sabrina.Grube@gmx.net</t>
  </si>
  <si>
    <t>Riehenstrasse 49</t>
  </si>
  <si>
    <t>Inzlingen</t>
  </si>
  <si>
    <t>004915228110792</t>
  </si>
  <si>
    <t>Bratz Solano</t>
  </si>
  <si>
    <t>jessica.bratzsolano@web.de</t>
  </si>
  <si>
    <t>Heinrich-Heine-Straße 2b</t>
  </si>
  <si>
    <t>0765207488</t>
  </si>
  <si>
    <t>o.schneider@sunrise.ch</t>
  </si>
  <si>
    <t>Holeestrasse 52</t>
  </si>
  <si>
    <t>0797009862</t>
  </si>
  <si>
    <t>Jahreis</t>
  </si>
  <si>
    <t>angelikajahreis@yahoo.com</t>
  </si>
  <si>
    <t>Kirschgartenstr 36</t>
  </si>
  <si>
    <t>0787134724</t>
  </si>
  <si>
    <t>Reznik</t>
  </si>
  <si>
    <t>reznikdiana@hotmail.com</t>
  </si>
  <si>
    <t>Davidsrain 6</t>
  </si>
  <si>
    <t>0799169981</t>
  </si>
  <si>
    <t>Jeffery</t>
  </si>
  <si>
    <t>mjeffery.8733@gmail.com</t>
  </si>
  <si>
    <t>Zollweidenstrasse 31</t>
  </si>
  <si>
    <t>004915208262666</t>
  </si>
  <si>
    <t>Eichler</t>
  </si>
  <si>
    <t>bianca_eich.woelpp@hotmail.de</t>
  </si>
  <si>
    <t>Am Dorfbach 22</t>
  </si>
  <si>
    <t>0782263816</t>
  </si>
  <si>
    <t>Chepurna</t>
  </si>
  <si>
    <t>Yuliya</t>
  </si>
  <si>
    <t>bsruproject@gmail.com</t>
  </si>
  <si>
    <t>Thannerstrasse 71</t>
  </si>
  <si>
    <t>00491623161225</t>
  </si>
  <si>
    <t>Hannes</t>
  </si>
  <si>
    <t>hannes.co2@web.de</t>
  </si>
  <si>
    <t>Missionsstrasse 19A</t>
  </si>
  <si>
    <t>0033603500013</t>
  </si>
  <si>
    <t>Ayao</t>
  </si>
  <si>
    <t>d'Almeida</t>
  </si>
  <si>
    <t>dalmeida1978@yahoo.fr</t>
  </si>
  <si>
    <t>1 rue du Rhone</t>
  </si>
  <si>
    <t>Mulhouse</t>
  </si>
  <si>
    <t>0797721677</t>
  </si>
  <si>
    <t>fabienne.hermann@gmx.ch</t>
  </si>
  <si>
    <t>Schalbergstrasse 18</t>
  </si>
  <si>
    <t>0033670942720</t>
  </si>
  <si>
    <t>eric68.gabriel@gmail.com</t>
  </si>
  <si>
    <t>8 Avenue du 20 Janvier</t>
  </si>
  <si>
    <t>Lutterbach</t>
  </si>
  <si>
    <t>0774338399</t>
  </si>
  <si>
    <t>Brahimi</t>
  </si>
  <si>
    <t>laurabrahimi11@icloud.com</t>
  </si>
  <si>
    <t>Wolfgartenstrasse 490</t>
  </si>
  <si>
    <t>4252 Bärschwil</t>
  </si>
  <si>
    <t>0797928950</t>
  </si>
  <si>
    <t>Milutinovic</t>
  </si>
  <si>
    <t>milutinovicmarina11@gmail.com</t>
  </si>
  <si>
    <t>Magnolienpark 3</t>
  </si>
  <si>
    <t>0030308740664</t>
  </si>
  <si>
    <t>004915203674713</t>
  </si>
  <si>
    <t>Brugger</t>
  </si>
  <si>
    <t>lorena.brugger@gmx.de</t>
  </si>
  <si>
    <t>Basler Straße 3</t>
  </si>
  <si>
    <t>0792983583</t>
  </si>
  <si>
    <t>Demuth</t>
  </si>
  <si>
    <t>udemuth@gmx.net</t>
  </si>
  <si>
    <t>Rudolf Steinerweg 9</t>
  </si>
  <si>
    <t>0789444767</t>
  </si>
  <si>
    <t>Burger Demuth</t>
  </si>
  <si>
    <t>burgerdemuth@gmail.com</t>
  </si>
  <si>
    <t>0767601337</t>
  </si>
  <si>
    <t>Mirela</t>
  </si>
  <si>
    <t>Zaric</t>
  </si>
  <si>
    <t>mirela.zaric@gmail.com</t>
  </si>
  <si>
    <t>Pfeffingerstrasse 84a</t>
  </si>
  <si>
    <t>004917630486386</t>
  </si>
  <si>
    <t>Hilpert-Reitzig</t>
  </si>
  <si>
    <t>nd.hilpert@gmail.com</t>
  </si>
  <si>
    <t>Wasserwerkstrasse 20</t>
  </si>
  <si>
    <t>0768157017</t>
  </si>
  <si>
    <t>Diaz de Vivar</t>
  </si>
  <si>
    <t>nadia.diazdevivar@yahoo.de</t>
  </si>
  <si>
    <t>Schlossweg 104d</t>
  </si>
  <si>
    <t>0774142687</t>
  </si>
  <si>
    <t>Elebe</t>
  </si>
  <si>
    <t>j.elebe@bluewin.ch</t>
  </si>
  <si>
    <t>St. Galler-Ring 9</t>
  </si>
  <si>
    <t>0767246426</t>
  </si>
  <si>
    <t>Mack</t>
  </si>
  <si>
    <t>d.mack18@gmx.ch</t>
  </si>
  <si>
    <t>Brombacherstrasse 9</t>
  </si>
  <si>
    <t>0793497699</t>
  </si>
  <si>
    <t>Valinotti</t>
  </si>
  <si>
    <t>paola.valinotti.aostri@gmail.com</t>
  </si>
  <si>
    <t>Landskronstrasse 15</t>
  </si>
  <si>
    <t>0789152750</t>
  </si>
  <si>
    <t>Caffo</t>
  </si>
  <si>
    <t>federica.caffo@hotmail.com</t>
  </si>
  <si>
    <t>Baslerstrasse 28</t>
  </si>
  <si>
    <t>0764792557</t>
  </si>
  <si>
    <t>Schmitz</t>
  </si>
  <si>
    <t>schmitz.nina.e@gmail.com</t>
  </si>
  <si>
    <t>Rebgasse</t>
  </si>
  <si>
    <t>0764503454</t>
  </si>
  <si>
    <t>Di Gregorio</t>
  </si>
  <si>
    <t>mariadigregorio@msn.com</t>
  </si>
  <si>
    <t>Käferholzstrasse 16</t>
  </si>
  <si>
    <t>0779775971</t>
  </si>
  <si>
    <t>Carratala</t>
  </si>
  <si>
    <t>icb.carratala@gmail.com</t>
  </si>
  <si>
    <t>Jungstrasse 1</t>
  </si>
  <si>
    <t>0793193592</t>
  </si>
  <si>
    <t>0789202829</t>
  </si>
  <si>
    <t>sarah.moretto@hotmail.com</t>
  </si>
  <si>
    <t>Kaltbrunnenstrasse 49</t>
  </si>
  <si>
    <t>0787332975</t>
  </si>
  <si>
    <t>anna.caminati@hotmail.com</t>
  </si>
  <si>
    <t>0794412069</t>
  </si>
  <si>
    <t>0764016475</t>
  </si>
  <si>
    <t>Saueressig</t>
  </si>
  <si>
    <t>hsaueressig@hotmail.com</t>
  </si>
  <si>
    <t>0796250981</t>
  </si>
  <si>
    <t>Barberio</t>
  </si>
  <si>
    <t>0048508762092</t>
  </si>
  <si>
    <t>Prusak</t>
  </si>
  <si>
    <t>annap123@onet.pl</t>
  </si>
  <si>
    <t>Via portoferaio 13</t>
  </si>
  <si>
    <t>0762323008</t>
  </si>
  <si>
    <t>Kwidzinski</t>
  </si>
  <si>
    <t>marika.kwidzinski@web.de</t>
  </si>
  <si>
    <t>Stöberstrasse 5</t>
  </si>
  <si>
    <t>0792028150</t>
  </si>
  <si>
    <t>Aniq</t>
  </si>
  <si>
    <t>Iselin</t>
  </si>
  <si>
    <t>iselinaniq@hotmail.com</t>
  </si>
  <si>
    <t>Claragraben 140</t>
  </si>
  <si>
    <t>0033603059517</t>
  </si>
  <si>
    <t>Tom</t>
  </si>
  <si>
    <t>Jaouen</t>
  </si>
  <si>
    <t>thomas.jaouen24</t>
  </si>
  <si>
    <t>0798148581</t>
  </si>
  <si>
    <t>von Escher</t>
  </si>
  <si>
    <t>adivonescher@hotmail.com</t>
  </si>
  <si>
    <t>St. Jakobs-Strasse 191</t>
  </si>
  <si>
    <t>0792794421</t>
  </si>
  <si>
    <t>Schindler</t>
  </si>
  <si>
    <t>stephan.schindler@gmx.ch</t>
  </si>
  <si>
    <t>0792794421-1</t>
  </si>
  <si>
    <t>0762616678</t>
  </si>
  <si>
    <t>0795588790</t>
  </si>
  <si>
    <t>Anastasiia</t>
  </si>
  <si>
    <t>Pokhilevych</t>
  </si>
  <si>
    <t>apokhilevych@gmail.com</t>
  </si>
  <si>
    <t>Mühlegarten 8</t>
  </si>
  <si>
    <t>0764191590</t>
  </si>
  <si>
    <t>Varela</t>
  </si>
  <si>
    <t>lorena.graincavarela@gmail.com</t>
  </si>
  <si>
    <t>8952 Schlieren</t>
  </si>
  <si>
    <t>0798461472</t>
  </si>
  <si>
    <t>Melek</t>
  </si>
  <si>
    <t>Kusoglu</t>
  </si>
  <si>
    <t>melek.kusoglu@unibas.ch</t>
  </si>
  <si>
    <t>Markgräflerstrasse 44</t>
  </si>
  <si>
    <t>0789282340</t>
  </si>
  <si>
    <t>Fiedler</t>
  </si>
  <si>
    <t>alice_fiedler@yahoo.com</t>
  </si>
  <si>
    <t>Pfingstweidstrasse 98</t>
  </si>
  <si>
    <t>8005 Zürich</t>
  </si>
  <si>
    <t>0795063387</t>
  </si>
  <si>
    <t>Yulia</t>
  </si>
  <si>
    <t>Manuylova</t>
  </si>
  <si>
    <t>yulia.manuylova@gmail.com</t>
  </si>
  <si>
    <t>Zwingerstrasse 26</t>
  </si>
  <si>
    <t>00491604792521</t>
  </si>
  <si>
    <t>Haselwander</t>
  </si>
  <si>
    <t>tim.haselwander@freenet.de</t>
  </si>
  <si>
    <t>0789431324</t>
  </si>
  <si>
    <t>Giglia</t>
  </si>
  <si>
    <t>claudio.giglia03@gmx.net</t>
  </si>
  <si>
    <t>Hausirainweg 6b</t>
  </si>
  <si>
    <t>4202 Duggingen</t>
  </si>
  <si>
    <t>0793970641</t>
  </si>
  <si>
    <t>Bruch</t>
  </si>
  <si>
    <t>helena.bruch@hotmail.com</t>
  </si>
  <si>
    <t>0795632065</t>
  </si>
  <si>
    <t>Luisa</t>
  </si>
  <si>
    <t>Blättler</t>
  </si>
  <si>
    <t>l.blaettler@bluewin.ch</t>
  </si>
  <si>
    <t>Auf der Wacht 51a</t>
  </si>
  <si>
    <t>0796298268</t>
  </si>
  <si>
    <t>Schoch</t>
  </si>
  <si>
    <t>0793316731</t>
  </si>
  <si>
    <t xml:space="preserve">Marco </t>
  </si>
  <si>
    <t>Emmenegger</t>
  </si>
  <si>
    <t>marco-emmenegger@outlook.com</t>
  </si>
  <si>
    <t>0783353545</t>
  </si>
  <si>
    <t>Zäpernick</t>
  </si>
  <si>
    <t>lizaeppi@aol.com</t>
  </si>
  <si>
    <t>Känelmattstrasse 33</t>
  </si>
  <si>
    <t>Arisdof</t>
  </si>
  <si>
    <t>0798729078</t>
  </si>
  <si>
    <t>Weibel</t>
  </si>
  <si>
    <t>lw23@bluewin.ch</t>
  </si>
  <si>
    <t>Burgstrasse 8</t>
  </si>
  <si>
    <t>0792737580</t>
  </si>
  <si>
    <t>Willmers</t>
  </si>
  <si>
    <t>l.willmes@bluewin.ch</t>
  </si>
  <si>
    <t>Ergolzstrasse 5</t>
  </si>
  <si>
    <t>0796997005</t>
  </si>
  <si>
    <t>Bene</t>
  </si>
  <si>
    <t>contact@antoniobene.ch</t>
  </si>
  <si>
    <t>Spitzackerstrasse 23</t>
  </si>
  <si>
    <t>0794761824</t>
  </si>
  <si>
    <t>Alena</t>
  </si>
  <si>
    <t>Dierauer</t>
  </si>
  <si>
    <t>alena.dierauer45@outlook.de</t>
  </si>
  <si>
    <t>Mattweg 159</t>
  </si>
  <si>
    <t>0763472493</t>
  </si>
  <si>
    <t>Cansunur</t>
  </si>
  <si>
    <t>Demirci</t>
  </si>
  <si>
    <t>cansunurdemirci@live.de</t>
  </si>
  <si>
    <t>Austrasse 32</t>
  </si>
  <si>
    <t>0782561104</t>
  </si>
  <si>
    <t>Ghini</t>
  </si>
  <si>
    <t>mh.ghini@gmail.com</t>
  </si>
  <si>
    <t>004917656844069</t>
  </si>
  <si>
    <t>André</t>
  </si>
  <si>
    <t>Bunn</t>
  </si>
  <si>
    <t>andre.bunn@gmx.de</t>
  </si>
  <si>
    <t>Walter-Wetzel-Weg 10</t>
  </si>
  <si>
    <t>0797063234</t>
  </si>
  <si>
    <t>Espurz Abad</t>
  </si>
  <si>
    <t>noemi.espurz@gmail.com</t>
  </si>
  <si>
    <t>Burggartenstrasse 32</t>
  </si>
  <si>
    <t>0765235926</t>
  </si>
  <si>
    <t>0796032912</t>
  </si>
  <si>
    <t>Giunca</t>
  </si>
  <si>
    <t>sg@bell-essere.ch</t>
  </si>
  <si>
    <t>Schaufelackerweg 8</t>
  </si>
  <si>
    <t>Zeiningen</t>
  </si>
  <si>
    <t>0793815005</t>
  </si>
  <si>
    <t>Kneubühler</t>
  </si>
  <si>
    <t>thomas@tiga.ch</t>
  </si>
  <si>
    <t>Sternenweg 7</t>
  </si>
  <si>
    <t>0764044815</t>
  </si>
  <si>
    <t>Cennamo</t>
  </si>
  <si>
    <t>alisia.cennamo@gmail.com</t>
  </si>
  <si>
    <t>0782151254</t>
  </si>
  <si>
    <t>Tarchini</t>
  </si>
  <si>
    <t>davide1095@proton.me</t>
  </si>
  <si>
    <t>Oberwilerstrasse 2</t>
  </si>
  <si>
    <t>0795298513</t>
  </si>
  <si>
    <t>Pasquale</t>
  </si>
  <si>
    <t>Grasso</t>
  </si>
  <si>
    <t>pasquale_grasso@hotmail.com</t>
  </si>
  <si>
    <t>Pilgerstrasse, 28</t>
  </si>
  <si>
    <t>0792626602</t>
  </si>
  <si>
    <t>katrin.schlaepfer@edubs.ch</t>
  </si>
  <si>
    <t>Grienstrasse 82</t>
  </si>
  <si>
    <t>0797612296</t>
  </si>
  <si>
    <t>Marley</t>
  </si>
  <si>
    <t>rachel.marley@hotmail.com</t>
  </si>
  <si>
    <t>In Den Steinreben 4B</t>
  </si>
  <si>
    <t>0792114447</t>
  </si>
  <si>
    <t>Kataryna</t>
  </si>
  <si>
    <t>Horzemski</t>
  </si>
  <si>
    <t>kataryna.horzemski@gmx.ch</t>
  </si>
  <si>
    <t>0791507853</t>
  </si>
  <si>
    <t>Zeinab</t>
  </si>
  <si>
    <t>Rkain</t>
  </si>
  <si>
    <t>zrkain@gmail.com</t>
  </si>
  <si>
    <t>0034620206232</t>
  </si>
  <si>
    <t>Rodriguez Garcia</t>
  </si>
  <si>
    <t>martarodriguezgarcia92@gmail.com</t>
  </si>
  <si>
    <t>Klybeckstrasse 98</t>
  </si>
  <si>
    <t>0783244194</t>
  </si>
  <si>
    <t>Evgeniy</t>
  </si>
  <si>
    <t>Razumovskiy</t>
  </si>
  <si>
    <t>razumovskiy.evgeniy@gmail.com</t>
  </si>
  <si>
    <t>Kupfergasse 8</t>
  </si>
  <si>
    <t>0782436042</t>
  </si>
  <si>
    <t>Doganci</t>
  </si>
  <si>
    <t>ruzgar55@hotmail.com</t>
  </si>
  <si>
    <t>Muespacherstrasse 46</t>
  </si>
  <si>
    <t>0788300558</t>
  </si>
  <si>
    <t>Klein</t>
  </si>
  <si>
    <t>jk211@gmx.de</t>
  </si>
  <si>
    <t>Stallenmattstrasse 14</t>
  </si>
  <si>
    <t>0033602731793</t>
  </si>
  <si>
    <t>Sakina</t>
  </si>
  <si>
    <t>Abouzouhair</t>
  </si>
  <si>
    <t>sakina.abouzouhair@gmail.com</t>
  </si>
  <si>
    <t>1 Rue du Temple</t>
  </si>
  <si>
    <t>0774680587</t>
  </si>
  <si>
    <t>Quiroz</t>
  </si>
  <si>
    <t>bullbasti011@hotmail.com</t>
  </si>
  <si>
    <t>Spalenring</t>
  </si>
  <si>
    <t>0795164912</t>
  </si>
  <si>
    <t>Svitlana</t>
  </si>
  <si>
    <t>Logvinova</t>
  </si>
  <si>
    <t>sway@ua.fm</t>
  </si>
  <si>
    <t>Bottmingerstrasse 121</t>
  </si>
  <si>
    <t>0798793383</t>
  </si>
  <si>
    <t>Elma</t>
  </si>
  <si>
    <t>Kamberi</t>
  </si>
  <si>
    <t>elma_195@hotmail.com</t>
  </si>
  <si>
    <t>St. Jakob-Strasse 108b</t>
  </si>
  <si>
    <t>0798793383-1</t>
  </si>
  <si>
    <t>Arlind</t>
  </si>
  <si>
    <t>Amiti</t>
  </si>
  <si>
    <t>arlind.amiti@hotmail.ch</t>
  </si>
  <si>
    <t>0034636670707</t>
  </si>
  <si>
    <t>Garijo</t>
  </si>
  <si>
    <t>saragarijo@hotmail.com</t>
  </si>
  <si>
    <t>0793798765</t>
  </si>
  <si>
    <t>Rentsch</t>
  </si>
  <si>
    <t>daniela.rentsch@gmail.com</t>
  </si>
  <si>
    <t>Bergweg 28</t>
  </si>
  <si>
    <t>4312 Magden</t>
  </si>
  <si>
    <t>0765255842</t>
  </si>
  <si>
    <t>Hervé</t>
  </si>
  <si>
    <t>herve_moto90@hotmail.com</t>
  </si>
  <si>
    <t>Flughafenstrasse 8</t>
  </si>
  <si>
    <t>004915234349966</t>
  </si>
  <si>
    <t>Pfaff</t>
  </si>
  <si>
    <t>pa.pfaff@t-online.de</t>
  </si>
  <si>
    <t>Stettinerstr. 7</t>
  </si>
  <si>
    <t>0791789058</t>
  </si>
  <si>
    <t>da Silva Pinto</t>
  </si>
  <si>
    <t>marciaspin1978@gmail.com</t>
  </si>
  <si>
    <t>Holbeinstrasse  31</t>
  </si>
  <si>
    <t>0791999304</t>
  </si>
  <si>
    <t>Salem</t>
  </si>
  <si>
    <t>Fahdy</t>
  </si>
  <si>
    <t>salemfahdy@gmail.com</t>
  </si>
  <si>
    <t>Lehenmattstrasse 230</t>
  </si>
  <si>
    <t>0792795657</t>
  </si>
  <si>
    <t>Häner</t>
  </si>
  <si>
    <t>simone.haener@bluewin.ch</t>
  </si>
  <si>
    <t>Frenkenstrasse 12</t>
  </si>
  <si>
    <t>0792795657-1</t>
  </si>
  <si>
    <t>Ajanth</t>
  </si>
  <si>
    <t>Velupillai</t>
  </si>
  <si>
    <t>0763277303</t>
  </si>
  <si>
    <t>samuel.batistini@bluewin.ch</t>
  </si>
  <si>
    <t>Gempenstrasse 49</t>
  </si>
  <si>
    <t>Mélissa</t>
  </si>
  <si>
    <t>0798724080</t>
  </si>
  <si>
    <t>Syria</t>
  </si>
  <si>
    <t>Savary</t>
  </si>
  <si>
    <t>syria.savary@hotmail.ch</t>
  </si>
  <si>
    <t>Nelkenring 11</t>
  </si>
  <si>
    <t>Bubendorf</t>
  </si>
  <si>
    <t>0762630712</t>
  </si>
  <si>
    <t>Jacov</t>
  </si>
  <si>
    <t>Bludnikov</t>
  </si>
  <si>
    <t>04jakov.bludnikov@gmail.com</t>
  </si>
  <si>
    <t>0795410398</t>
  </si>
  <si>
    <t>Kohler</t>
  </si>
  <si>
    <t>fabiennekohler3775@gmail.com</t>
  </si>
  <si>
    <t>Bettenstrasse 40</t>
  </si>
  <si>
    <t>0774810117</t>
  </si>
  <si>
    <t>Gabrielle</t>
  </si>
  <si>
    <t>gabrielle.hofer@hotmail.com</t>
  </si>
  <si>
    <t>Oberwilerstrasse 30</t>
  </si>
  <si>
    <t>0786111634</t>
  </si>
  <si>
    <t>Onur</t>
  </si>
  <si>
    <t>Erdem</t>
  </si>
  <si>
    <t>erdem-onur@hotmail.com</t>
  </si>
  <si>
    <t>Magnolienpark 1</t>
  </si>
  <si>
    <t>0797527384</t>
  </si>
  <si>
    <t>004915259015418</t>
  </si>
  <si>
    <t>Ritupriya</t>
  </si>
  <si>
    <t>Rao</t>
  </si>
  <si>
    <t>0782441428</t>
  </si>
  <si>
    <t>Oana</t>
  </si>
  <si>
    <t>Ciascaiu</t>
  </si>
  <si>
    <t>oanaciascaiu@gmail.com</t>
  </si>
  <si>
    <t>Draghtzugstrasse 62</t>
  </si>
  <si>
    <t>0793585291</t>
  </si>
  <si>
    <t>Gil</t>
  </si>
  <si>
    <t>iluis.gil@hotmail.com</t>
  </si>
  <si>
    <t>Bruderholzstrasse 96</t>
  </si>
  <si>
    <t>4053 Basek</t>
  </si>
  <si>
    <t>0764135233</t>
  </si>
  <si>
    <t>Jaeger</t>
  </si>
  <si>
    <t>0787325209</t>
  </si>
  <si>
    <t>Roy</t>
  </si>
  <si>
    <t>mrs.hana.roy@gmail.com</t>
  </si>
  <si>
    <t>Margarethenstrasse 47</t>
  </si>
  <si>
    <t>0788788381</t>
  </si>
  <si>
    <t>Glenn</t>
  </si>
  <si>
    <t>gr428@yahoo.co.uk</t>
  </si>
  <si>
    <t>0765490154</t>
  </si>
  <si>
    <t>Rzehak</t>
  </si>
  <si>
    <t>tamara.rzehak@sunrise.ch</t>
  </si>
  <si>
    <t>St. Alban Anlage 25</t>
  </si>
  <si>
    <t>‪0033783506785‬</t>
  </si>
  <si>
    <t>Le Carrer</t>
  </si>
  <si>
    <t>0763248474</t>
  </si>
  <si>
    <t>Rahm</t>
  </si>
  <si>
    <t>caroline.rahm@gmx.net</t>
  </si>
  <si>
    <t>0767056863</t>
  </si>
  <si>
    <t>Isele</t>
  </si>
  <si>
    <t>christoph.isele@hotmail.de</t>
  </si>
  <si>
    <t>Erlenmattstrasse 83</t>
  </si>
  <si>
    <t>0782266690</t>
  </si>
  <si>
    <t>Doinita</t>
  </si>
  <si>
    <t>Deliu</t>
  </si>
  <si>
    <t>d.doinita98@yahoo.com</t>
  </si>
  <si>
    <t>Wallstrasse 11</t>
  </si>
  <si>
    <t>0799139421</t>
  </si>
  <si>
    <t>Emre</t>
  </si>
  <si>
    <t>Topkaya</t>
  </si>
  <si>
    <t>emre.topkaya@bluewin.ch</t>
  </si>
  <si>
    <t>Im Thal 1</t>
  </si>
  <si>
    <t>0795764947</t>
  </si>
  <si>
    <t>Marco Alessandro</t>
  </si>
  <si>
    <t>Pedrazzoli</t>
  </si>
  <si>
    <t>pedrazzolimarco07@gmail.com</t>
  </si>
  <si>
    <t>0793255876</t>
  </si>
  <si>
    <t>Wehrli</t>
  </si>
  <si>
    <t>rebekka.wehrli@zoho.com</t>
  </si>
  <si>
    <t>004917684808582</t>
  </si>
  <si>
    <t>Jakob</t>
  </si>
  <si>
    <t>kristinawerner123@googlemail.com</t>
  </si>
  <si>
    <t>Basler Straße 25</t>
  </si>
  <si>
    <t>00491736969897</t>
  </si>
  <si>
    <t>Leonhardt</t>
  </si>
  <si>
    <t>sina.leonhardt@gmx.de</t>
  </si>
  <si>
    <t>Lörracher Strasse 36</t>
  </si>
  <si>
    <t>Lörrach</t>
  </si>
  <si>
    <t>004917684735444</t>
  </si>
  <si>
    <t>Ardijana</t>
  </si>
  <si>
    <t>Dresh</t>
  </si>
  <si>
    <t>ardiyana@web.de</t>
  </si>
  <si>
    <t>0034638077027</t>
  </si>
  <si>
    <t>Aubane</t>
  </si>
  <si>
    <t>Larue</t>
  </si>
  <si>
    <t>larueaubane@gmail.com</t>
  </si>
  <si>
    <t>Rue de Huningue, 30</t>
  </si>
  <si>
    <t>68128 Village Neuf</t>
  </si>
  <si>
    <t>0765617587</t>
  </si>
  <si>
    <t>Stravens</t>
  </si>
  <si>
    <t>stravens@bluewin.ch</t>
  </si>
  <si>
    <t>Langmattweg 36</t>
  </si>
  <si>
    <t>0765617587-1</t>
  </si>
  <si>
    <t>0782605779</t>
  </si>
  <si>
    <t>nirsharkany@gmail.com</t>
  </si>
  <si>
    <t>Theater Strasse 10</t>
  </si>
  <si>
    <t>0782605779-1</t>
  </si>
  <si>
    <t>0796105644</t>
  </si>
  <si>
    <t>Sophia</t>
  </si>
  <si>
    <t>Krimitzas</t>
  </si>
  <si>
    <t>sophia@kehrhuette.de</t>
  </si>
  <si>
    <t>Erlenstrasse 78</t>
  </si>
  <si>
    <t>0792134258</t>
  </si>
  <si>
    <t>weimannfa@gmail.com</t>
  </si>
  <si>
    <t>0033642737725</t>
  </si>
  <si>
    <t>moritz.bachmann@roche.com</t>
  </si>
  <si>
    <t>1 rue des moissonneurs</t>
  </si>
  <si>
    <t>Hesingue</t>
  </si>
  <si>
    <t>0782517031</t>
  </si>
  <si>
    <t>ines.wmm@hotmail.com</t>
  </si>
  <si>
    <t>Erlenstrasse 58</t>
  </si>
  <si>
    <t>0793822401</t>
  </si>
  <si>
    <t>cristina.keller.t@gmail.com</t>
  </si>
  <si>
    <t>Poolstrasse 6</t>
  </si>
  <si>
    <t>4414 Füllinsdorf</t>
  </si>
  <si>
    <t>0798259405</t>
  </si>
  <si>
    <t>Kristoffer</t>
  </si>
  <si>
    <t>kristoffer.kaufmann@hotmail.ch</t>
  </si>
  <si>
    <t>Ramsteinerstrasse 16a</t>
  </si>
  <si>
    <t>0033629941623</t>
  </si>
  <si>
    <t>Sabah</t>
  </si>
  <si>
    <t>Hadj Mohand</t>
  </si>
  <si>
    <t>sabah.berkous@gmail.com</t>
  </si>
  <si>
    <t>3 rue des piverts</t>
  </si>
  <si>
    <t>68220 Hagenthal le Haut</t>
  </si>
  <si>
    <t>0762281932</t>
  </si>
  <si>
    <t>Abigail</t>
  </si>
  <si>
    <t>Rivera</t>
  </si>
  <si>
    <t>0775382051</t>
  </si>
  <si>
    <t>0788000726</t>
  </si>
  <si>
    <t>Jana</t>
  </si>
  <si>
    <t>Tverdokhlib</t>
  </si>
  <si>
    <t>jana.nolasco@hotmail.com</t>
  </si>
  <si>
    <t>Brühlstrasse 4</t>
  </si>
  <si>
    <t>0792250210</t>
  </si>
  <si>
    <t>Orazio</t>
  </si>
  <si>
    <t>Nolasco</t>
  </si>
  <si>
    <t>004915174416228</t>
  </si>
  <si>
    <t>anna.adler87@gmail.com</t>
  </si>
  <si>
    <t>Neudorfer Straße 26</t>
  </si>
  <si>
    <t>0796910558</t>
  </si>
  <si>
    <t>Jody</t>
  </si>
  <si>
    <t>Stähelin</t>
  </si>
  <si>
    <t>jody.staehelin@gmail.com</t>
  </si>
  <si>
    <t>Rottmannsbodenstrasse 12</t>
  </si>
  <si>
    <t>0789036101</t>
  </si>
  <si>
    <t>Tarja</t>
  </si>
  <si>
    <t>tarja@teleport.ch</t>
  </si>
  <si>
    <t>Kloosfeldstrasse 25</t>
  </si>
  <si>
    <t>0779180756</t>
  </si>
  <si>
    <t>Kapalka</t>
  </si>
  <si>
    <t>barbara.kapalka1@gmail.com</t>
  </si>
  <si>
    <t>Wallstrasse  11</t>
  </si>
  <si>
    <t>0766938333</t>
  </si>
  <si>
    <t>Dora</t>
  </si>
  <si>
    <t>Trapletti</t>
  </si>
  <si>
    <t>dora.trapletti@gmail.com</t>
  </si>
  <si>
    <t>8424 Embrach</t>
  </si>
  <si>
    <t>004917655286638</t>
  </si>
  <si>
    <t>Augustín</t>
  </si>
  <si>
    <t>Nazzetta</t>
  </si>
  <si>
    <t>contact@agustinnazzetta.com</t>
  </si>
  <si>
    <t>Wiesenweg 21</t>
  </si>
  <si>
    <t>0793436591</t>
  </si>
  <si>
    <t>Rebetez</t>
  </si>
  <si>
    <t>rebetez@sunrise.ch</t>
  </si>
  <si>
    <t>Unterer Zielweg 117</t>
  </si>
  <si>
    <t>0786318521</t>
  </si>
  <si>
    <t>Didier</t>
  </si>
  <si>
    <t>didierrebetez@hotmail.com</t>
  </si>
  <si>
    <t>0797964701</t>
  </si>
  <si>
    <t>Brom</t>
  </si>
  <si>
    <t>karine@bromswiss.ch</t>
  </si>
  <si>
    <t>Mühleweg 1</t>
  </si>
  <si>
    <t>0793207303</t>
  </si>
  <si>
    <t>philip@bromswiss.ch</t>
  </si>
  <si>
    <t>0797110877</t>
  </si>
  <si>
    <t>Roman</t>
  </si>
  <si>
    <t>Rebmann</t>
  </si>
  <si>
    <t>roman.rebmann@bluewin.ch</t>
  </si>
  <si>
    <t>Gartenweg 7</t>
  </si>
  <si>
    <t>Kaisten</t>
  </si>
  <si>
    <t>0797907059</t>
  </si>
  <si>
    <t>Despotovic</t>
  </si>
  <si>
    <t>marina.despotovic@gmx.ch</t>
  </si>
  <si>
    <t>0765703203</t>
  </si>
  <si>
    <t>Velte</t>
  </si>
  <si>
    <t>lisa_velte@hotmail.com</t>
  </si>
  <si>
    <t>Wanderstrasse 100</t>
  </si>
  <si>
    <t>0767491286</t>
  </si>
  <si>
    <t>Warnecke</t>
  </si>
  <si>
    <t>carolinwarnecke@yahoo.de</t>
  </si>
  <si>
    <t>Blumenrain 20</t>
  </si>
  <si>
    <t>00491704832640</t>
  </si>
  <si>
    <t>Kapitza</t>
  </si>
  <si>
    <t>korneliakapitza@web.de</t>
  </si>
  <si>
    <t>0799183935</t>
  </si>
  <si>
    <t>laurabordelaise@hotmail.fr</t>
  </si>
  <si>
    <t>St Jakobs-strasse 40</t>
  </si>
  <si>
    <t>0798385573</t>
  </si>
  <si>
    <t>Yeuris</t>
  </si>
  <si>
    <t>Trinidad</t>
  </si>
  <si>
    <t>yeuditrindad02@gmail.com</t>
  </si>
  <si>
    <t>0789216191</t>
  </si>
  <si>
    <t>Haegeli</t>
  </si>
  <si>
    <t>ahaegeli@me.com</t>
  </si>
  <si>
    <t>Elisabethenstrasse 42</t>
  </si>
  <si>
    <t>0789216191-1</t>
  </si>
  <si>
    <t>Laurent</t>
  </si>
  <si>
    <t>0765957166</t>
  </si>
  <si>
    <t>Guarnaccia</t>
  </si>
  <si>
    <t>cristina.guarn@gmail.com</t>
  </si>
  <si>
    <t>Lothringerstr. 118</t>
  </si>
  <si>
    <t>0764138556</t>
  </si>
  <si>
    <t>Florian</t>
  </si>
  <si>
    <t>Dünku</t>
  </si>
  <si>
    <t>florian.duenki@gmail.com</t>
  </si>
  <si>
    <t>0796970355</t>
  </si>
  <si>
    <t>Enea</t>
  </si>
  <si>
    <t>Canova</t>
  </si>
  <si>
    <t>e.c.milan@gmx.ch</t>
  </si>
  <si>
    <t>Sankt Alban-Anlage 23</t>
  </si>
  <si>
    <t>0765463133</t>
  </si>
  <si>
    <t>Cinzia</t>
  </si>
  <si>
    <t>Gaggioli</t>
  </si>
  <si>
    <t>cinzia.gaggioli23@gmail.com</t>
  </si>
  <si>
    <t>0796904915</t>
  </si>
  <si>
    <t>Vaschetto</t>
  </si>
  <si>
    <t>fabio.vaschetto@gmail.com</t>
  </si>
  <si>
    <t>Hegenheimerstrasse 57</t>
  </si>
  <si>
    <t>0793203620</t>
  </si>
  <si>
    <t>urs.martin17@gmx.ch</t>
  </si>
  <si>
    <t>Baselstrasse 70</t>
  </si>
  <si>
    <t>0775296080</t>
  </si>
  <si>
    <t>Spicher</t>
  </si>
  <si>
    <t>dominique.spicher@bluewin.ch</t>
  </si>
  <si>
    <t>004917631206303</t>
  </si>
  <si>
    <t>Norma</t>
  </si>
  <si>
    <t>norma.jacob90@gmail.com</t>
  </si>
  <si>
    <t>Beinwilerstrasse 12</t>
  </si>
  <si>
    <t>0017875053395</t>
  </si>
  <si>
    <t>Lucyann</t>
  </si>
  <si>
    <t>Ceballos</t>
  </si>
  <si>
    <t>ceballos.lucyann@gmail.com</t>
  </si>
  <si>
    <t>Mattenstrasse 41</t>
  </si>
  <si>
    <t>00359894645193</t>
  </si>
  <si>
    <t>Yoanna</t>
  </si>
  <si>
    <t>Petkova</t>
  </si>
  <si>
    <t>yoannavkushti@gmail.com</t>
  </si>
  <si>
    <t>Bulgaria</t>
  </si>
  <si>
    <t>0795265301</t>
  </si>
  <si>
    <t>Simona</t>
  </si>
  <si>
    <t>Abächerli</t>
  </si>
  <si>
    <t>simona.abaecherli@gmail.com</t>
  </si>
  <si>
    <t>0767362759</t>
  </si>
  <si>
    <t>Jimenez Jimenez</t>
  </si>
  <si>
    <t>sergiojj932@gmail.com</t>
  </si>
  <si>
    <t>Utengasse 44</t>
  </si>
  <si>
    <t>00393470100862</t>
  </si>
  <si>
    <t>Hilary</t>
  </si>
  <si>
    <t>Merlini</t>
  </si>
  <si>
    <t>hilarimerlini@gmail.com</t>
  </si>
  <si>
    <t>0763775386</t>
  </si>
  <si>
    <t>Branca</t>
  </si>
  <si>
    <t>tbranca@gmx.net</t>
  </si>
  <si>
    <t>Bizenenstrasse 21</t>
  </si>
  <si>
    <t>0766905282</t>
  </si>
  <si>
    <t>Mirco</t>
  </si>
  <si>
    <t>Gugelberger</t>
  </si>
  <si>
    <t>mirco.gugelberger@gmail.com</t>
  </si>
  <si>
    <t>Waldeckweg 4</t>
  </si>
  <si>
    <t>0796023626</t>
  </si>
  <si>
    <t>Slowk</t>
  </si>
  <si>
    <t>martin_slowk@freenet.de</t>
  </si>
  <si>
    <t>Baslerstrasse 14</t>
  </si>
  <si>
    <t>004917670970087</t>
  </si>
  <si>
    <t>Wioleta</t>
  </si>
  <si>
    <t>Chmielewicz</t>
  </si>
  <si>
    <t>violeta.c@gmx.de</t>
  </si>
  <si>
    <t>Friedensgasse 44</t>
  </si>
  <si>
    <t>BAsel</t>
  </si>
  <si>
    <t>0795254354</t>
  </si>
  <si>
    <t>Käch</t>
  </si>
  <si>
    <t>peter.kaech@gmax.ch</t>
  </si>
  <si>
    <t>0792294737</t>
  </si>
  <si>
    <t>Norman</t>
  </si>
  <si>
    <t>alexander.norman@hotmail.de</t>
  </si>
  <si>
    <t>Herrengrabenweg 51</t>
  </si>
  <si>
    <t>00393467284733</t>
  </si>
  <si>
    <t>Ballacchino</t>
  </si>
  <si>
    <t>giulia-bll@libero.it</t>
  </si>
  <si>
    <t>Gotthardstrasse 4</t>
  </si>
  <si>
    <t>0796024153</t>
  </si>
  <si>
    <t>Schütz</t>
  </si>
  <si>
    <t>robi.schuetz@icloud.com</t>
  </si>
  <si>
    <t>004917670951231</t>
  </si>
  <si>
    <t>Wehrle</t>
  </si>
  <si>
    <t>awehrle@gmx.de</t>
  </si>
  <si>
    <t>Thomaring 40</t>
  </si>
  <si>
    <t>0793717019</t>
  </si>
  <si>
    <t>Grolimund</t>
  </si>
  <si>
    <t>raphaela.kunscht@gmail.com</t>
  </si>
  <si>
    <t>0794420864</t>
  </si>
  <si>
    <t>Sandrine</t>
  </si>
  <si>
    <t>Riesen</t>
  </si>
  <si>
    <t>0786108566</t>
  </si>
  <si>
    <t>Mari</t>
  </si>
  <si>
    <t>0786780725</t>
  </si>
  <si>
    <t>004915204002298</t>
  </si>
  <si>
    <t>Jingru</t>
  </si>
  <si>
    <t>Guan</t>
  </si>
  <si>
    <t>guanjingru7@gmail.com</t>
  </si>
  <si>
    <t>Riesstrasse 2</t>
  </si>
  <si>
    <t>0788629901</t>
  </si>
  <si>
    <t>Eggmann</t>
  </si>
  <si>
    <t>lisaannaeggmann@outlook.com</t>
  </si>
  <si>
    <t>Dürrmattweg 1</t>
  </si>
  <si>
    <t>0799164981</t>
  </si>
  <si>
    <t>Angelica</t>
  </si>
  <si>
    <t>Monge</t>
  </si>
  <si>
    <t>am.monge.11@gmail.com</t>
  </si>
  <si>
    <t>Im Thomasgarten 33</t>
  </si>
  <si>
    <t>0772307402</t>
  </si>
  <si>
    <t>Nazife</t>
  </si>
  <si>
    <t>Bekteshoska</t>
  </si>
  <si>
    <t>N.Bekteshoska@proton.me</t>
  </si>
  <si>
    <t>Burggartenstrasse 30</t>
  </si>
  <si>
    <t>0772307402-1</t>
  </si>
  <si>
    <t>Fitore</t>
  </si>
  <si>
    <t>00491757595705</t>
  </si>
  <si>
    <t>Furkan</t>
  </si>
  <si>
    <t>Yurttepe</t>
  </si>
  <si>
    <t>yurttepe@gmail.com</t>
  </si>
  <si>
    <t>Alte strasse 2</t>
  </si>
  <si>
    <t>79804 Dogern</t>
  </si>
  <si>
    <t>0767249265</t>
  </si>
  <si>
    <t>Juliette</t>
  </si>
  <si>
    <t>Forster</t>
  </si>
  <si>
    <t>juliette.forster@gmail.com</t>
  </si>
  <si>
    <t>Sommergasse 10</t>
  </si>
  <si>
    <t>0796006308</t>
  </si>
  <si>
    <t>Torben</t>
  </si>
  <si>
    <t>Lietzke</t>
  </si>
  <si>
    <t>t.lietzke@gmx.ch</t>
  </si>
  <si>
    <t>Jurastrasse 26</t>
  </si>
  <si>
    <t>0762507696</t>
  </si>
  <si>
    <t>Géraldine</t>
  </si>
  <si>
    <t>Fehlmann</t>
  </si>
  <si>
    <t>gerifehlmann@gmail.com</t>
  </si>
  <si>
    <t>Geissfluhweg</t>
  </si>
  <si>
    <t>0792627302</t>
  </si>
  <si>
    <t>angelo.sgura@postfinance.ch</t>
  </si>
  <si>
    <t>Fliederweg 6</t>
  </si>
  <si>
    <t>0775282040</t>
  </si>
  <si>
    <t>Johann</t>
  </si>
  <si>
    <t>Brass</t>
  </si>
  <si>
    <t>johann.brass@gmail.com</t>
  </si>
  <si>
    <t>10 Avenue du Marechal Joffre</t>
  </si>
  <si>
    <t>68100 Mulhouse</t>
  </si>
  <si>
    <t>0765475507</t>
  </si>
  <si>
    <t>evawernli@gmail.com</t>
  </si>
  <si>
    <t>Zur Mühle 4</t>
  </si>
  <si>
    <t>4805 Brittnau</t>
  </si>
  <si>
    <t>0768010691</t>
  </si>
  <si>
    <t>Beck</t>
  </si>
  <si>
    <t>mirkobeck9@gmail.com</t>
  </si>
  <si>
    <t>0797681625</t>
  </si>
  <si>
    <t>Poschung</t>
  </si>
  <si>
    <t>u.poschung@gmail.com</t>
  </si>
  <si>
    <t>Gartenstrasse 1</t>
  </si>
  <si>
    <t>Olten</t>
  </si>
  <si>
    <t>0795572430</t>
  </si>
  <si>
    <t>Schneeberger</t>
  </si>
  <si>
    <t>eliane.schneeberger@gmail.com</t>
  </si>
  <si>
    <t>Burgstrasse 10</t>
  </si>
  <si>
    <t>0786411243</t>
  </si>
  <si>
    <t>Sacheli</t>
  </si>
  <si>
    <t>angelo.sacheli.as@gmail.com</t>
  </si>
  <si>
    <t>Parkstrasse</t>
  </si>
  <si>
    <t>0789304874</t>
  </si>
  <si>
    <t>Bertuzzi</t>
  </si>
  <si>
    <t>0033775282040</t>
  </si>
  <si>
    <t>10 Avenue du Maréchal Joffre</t>
  </si>
  <si>
    <t>0033695339788</t>
  </si>
  <si>
    <t>Silvano</t>
  </si>
  <si>
    <t>Bonfatti</t>
  </si>
  <si>
    <t>sibg+salsaflow@protonmail.com</t>
  </si>
  <si>
    <t>67 Rue Bellevue</t>
  </si>
  <si>
    <t>68350 Brunstatt-Didenheim</t>
  </si>
  <si>
    <t>0762234125</t>
  </si>
  <si>
    <t>Hensel</t>
  </si>
  <si>
    <t>julien.hensel@gmail.com</t>
  </si>
  <si>
    <t>0762234125-1</t>
  </si>
  <si>
    <t>Louveau</t>
  </si>
  <si>
    <t>0765715760</t>
  </si>
  <si>
    <t>Ivi</t>
  </si>
  <si>
    <t>Al-Ubaidi</t>
  </si>
  <si>
    <t>ivi.rose@hotmail.com</t>
  </si>
  <si>
    <t>Am Tych 5a</t>
  </si>
  <si>
    <t>4665 Oftringen</t>
  </si>
  <si>
    <t>leaweibel33@gmail.com</t>
  </si>
  <si>
    <t>0783528107</t>
  </si>
  <si>
    <t>de Araujo</t>
  </si>
  <si>
    <t>celine.n.araujo@gmail.com</t>
  </si>
  <si>
    <t>Birsigstrasse 3</t>
  </si>
  <si>
    <t>0799044883</t>
  </si>
  <si>
    <t>Santana</t>
  </si>
  <si>
    <t>igor.santana@live.de</t>
  </si>
  <si>
    <t>0793359499</t>
  </si>
  <si>
    <t>Janic</t>
  </si>
  <si>
    <t>Cucinelli</t>
  </si>
  <si>
    <t>janic.cuci@gmx.ch</t>
  </si>
  <si>
    <t>Güterstrasse 187</t>
  </si>
  <si>
    <t>0793359499-1</t>
  </si>
  <si>
    <t>Cecere</t>
  </si>
  <si>
    <t>0767221693</t>
  </si>
  <si>
    <t>Joselyn</t>
  </si>
  <si>
    <t>Ibarra</t>
  </si>
  <si>
    <t>joselyn.ibarra93@gmail.com</t>
  </si>
  <si>
    <t>Sperrstrasse 39</t>
  </si>
  <si>
    <t>0788579291</t>
  </si>
  <si>
    <t>d'Agostino</t>
  </si>
  <si>
    <t>sdagostino@bluewin.ch</t>
  </si>
  <si>
    <t>Bettingerstrasse 15</t>
  </si>
  <si>
    <t>0783039295</t>
  </si>
  <si>
    <t>Fabiola</t>
  </si>
  <si>
    <t>Salazar</t>
  </si>
  <si>
    <t>ladybuggkissess@hotmail.com</t>
  </si>
  <si>
    <t>Fischerstrasse 6</t>
  </si>
  <si>
    <t>Wheil am Rhein</t>
  </si>
  <si>
    <t>0783039295-1</t>
  </si>
  <si>
    <t>Tschannen</t>
  </si>
  <si>
    <t>0033682759236</t>
  </si>
  <si>
    <t>Gregory</t>
  </si>
  <si>
    <t>Quercia</t>
  </si>
  <si>
    <t>quercia777@gmail.com</t>
  </si>
  <si>
    <t>23 rue des peupliers</t>
  </si>
  <si>
    <t>0798324489</t>
  </si>
  <si>
    <t>Schöni</t>
  </si>
  <si>
    <t>murielle.schoeni@gmail.com</t>
  </si>
  <si>
    <t>Martinstrasse 5</t>
  </si>
  <si>
    <t>4622 Egerkingen</t>
  </si>
  <si>
    <t>0786485780</t>
  </si>
  <si>
    <t>Madlaina</t>
  </si>
  <si>
    <t>Breuleux</t>
  </si>
  <si>
    <t>madlaina.breuleux@gmx.ch</t>
  </si>
  <si>
    <t>Quellenstrasse 46c</t>
  </si>
  <si>
    <t>0764983496</t>
  </si>
  <si>
    <t>Bossard</t>
  </si>
  <si>
    <t>sabrina.bossard@windowslive.com</t>
  </si>
  <si>
    <t>Salinenstrasse 38</t>
  </si>
  <si>
    <t>0797505679</t>
  </si>
  <si>
    <t>Brigitte</t>
  </si>
  <si>
    <t>Rohr</t>
  </si>
  <si>
    <t>brigitte.rohr@hotmail.com</t>
  </si>
  <si>
    <t>0797731698</t>
  </si>
  <si>
    <t>Dubovaya</t>
  </si>
  <si>
    <t>dubovaya.anna@gmail.com</t>
  </si>
  <si>
    <t>Gundeldingerstrasse 183</t>
  </si>
  <si>
    <t>0793959999</t>
  </si>
  <si>
    <t>Morais</t>
  </si>
  <si>
    <t>filipe-morais@hotmail.com</t>
  </si>
  <si>
    <t>Drahtzugstrasse 34</t>
  </si>
  <si>
    <t>0764634608</t>
  </si>
  <si>
    <t>Schindelholz</t>
  </si>
  <si>
    <t>schindelholzanna@gmail.com</t>
  </si>
  <si>
    <t>Hintere Vorstadt 22</t>
  </si>
  <si>
    <t>5000 Aarau</t>
  </si>
  <si>
    <t>0787892970</t>
  </si>
  <si>
    <t>Eren</t>
  </si>
  <si>
    <t>Turgut</t>
  </si>
  <si>
    <t>eren.tur95@gmail.com</t>
  </si>
  <si>
    <t>0762633809</t>
  </si>
  <si>
    <t>Ksenia</t>
  </si>
  <si>
    <t>Sovdagarova</t>
  </si>
  <si>
    <t>kseniasovdagarova@gmail.com</t>
  </si>
  <si>
    <t>Rosentalstrasse 17</t>
  </si>
  <si>
    <t>0762633809-1</t>
  </si>
  <si>
    <t>Aynali</t>
  </si>
  <si>
    <t>0798995997</t>
  </si>
  <si>
    <t>Cobo</t>
  </si>
  <si>
    <t>naomi_cobo@bluewin.ch</t>
  </si>
  <si>
    <t>Müllheimerstrasse 93</t>
  </si>
  <si>
    <t>0786763620</t>
  </si>
  <si>
    <t>Maria-José</t>
  </si>
  <si>
    <t>Largo Vargas</t>
  </si>
  <si>
    <t>mlargovargas@gmail.com</t>
  </si>
  <si>
    <t>Reinacherstrasse 8</t>
  </si>
  <si>
    <t>0765619188</t>
  </si>
  <si>
    <t>Julian</t>
  </si>
  <si>
    <t>Wipf</t>
  </si>
  <si>
    <t>julian.wipf@gmx.ch</t>
  </si>
  <si>
    <t>0792655430</t>
  </si>
  <si>
    <t>Heitz</t>
  </si>
  <si>
    <t>s.heitz@gmail.com</t>
  </si>
  <si>
    <t>Eggfluhstrasse 10</t>
  </si>
  <si>
    <t>0762882728</t>
  </si>
  <si>
    <t>Arne</t>
  </si>
  <si>
    <t>Materna</t>
  </si>
  <si>
    <t>amaterna@gmx.net</t>
  </si>
  <si>
    <t>Markgräflerstrasse 84</t>
  </si>
  <si>
    <t>0774209909</t>
  </si>
  <si>
    <t>leonie.hofmann@gmx.ch</t>
  </si>
  <si>
    <t>Falkensteinerstrasse 64</t>
  </si>
  <si>
    <t>0797942135</t>
  </si>
  <si>
    <t>gina.andrade92@gmail.com</t>
  </si>
  <si>
    <t>Kaltbrunnenstrasse 5</t>
  </si>
  <si>
    <t>0765478464</t>
  </si>
  <si>
    <t>Borja</t>
  </si>
  <si>
    <t>borja.gomezramos@gmail.com</t>
  </si>
  <si>
    <t>0799443381</t>
  </si>
  <si>
    <t>fabianpeter@duck.com</t>
  </si>
  <si>
    <t>Spielplatzstrasse 16</t>
  </si>
  <si>
    <t>0794696100</t>
  </si>
  <si>
    <t>m.baumann0511@gmail.com</t>
  </si>
  <si>
    <t>Brennerstrasse 204</t>
  </si>
  <si>
    <t>0788979183</t>
  </si>
  <si>
    <t>Lüthi</t>
  </si>
  <si>
    <t>luethi.emanuel@gmail.com</t>
  </si>
  <si>
    <t>0789173779</t>
  </si>
  <si>
    <t>Nathanaël</t>
  </si>
  <si>
    <t>nath.mos@gmx.ch</t>
  </si>
  <si>
    <t>Im Westfeld 11</t>
  </si>
  <si>
    <t>0765785487</t>
  </si>
  <si>
    <t>Obrecht</t>
  </si>
  <si>
    <t>julia.obrecht@icloud.com</t>
  </si>
  <si>
    <t>0796199273</t>
  </si>
  <si>
    <t>Kyriaki</t>
  </si>
  <si>
    <t>Barmpa</t>
  </si>
  <si>
    <t>barmpa.kyriaki@gmail.com</t>
  </si>
  <si>
    <t>Solothurnerstrasse 87</t>
  </si>
  <si>
    <t>0782150379</t>
  </si>
  <si>
    <t>Ioannis</t>
  </si>
  <si>
    <t>Karagiannis</t>
  </si>
  <si>
    <t>karajohn20@gmail.com</t>
  </si>
  <si>
    <t>0797777275</t>
  </si>
  <si>
    <t>Mariana</t>
  </si>
  <si>
    <t>Duca</t>
  </si>
  <si>
    <t>ducamd7@gmail.com</t>
  </si>
  <si>
    <t>Magnolienpark 13</t>
  </si>
  <si>
    <t>0797777275-1</t>
  </si>
  <si>
    <t>Vishesh</t>
  </si>
  <si>
    <t>Hoyal</t>
  </si>
  <si>
    <t>0774574149</t>
  </si>
  <si>
    <t>Maria Valentina</t>
  </si>
  <si>
    <t>Tschopp</t>
  </si>
  <si>
    <t>mariav.tschopp@gmail.com</t>
  </si>
  <si>
    <t>Mattenweg 1</t>
  </si>
  <si>
    <t>4447 Känerkinden</t>
  </si>
  <si>
    <t>0762439202</t>
  </si>
  <si>
    <t>Gernhardt</t>
  </si>
  <si>
    <t>0796673360</t>
  </si>
  <si>
    <t>Rubio Hermosa</t>
  </si>
  <si>
    <t>david.rubiohermosa@gmail.com</t>
  </si>
  <si>
    <t>Klingental 8</t>
  </si>
  <si>
    <t>0765291154</t>
  </si>
  <si>
    <t>De Grazia</t>
  </si>
  <si>
    <t>aermen@gmail.com</t>
  </si>
  <si>
    <t>Lugano</t>
  </si>
  <si>
    <t>0796917363</t>
  </si>
  <si>
    <t>Fonsatti</t>
  </si>
  <si>
    <t>mfonsatti@hotmail.com</t>
  </si>
  <si>
    <t xml:space="preserve">Hauptstrasse </t>
  </si>
  <si>
    <t>0764523260</t>
  </si>
  <si>
    <t>Rajesh</t>
  </si>
  <si>
    <t>Reddy</t>
  </si>
  <si>
    <t>Rajvbasel123@gmail.com</t>
  </si>
  <si>
    <t>0795852939</t>
  </si>
  <si>
    <t>Andrea Sandra</t>
  </si>
  <si>
    <t>Blaser-Thommen</t>
  </si>
  <si>
    <t>a.s.blaser@bluewin.ch</t>
  </si>
  <si>
    <t>Stacherweg 7b</t>
  </si>
  <si>
    <t>4418 Reigoldwil</t>
  </si>
  <si>
    <t>004915739128030</t>
  </si>
  <si>
    <t>Wünn</t>
  </si>
  <si>
    <t>ktmich@yahoo.de</t>
  </si>
  <si>
    <t>0768169157</t>
  </si>
  <si>
    <t>Clivia</t>
  </si>
  <si>
    <t>cliviameier@gmail.com</t>
  </si>
  <si>
    <t>4208 Nunningen</t>
  </si>
  <si>
    <t>004917648073521</t>
  </si>
  <si>
    <t>Albina</t>
  </si>
  <si>
    <t>bina-dresch@hotmail.de</t>
  </si>
  <si>
    <t>00351927827283</t>
  </si>
  <si>
    <t>Andreia</t>
  </si>
  <si>
    <t>andr3iasilva@gmail.com</t>
  </si>
  <si>
    <t>Margarethenstrasse 49</t>
  </si>
  <si>
    <t>0765018021</t>
  </si>
  <si>
    <t>Caversaccio</t>
  </si>
  <si>
    <t>nathaliecaversaccio@hotmail.com</t>
  </si>
  <si>
    <t>3013 Bern</t>
  </si>
  <si>
    <t>0774333805</t>
  </si>
  <si>
    <t>Gössi</t>
  </si>
  <si>
    <t>flavio.goessi@gmail.com</t>
  </si>
  <si>
    <t>00491628914333</t>
  </si>
  <si>
    <t>Niklas</t>
  </si>
  <si>
    <t>Kreifels</t>
  </si>
  <si>
    <t>Niklas.kreifels@posteo.de</t>
  </si>
  <si>
    <t>79008 Freiburg</t>
  </si>
  <si>
    <t>0797397098</t>
  </si>
  <si>
    <t>Dankovska</t>
  </si>
  <si>
    <t>0798215988</t>
  </si>
  <si>
    <t>Wherle</t>
  </si>
  <si>
    <t>wherlenoelle@gmail.com</t>
  </si>
  <si>
    <t>0762336888</t>
  </si>
  <si>
    <t>Tong</t>
  </si>
  <si>
    <t xml:space="preserve">tongzhang@gmx.net </t>
  </si>
  <si>
    <t xml:space="preserve">Frobenstrasse 52 </t>
  </si>
  <si>
    <t>0764430452</t>
  </si>
  <si>
    <t>Elizabeth</t>
  </si>
  <si>
    <t>Adams</t>
  </si>
  <si>
    <t>elizabeth.adams@bluewin.ch</t>
  </si>
  <si>
    <t>Petersplatz 3</t>
  </si>
  <si>
    <t>0774587139</t>
  </si>
  <si>
    <t>Kilian</t>
  </si>
  <si>
    <t>k.kilian@gmx.de</t>
  </si>
  <si>
    <t>Kirchgasse 14</t>
  </si>
  <si>
    <t>0774587139-1</t>
  </si>
  <si>
    <t xml:space="preserve">Johannes </t>
  </si>
  <si>
    <t>Manggold</t>
  </si>
  <si>
    <t>0795371219</t>
  </si>
  <si>
    <t>Götschi</t>
  </si>
  <si>
    <t>melinagoetschi@outlook.com</t>
  </si>
  <si>
    <t>St. Galler-Ring 55</t>
  </si>
  <si>
    <t>0762558654</t>
  </si>
  <si>
    <t>Desax</t>
  </si>
  <si>
    <t>0782033313</t>
  </si>
  <si>
    <t>Pfister</t>
  </si>
  <si>
    <t>katharina.pfister@yahoo.de</t>
  </si>
  <si>
    <t>Riehenring 207</t>
  </si>
  <si>
    <t>0782241081</t>
  </si>
  <si>
    <t>sabrina.kuhn@gmail.com</t>
  </si>
  <si>
    <t>Rheinländerstrasse 6</t>
  </si>
  <si>
    <t>0797917104</t>
  </si>
  <si>
    <t>Steve</t>
  </si>
  <si>
    <t>zwicky.steve@gmail.com</t>
  </si>
  <si>
    <t>Achilles Bischoff-Strasse 5</t>
  </si>
  <si>
    <t>0765788465</t>
  </si>
  <si>
    <t>Heidi</t>
  </si>
  <si>
    <t>Schalk</t>
  </si>
  <si>
    <t>schalk.heidi@gmail.com</t>
  </si>
  <si>
    <t>0765788465-1</t>
  </si>
  <si>
    <t>marvineriksen@web.de</t>
  </si>
  <si>
    <t>0767240824</t>
  </si>
  <si>
    <t>Zapater</t>
  </si>
  <si>
    <t>ines.zapater@posteo.net</t>
  </si>
  <si>
    <t>Hochstrasse 16</t>
  </si>
  <si>
    <t>0798237080</t>
  </si>
  <si>
    <t>lisa.borer1990gmail.com</t>
  </si>
  <si>
    <t>00491736360255</t>
  </si>
  <si>
    <t>Varai</t>
  </si>
  <si>
    <t>detti73@gmx.de</t>
  </si>
  <si>
    <t>Feuerbachstrasse 32</t>
  </si>
  <si>
    <t>0795525131</t>
  </si>
  <si>
    <t>Irena</t>
  </si>
  <si>
    <t>irenahohmann@hotmail.de</t>
  </si>
  <si>
    <t>Peter-Roth-Strasse 76</t>
  </si>
  <si>
    <t>0767247124</t>
  </si>
  <si>
    <t>Lechler</t>
  </si>
  <si>
    <t>ruth.christine.lechler@gmail.com</t>
  </si>
  <si>
    <t>Gundeldingerstrasse 87</t>
  </si>
  <si>
    <t>0764922109</t>
  </si>
  <si>
    <t>Anatol</t>
  </si>
  <si>
    <t>Gutsch</t>
  </si>
  <si>
    <t>anatol@gutsch.eu</t>
  </si>
  <si>
    <t>0798726515</t>
  </si>
  <si>
    <t>Myloshyk</t>
  </si>
  <si>
    <t>omyloshyk@gmail.com</t>
  </si>
  <si>
    <t>Baselmattweg 74</t>
  </si>
  <si>
    <t>0782685835</t>
  </si>
  <si>
    <t>Lam</t>
  </si>
  <si>
    <t>kevin.lam96@yahoo.de</t>
  </si>
  <si>
    <t>Rindergasse 4</t>
  </si>
  <si>
    <t>0765004476</t>
  </si>
  <si>
    <t>Bill</t>
  </si>
  <si>
    <t>bi.julia@sunrise.ch</t>
  </si>
  <si>
    <t>Lörracherstrasse 89</t>
  </si>
  <si>
    <t>0764713818</t>
  </si>
  <si>
    <t>Spartà-Seoane</t>
  </si>
  <si>
    <t>mosparta@hotmail.com</t>
  </si>
  <si>
    <t>Langhagstrasse 48</t>
  </si>
  <si>
    <t>0787191007</t>
  </si>
  <si>
    <t>Deborah</t>
  </si>
  <si>
    <t>Zängerle</t>
  </si>
  <si>
    <t>deborah.zaengerle@gmail.com</t>
  </si>
  <si>
    <t>Anthauptstrasse 12</t>
  </si>
  <si>
    <t>0767121238</t>
  </si>
  <si>
    <t>Brahaj</t>
  </si>
  <si>
    <t>arianushe@hotmail.com</t>
  </si>
  <si>
    <t>In der Dorfmatt 3</t>
  </si>
  <si>
    <t>0795388865</t>
  </si>
  <si>
    <t>Maximilian</t>
  </si>
  <si>
    <t>Gutgesell</t>
  </si>
  <si>
    <t>maximilian.gutgesell@sunrise.ch</t>
  </si>
  <si>
    <t>0033664145453</t>
  </si>
  <si>
    <t>Reichard</t>
  </si>
  <si>
    <t>i.reichard@wanadoo.fr</t>
  </si>
  <si>
    <t>19 rue de la Sinne</t>
  </si>
  <si>
    <t>0788787879</t>
  </si>
  <si>
    <t>Dino</t>
  </si>
  <si>
    <t>Nienhold</t>
  </si>
  <si>
    <t>dino.nienhold@gmail.com</t>
  </si>
  <si>
    <t>Rütlistrasse 51</t>
  </si>
  <si>
    <t>0799116566</t>
  </si>
  <si>
    <t>Fritsch</t>
  </si>
  <si>
    <t>annemarie.fritsch@gmail.com</t>
  </si>
  <si>
    <t>St. Jakobsstr. 96</t>
  </si>
  <si>
    <t>0762902427</t>
  </si>
  <si>
    <t>Küppers</t>
  </si>
  <si>
    <t>kueppers_tobias@gmx.de</t>
  </si>
  <si>
    <t>003394463669</t>
  </si>
  <si>
    <t>Buscema</t>
  </si>
  <si>
    <t>paolabuscema@yahoo.it</t>
  </si>
  <si>
    <t>Im Wolfischbuhl 34</t>
  </si>
  <si>
    <t>Steinen</t>
  </si>
  <si>
    <t>0765407529</t>
  </si>
  <si>
    <t>Courvoisier</t>
  </si>
  <si>
    <t>andrea@gracefool-comix.com</t>
  </si>
  <si>
    <t>In den Ziegelhöfen 22</t>
  </si>
  <si>
    <t>0767345477</t>
  </si>
  <si>
    <t>Eniko</t>
  </si>
  <si>
    <t>Horvath</t>
  </si>
  <si>
    <t>eniko.h@gmail.com</t>
  </si>
  <si>
    <t>Froburgstrasse 12</t>
  </si>
  <si>
    <t>0793334711</t>
  </si>
  <si>
    <t>Kraus</t>
  </si>
  <si>
    <t>lea-samira@hotmail.com</t>
  </si>
  <si>
    <t>Kembserweg 20</t>
  </si>
  <si>
    <t>0782476015</t>
  </si>
  <si>
    <t>Dima</t>
  </si>
  <si>
    <t>Alnajar</t>
  </si>
  <si>
    <t>dima1987n@gmail.com</t>
  </si>
  <si>
    <t>Ackerstrasse 53</t>
  </si>
  <si>
    <t>0765393217</t>
  </si>
  <si>
    <t>Schörlin</t>
  </si>
  <si>
    <t>karin.schoerlin@gmail.com</t>
  </si>
  <si>
    <t>Unterdorf 17</t>
  </si>
  <si>
    <t>0795553738</t>
  </si>
  <si>
    <t>Chiara Sophia</t>
  </si>
  <si>
    <t>Heuser</t>
  </si>
  <si>
    <t>chiara.heuser@gmail.com</t>
  </si>
  <si>
    <t>Rosenfeldstrasse 5</t>
  </si>
  <si>
    <t>0033601845285</t>
  </si>
  <si>
    <t>Thibault</t>
  </si>
  <si>
    <t>0789295239</t>
  </si>
  <si>
    <t>Cinthya</t>
  </si>
  <si>
    <t>Márquez Téllez</t>
  </si>
  <si>
    <t>tellezm.cinthya@gmail.com</t>
  </si>
  <si>
    <t>Fiechthagstrasse 7</t>
  </si>
  <si>
    <t>0767418815</t>
  </si>
  <si>
    <t>Vizcarra</t>
  </si>
  <si>
    <t>Giusepy</t>
  </si>
  <si>
    <t>giusepy77@gmail.clm</t>
  </si>
  <si>
    <t>Näfelserstrasse 45</t>
  </si>
  <si>
    <t>0765174566</t>
  </si>
  <si>
    <t>Horacio</t>
  </si>
  <si>
    <t>Espinosa</t>
  </si>
  <si>
    <t>0034667940460</t>
  </si>
  <si>
    <t>Divina</t>
  </si>
  <si>
    <t>0786709085</t>
  </si>
  <si>
    <t>Tschumi</t>
  </si>
  <si>
    <t>celinetschumi@teleport.ch</t>
  </si>
  <si>
    <t>Im Baumgarten 4</t>
  </si>
  <si>
    <t>0778088025</t>
  </si>
  <si>
    <t>Sharah</t>
  </si>
  <si>
    <t>Meszaros</t>
  </si>
  <si>
    <t>sharah.meszaros@gmail.com</t>
  </si>
  <si>
    <t>Rheinbrückstrasse 1</t>
  </si>
  <si>
    <t>0789482024</t>
  </si>
  <si>
    <t>Niloofar</t>
  </si>
  <si>
    <t>Davoodi</t>
  </si>
  <si>
    <t>niloofar.davoodi.vm@gmail.com</t>
  </si>
  <si>
    <t>Grellingerstrasse 72</t>
  </si>
  <si>
    <t>0768445664</t>
  </si>
  <si>
    <t>Aloise</t>
  </si>
  <si>
    <t>anna.m.piskorz@gmail.com</t>
  </si>
  <si>
    <t>Leuengasse</t>
  </si>
  <si>
    <t>0768445664-1</t>
  </si>
  <si>
    <t>Alfredo</t>
  </si>
  <si>
    <t>0787705683</t>
  </si>
  <si>
    <t>Yiara</t>
  </si>
  <si>
    <t>Rindelaub</t>
  </si>
  <si>
    <t>yiara.rindelaub@gmail.com</t>
  </si>
  <si>
    <t>Quai du cheval Blanc 16</t>
  </si>
  <si>
    <t>1227 Les acacias</t>
  </si>
  <si>
    <t>004915234057928</t>
  </si>
  <si>
    <t>Arthur</t>
  </si>
  <si>
    <t>arthur.gubler@agilita.ch</t>
  </si>
  <si>
    <t>Baselstrasse 51</t>
  </si>
  <si>
    <t>0762437065</t>
  </si>
  <si>
    <t>Rychen</t>
  </si>
  <si>
    <t>tittasland@icloud.com</t>
  </si>
  <si>
    <t>Gehrenweg 38</t>
  </si>
  <si>
    <t>4226 Breitenbach</t>
  </si>
  <si>
    <t>0765751705</t>
  </si>
  <si>
    <t>Carandina</t>
  </si>
  <si>
    <t>elicara@intergga.ch</t>
  </si>
  <si>
    <t>Auf der Wacht 45</t>
  </si>
  <si>
    <t>0614011368-1</t>
  </si>
  <si>
    <t>Oetiker</t>
  </si>
  <si>
    <t>Ch.oetiker@bluewin.ch</t>
  </si>
  <si>
    <t>0779968227</t>
  </si>
  <si>
    <t>Juretko</t>
  </si>
  <si>
    <t>juretko.victoria@web.de</t>
  </si>
  <si>
    <t>Mattenstrasse 33</t>
  </si>
  <si>
    <t>0764384312</t>
  </si>
  <si>
    <t>Anthes</t>
  </si>
  <si>
    <t>0763727687</t>
  </si>
  <si>
    <t>Ortiz</t>
  </si>
  <si>
    <t>fernando.ortiz0287@gmail.com</t>
  </si>
  <si>
    <t>0768180933</t>
  </si>
  <si>
    <t>Ron</t>
  </si>
  <si>
    <t>ron.rychen@hotmail.ch</t>
  </si>
  <si>
    <t>Steinengraben 2</t>
  </si>
  <si>
    <t>0768180933-1</t>
  </si>
  <si>
    <t>Jasna</t>
  </si>
  <si>
    <t>Bannert</t>
  </si>
  <si>
    <t>jasna.bannert@gmail.com</t>
  </si>
  <si>
    <t>0763464285</t>
  </si>
  <si>
    <t>Azzolin</t>
  </si>
  <si>
    <t>ddschoepf@gmx.ch</t>
  </si>
  <si>
    <t>Gempenstrasse 73</t>
  </si>
  <si>
    <t>0763464285-1</t>
  </si>
  <si>
    <t>Muñoz</t>
  </si>
  <si>
    <t>0033660897725</t>
  </si>
  <si>
    <t>Angélique</t>
  </si>
  <si>
    <t>Brehm</t>
  </si>
  <si>
    <t>brehm.angelique@gmail.com</t>
  </si>
  <si>
    <t>20c rue de Zaessingue</t>
  </si>
  <si>
    <t>68130 Wahlbach</t>
  </si>
  <si>
    <t>004915774015605</t>
  </si>
  <si>
    <t>Eleonora</t>
  </si>
  <si>
    <t>Knaupp</t>
  </si>
  <si>
    <t>eleonora.knaupp@gmail.com</t>
  </si>
  <si>
    <t>Basler Straße 7E</t>
  </si>
  <si>
    <t>0762832023</t>
  </si>
  <si>
    <t>Piet</t>
  </si>
  <si>
    <t>piet.schenke@gmail.com</t>
  </si>
  <si>
    <t>0764646498</t>
  </si>
  <si>
    <t>Gör</t>
  </si>
  <si>
    <t>jasmine.goer@icloud.com</t>
  </si>
  <si>
    <t>004917621063877</t>
  </si>
  <si>
    <t>Jansen</t>
  </si>
  <si>
    <t>leamarajansen@gmail.com</t>
  </si>
  <si>
    <t>Zechenwihlstr. 30</t>
  </si>
  <si>
    <t>79730 Deutschland</t>
  </si>
  <si>
    <t>0783181069</t>
  </si>
  <si>
    <t>Aurea</t>
  </si>
  <si>
    <t>Eckinger</t>
  </si>
  <si>
    <t>ae@eckinger.ch</t>
  </si>
  <si>
    <t>Lärchenweg 10</t>
  </si>
  <si>
    <t>0783181069-1</t>
  </si>
  <si>
    <t>Aurora</t>
  </si>
  <si>
    <t>Rufer</t>
  </si>
  <si>
    <t>aurora.rufer@bluewin.ch</t>
  </si>
  <si>
    <t>0796549622</t>
  </si>
  <si>
    <t>Rocigelis</t>
  </si>
  <si>
    <t>Quiró Encarnacion</t>
  </si>
  <si>
    <t>rocigelis@gmx.ch</t>
  </si>
  <si>
    <t>Kammermattweg 10</t>
  </si>
  <si>
    <t>0795337162</t>
  </si>
  <si>
    <t>Obrist</t>
  </si>
  <si>
    <t>sarah-obrist@hotmail.com</t>
  </si>
  <si>
    <t>Bahnhofstrasse 88</t>
  </si>
  <si>
    <t>0762500049</t>
  </si>
  <si>
    <t>Ani</t>
  </si>
  <si>
    <t>Keshishian</t>
  </si>
  <si>
    <t>ani2991995@hotmail.com</t>
  </si>
  <si>
    <t>Rosentalstrasse 52</t>
  </si>
  <si>
    <t>0783103105</t>
  </si>
  <si>
    <t>079868801</t>
  </si>
  <si>
    <t>Matoc</t>
  </si>
  <si>
    <t>ivanamatic262@gmail.com</t>
  </si>
  <si>
    <t>Lehenmattstrasse 236</t>
  </si>
  <si>
    <t>0796423331</t>
  </si>
  <si>
    <t>Sonderegger</t>
  </si>
  <si>
    <t>andrea_sonderegger@outlook.com</t>
  </si>
  <si>
    <t>4658 Däniken</t>
  </si>
  <si>
    <t>076347552</t>
  </si>
  <si>
    <t>stefanie.schwab97@gmail.com</t>
  </si>
  <si>
    <t>0763413222</t>
  </si>
  <si>
    <t>Witschi</t>
  </si>
  <si>
    <t>b.witschi@hotmail.com</t>
  </si>
  <si>
    <t>1,rue de Hippoltskirch</t>
  </si>
  <si>
    <t>68480 Sondersdorf</t>
  </si>
  <si>
    <t>0793403840</t>
  </si>
  <si>
    <t>Gean</t>
  </si>
  <si>
    <t>Occhiuzzi</t>
  </si>
  <si>
    <t>0796863279</t>
  </si>
  <si>
    <t>martina.jakob@bluewin.ch</t>
  </si>
  <si>
    <t>Bernerring 65</t>
  </si>
  <si>
    <t>0784917809</t>
  </si>
  <si>
    <t>Martin-Rodriguez</t>
  </si>
  <si>
    <t>sarahmartin6rodriguez@msn.com</t>
  </si>
  <si>
    <t>14 rue de Bantzenheim</t>
  </si>
  <si>
    <t>0791243786</t>
  </si>
  <si>
    <t>Benseler</t>
  </si>
  <si>
    <t>sina.benseler@bluewin.ch</t>
  </si>
  <si>
    <t>Luzernerring 101</t>
  </si>
  <si>
    <t>0774663188</t>
  </si>
  <si>
    <t>Rudman</t>
  </si>
  <si>
    <t>jamierudman.jr@gmail.com</t>
  </si>
  <si>
    <t>8041 Zürich</t>
  </si>
  <si>
    <t>0764387017</t>
  </si>
  <si>
    <t>Diba</t>
  </si>
  <si>
    <t>nina.diba@hotmail.com</t>
  </si>
  <si>
    <t>Hofackerstrasse 37</t>
  </si>
  <si>
    <t>4137 Muttenz</t>
  </si>
  <si>
    <t>0793230370</t>
  </si>
  <si>
    <t>Lydia-Sophia</t>
  </si>
  <si>
    <t>Salzer</t>
  </si>
  <si>
    <t>salzer.lydia@gmx.ch</t>
  </si>
  <si>
    <t>Baselstrasse 64</t>
  </si>
  <si>
    <t>0764985666</t>
  </si>
  <si>
    <t>Andermatt</t>
  </si>
  <si>
    <t>lena.andermatt@icloud.com</t>
  </si>
  <si>
    <t>Näfelserstrasse 35</t>
  </si>
  <si>
    <t>0787700341</t>
  </si>
  <si>
    <t>Gelzer</t>
  </si>
  <si>
    <t>00491629877470</t>
  </si>
  <si>
    <t>Russotto</t>
  </si>
  <si>
    <t>AdrianaRussotto@web.de</t>
  </si>
  <si>
    <t>Teichmattstr. 33</t>
  </si>
  <si>
    <t>79692 Wieslet</t>
  </si>
  <si>
    <t>00491741075494</t>
  </si>
  <si>
    <t>Vivien</t>
  </si>
  <si>
    <t>vivien.haas@web.de</t>
  </si>
  <si>
    <t>Schnabelburgstraße 5</t>
  </si>
  <si>
    <t>0797009862-1</t>
  </si>
  <si>
    <t>0782656199</t>
  </si>
  <si>
    <t>004915735499550</t>
  </si>
  <si>
    <t>Malin</t>
  </si>
  <si>
    <t>Kirschke</t>
  </si>
  <si>
    <t>malin@m-kirschke.de</t>
  </si>
  <si>
    <t>Danziger Str. 20</t>
  </si>
  <si>
    <t>0764625374</t>
  </si>
  <si>
    <t>Rukiye</t>
  </si>
  <si>
    <t>rukiye-korkmaz@outlook.com</t>
  </si>
  <si>
    <t>Wartenbergstrasse 13</t>
  </si>
  <si>
    <t>0788292397</t>
  </si>
  <si>
    <t>tim.leiser@gmx.ch</t>
  </si>
  <si>
    <t>Theodorsgraben 12</t>
  </si>
  <si>
    <t>0795000020</t>
  </si>
  <si>
    <t>Tiziano</t>
  </si>
  <si>
    <t>Orlando</t>
  </si>
  <si>
    <t>t.orlando@intergga.ch</t>
  </si>
  <si>
    <t>Dornacherstrasse 143</t>
  </si>
  <si>
    <t>0795026601</t>
  </si>
  <si>
    <t>sidney.burri@gmx.ch</t>
  </si>
  <si>
    <t>0792514893</t>
  </si>
  <si>
    <t>Achermann</t>
  </si>
  <si>
    <t>achermann.matthias@gmx.ch</t>
  </si>
  <si>
    <t>Römerstrasse 50</t>
  </si>
  <si>
    <t>0765940114</t>
  </si>
  <si>
    <t>Morgenroth</t>
  </si>
  <si>
    <t>ca.morgenroth@gmail.com</t>
  </si>
  <si>
    <t>0764522525</t>
  </si>
  <si>
    <t>Nisha</t>
  </si>
  <si>
    <t>Peresani</t>
  </si>
  <si>
    <t>nishakatia@gmx.ch</t>
  </si>
  <si>
    <t>Dornhofstrasse 13</t>
  </si>
  <si>
    <t>0764522525-1</t>
  </si>
  <si>
    <t>Lang</t>
  </si>
  <si>
    <t>Im Hofacker 35</t>
  </si>
  <si>
    <t>0795794443</t>
  </si>
  <si>
    <t>Barrera Contreras</t>
  </si>
  <si>
    <t>angelicacon_14@hotmail.com</t>
  </si>
  <si>
    <t>Klingeltal 8</t>
  </si>
  <si>
    <t>0779774872</t>
  </si>
  <si>
    <t>0796859332</t>
  </si>
  <si>
    <t>Sindu</t>
  </si>
  <si>
    <t>sindu.kandiah@hotmail.com</t>
  </si>
  <si>
    <t>Froburgstrasse 51</t>
  </si>
  <si>
    <t>0763049772</t>
  </si>
  <si>
    <t>th_baumgartner@sunrise.ch</t>
  </si>
  <si>
    <t>Wielandplatz 10</t>
  </si>
  <si>
    <t>0787204523</t>
  </si>
  <si>
    <t>Antonina</t>
  </si>
  <si>
    <t>antoninabrunner@web.de</t>
  </si>
  <si>
    <t>Landskronstrasse 20</t>
  </si>
  <si>
    <t>0786277824</t>
  </si>
  <si>
    <t>Julie</t>
  </si>
  <si>
    <t>Pfenninger</t>
  </si>
  <si>
    <t>j.pfenninger@hotmail.com</t>
  </si>
  <si>
    <t>Riehenstrasse 114</t>
  </si>
  <si>
    <t>00491734162136</t>
  </si>
  <si>
    <t>Yildiz</t>
  </si>
  <si>
    <t>umut.yildiz.stud@gmail.com</t>
  </si>
  <si>
    <t>Erlenmattstrasse 75</t>
  </si>
  <si>
    <t>004915141395445</t>
  </si>
  <si>
    <t>Jonhattan</t>
  </si>
  <si>
    <t>da Luz</t>
  </si>
  <si>
    <t>jon.daluz@gmail.com</t>
  </si>
  <si>
    <t>Köchlinstrasse 8</t>
  </si>
  <si>
    <t>0765124899</t>
  </si>
  <si>
    <t>Beranek</t>
  </si>
  <si>
    <t>pr.beranek@gmail.com</t>
  </si>
  <si>
    <t>Gellertstrasse 82</t>
  </si>
  <si>
    <t>0795975462</t>
  </si>
  <si>
    <t>Dilan</t>
  </si>
  <si>
    <t>Narin</t>
  </si>
  <si>
    <t>dnarin@web.de</t>
  </si>
  <si>
    <t>0763364862</t>
  </si>
  <si>
    <t>Dieterle</t>
  </si>
  <si>
    <t>ddmoya@outlook.com</t>
  </si>
  <si>
    <t>Güterstrasse 302</t>
  </si>
  <si>
    <t>0763066741</t>
  </si>
  <si>
    <t>Steffi</t>
  </si>
  <si>
    <t>Mediavilla</t>
  </si>
  <si>
    <t>steffi93_m@hotmail.com</t>
  </si>
  <si>
    <t>0798587599</t>
  </si>
  <si>
    <t>Schmidlin</t>
  </si>
  <si>
    <t>fabienne.schmidlin99@gmail.com</t>
  </si>
  <si>
    <t>Gundeldingerstrasse 393</t>
  </si>
  <si>
    <t>0765266181</t>
  </si>
  <si>
    <t>mario.wyss@gmx.net</t>
  </si>
  <si>
    <t>Lischmatt 9</t>
  </si>
  <si>
    <t>4616 Kappel</t>
  </si>
  <si>
    <t>0762259899</t>
  </si>
  <si>
    <t>Cruz</t>
  </si>
  <si>
    <t>ag-more@live.com.pt</t>
  </si>
  <si>
    <t>Rudolfstrasse 44</t>
  </si>
  <si>
    <t>0784063350</t>
  </si>
  <si>
    <t>Favero</t>
  </si>
  <si>
    <t>gabisfavero@gmail.com</t>
  </si>
  <si>
    <t>Steinbühlallee 214</t>
  </si>
  <si>
    <t>0798749914</t>
  </si>
  <si>
    <t>Suelem</t>
  </si>
  <si>
    <t>Izidoro</t>
  </si>
  <si>
    <t>suelem.izidoro@gmx.com</t>
  </si>
  <si>
    <t>0788784535</t>
  </si>
  <si>
    <t>Regula Linn</t>
  </si>
  <si>
    <t>regulamueller17@gmail.com</t>
  </si>
  <si>
    <t>Fraumattenstrasse, 5</t>
  </si>
  <si>
    <t>Biel-Benken</t>
  </si>
  <si>
    <t>0796022692</t>
  </si>
  <si>
    <t>Ramseier</t>
  </si>
  <si>
    <t>roman.ramseier@gmail.com</t>
  </si>
  <si>
    <t>In den Klosterreben 28</t>
  </si>
  <si>
    <t>0782527837</t>
  </si>
  <si>
    <t>Daria</t>
  </si>
  <si>
    <t>Gubanova</t>
  </si>
  <si>
    <t>dari.gubanova@gmail.com</t>
  </si>
  <si>
    <t>Feldbergstrasse 137</t>
  </si>
  <si>
    <t>0763345233</t>
  </si>
  <si>
    <t>de Laat</t>
  </si>
  <si>
    <t>rpdelaat@xibertechnologies.com</t>
  </si>
  <si>
    <t>Im Niederholzboden 45</t>
  </si>
  <si>
    <t>0763345233-1</t>
  </si>
  <si>
    <t>Ada</t>
  </si>
  <si>
    <t>0763809827</t>
  </si>
  <si>
    <t>4106 Oberwil</t>
  </si>
  <si>
    <t>0795541328</t>
  </si>
  <si>
    <t>Inigo</t>
  </si>
  <si>
    <t>de la Maza</t>
  </si>
  <si>
    <t>i.delamaza.prieto@gmail.com</t>
  </si>
  <si>
    <t>Missionsstrasse 19</t>
  </si>
  <si>
    <t>0766035326</t>
  </si>
  <si>
    <t>Afaf</t>
  </si>
  <si>
    <t>Elkurdi</t>
  </si>
  <si>
    <t>elkurdi_afaf@hotmail.com</t>
  </si>
  <si>
    <t>Birsstrasse 242</t>
  </si>
  <si>
    <t>0796260163</t>
  </si>
  <si>
    <t>Zerina</t>
  </si>
  <si>
    <t>Bajrami</t>
  </si>
  <si>
    <t>zerina.zb@gmail.com</t>
  </si>
  <si>
    <t>Hegenheimerstrasse</t>
  </si>
  <si>
    <t>0782344447</t>
  </si>
  <si>
    <t>Andreina</t>
  </si>
  <si>
    <t>Briceno</t>
  </si>
  <si>
    <t>gina_2810@hotmail.com</t>
  </si>
  <si>
    <t>0033699114707</t>
  </si>
  <si>
    <t>Jauffret</t>
  </si>
  <si>
    <t>florian@fjaccompagnement.fr</t>
  </si>
  <si>
    <t>62B Rue du Burn</t>
  </si>
  <si>
    <t>Brunstatt-Didenheim</t>
  </si>
  <si>
    <t>0786608141</t>
  </si>
  <si>
    <t>Schwayer</t>
  </si>
  <si>
    <t>cornelia.schwayer@gmail.com</t>
  </si>
  <si>
    <t>Vogesenstrasse 69</t>
  </si>
  <si>
    <t>0767726487</t>
  </si>
  <si>
    <t>Aileen</t>
  </si>
  <si>
    <t>Bamford</t>
  </si>
  <si>
    <t>aileen.bamford@gmail.com</t>
  </si>
  <si>
    <t>Pelikanweg 6</t>
  </si>
  <si>
    <t>0763929994</t>
  </si>
  <si>
    <t>Bachlettenstrasse  27</t>
  </si>
  <si>
    <t>0795584011</t>
  </si>
  <si>
    <t>Burak</t>
  </si>
  <si>
    <t>Yildirim</t>
  </si>
  <si>
    <t>burak.yildirim@gmx.ch</t>
  </si>
  <si>
    <t>Neuensteinerstrasse 28</t>
  </si>
  <si>
    <t>0766755501</t>
  </si>
  <si>
    <t>Damaris</t>
  </si>
  <si>
    <t>Breitenfeld</t>
  </si>
  <si>
    <t>damaris_b@gmx.ch</t>
  </si>
  <si>
    <t>Utengasse 41</t>
  </si>
  <si>
    <t>0787303399</t>
  </si>
  <si>
    <t>Yeliz</t>
  </si>
  <si>
    <t>Saydem</t>
  </si>
  <si>
    <t>yeliz.saydam@gmail.com</t>
  </si>
  <si>
    <t>Mülhauserstrasse 164</t>
  </si>
  <si>
    <t>0762636496</t>
  </si>
  <si>
    <t>Glushenkov</t>
  </si>
  <si>
    <t>ivan.glushenkov.data@gmail.com</t>
  </si>
  <si>
    <t>Allschwillerstrasse 6</t>
  </si>
  <si>
    <t>0783536391</t>
  </si>
  <si>
    <t>Jungstraße 38</t>
  </si>
  <si>
    <t>0033665075201</t>
  </si>
  <si>
    <t>Szilard</t>
  </si>
  <si>
    <t>szilardpau@gmail.com</t>
  </si>
  <si>
    <t>Kaiserstrasse 2</t>
  </si>
  <si>
    <t>0798881391</t>
  </si>
  <si>
    <t>simone-frey@hotmail.de</t>
  </si>
  <si>
    <t>Grüssenweg 3</t>
  </si>
  <si>
    <t>0795048365</t>
  </si>
  <si>
    <t>Ilya</t>
  </si>
  <si>
    <t>Tschudin</t>
  </si>
  <si>
    <t>ilya.tschudin@icloud.com</t>
  </si>
  <si>
    <t>Wasserstelzenweg 95</t>
  </si>
  <si>
    <t>0787271733</t>
  </si>
  <si>
    <t>Agreda</t>
  </si>
  <si>
    <t>nadja_agreda@hotmail.com</t>
  </si>
  <si>
    <t>Feldstrasse 86</t>
  </si>
  <si>
    <t>0787271733-1</t>
  </si>
  <si>
    <t>Perren</t>
  </si>
  <si>
    <t>0762681107</t>
  </si>
  <si>
    <t>Haaf</t>
  </si>
  <si>
    <t>katharinahaaf@web.de</t>
  </si>
  <si>
    <t>General Guisan Strasse 104</t>
  </si>
  <si>
    <t>0779937627</t>
  </si>
  <si>
    <t>Dagmara</t>
  </si>
  <si>
    <t>Wojcik-Zyla</t>
  </si>
  <si>
    <t>wojcik.dagmara@gmail.com</t>
  </si>
  <si>
    <t>Rainallee, Riehen 86</t>
  </si>
  <si>
    <t>0765124472</t>
  </si>
  <si>
    <t>Gründel</t>
  </si>
  <si>
    <t>michi1@gmx.ch</t>
  </si>
  <si>
    <t>Rüchiweg 43</t>
  </si>
  <si>
    <t>0789269919</t>
  </si>
  <si>
    <t>Thüring</t>
  </si>
  <si>
    <t>sarinathuering@gmail.com</t>
  </si>
  <si>
    <t>0766517056</t>
  </si>
  <si>
    <t>m4rtin.lutz@gmail.com</t>
  </si>
  <si>
    <t>St. Jakobsstrasse 90</t>
  </si>
  <si>
    <t>0766517056-1</t>
  </si>
  <si>
    <t>Golec</t>
  </si>
  <si>
    <t>0764437838</t>
  </si>
  <si>
    <t>Antoine</t>
  </si>
  <si>
    <t>Kraemer</t>
  </si>
  <si>
    <t>antoinekraemer@hotmail.co.uk</t>
  </si>
  <si>
    <t>St. Johanns-Vorstadt 90</t>
  </si>
  <si>
    <t>0033681301330</t>
  </si>
  <si>
    <t>Simão Pedro</t>
  </si>
  <si>
    <t>Oliveira</t>
  </si>
  <si>
    <t>spedro.oliveira@gmail.com</t>
  </si>
  <si>
    <t>004915172478155</t>
  </si>
  <si>
    <t>Aline</t>
  </si>
  <si>
    <t>Riedel</t>
  </si>
  <si>
    <t>alineriedel17@gmail.com</t>
  </si>
  <si>
    <t>Grabenstr. 4</t>
  </si>
  <si>
    <t>0798115348</t>
  </si>
  <si>
    <t>tobithommen@hotmail.com</t>
  </si>
  <si>
    <t>Auberg 2</t>
  </si>
  <si>
    <t>0797964450</t>
  </si>
  <si>
    <t>philipp.schaub@magnet.ch</t>
  </si>
  <si>
    <t>Gotthelfstrasse 43</t>
  </si>
  <si>
    <t>0799103816</t>
  </si>
  <si>
    <t>Rohner</t>
  </si>
  <si>
    <t>timroh92@gmail.com</t>
  </si>
  <si>
    <t>Sankt Galler-Ring 193</t>
  </si>
  <si>
    <t>0794184619</t>
  </si>
  <si>
    <t>Rielo Maiz</t>
  </si>
  <si>
    <t>anton.rielo13@gmail.com</t>
  </si>
  <si>
    <t>Im Winkel 8</t>
  </si>
  <si>
    <t>Ettingen</t>
  </si>
  <si>
    <t>0793873018</t>
  </si>
  <si>
    <t>celine.schumacher92@gmail.com</t>
  </si>
  <si>
    <t>0788579291-1</t>
  </si>
  <si>
    <t>Oute</t>
  </si>
  <si>
    <t>0782242742</t>
  </si>
  <si>
    <t>Bozhidarka</t>
  </si>
  <si>
    <t>Yordanova</t>
  </si>
  <si>
    <t>bozhidarka_yordanova@abv.bg</t>
  </si>
  <si>
    <t>Alte Saline 5</t>
  </si>
  <si>
    <t>0764380975</t>
  </si>
  <si>
    <t>j_gonzalez_80@hotmail.com</t>
  </si>
  <si>
    <t>Kaltbrunnenstrasse 3</t>
  </si>
  <si>
    <t>0798317771</t>
  </si>
  <si>
    <t>Burkhardt</t>
  </si>
  <si>
    <t>gburkhardt28@gmail.com</t>
  </si>
  <si>
    <t>Redingstrasse 14</t>
  </si>
  <si>
    <t>4052 Basek</t>
  </si>
  <si>
    <t>0794788814</t>
  </si>
  <si>
    <t>Patarroyo</t>
  </si>
  <si>
    <t>0774738555</t>
  </si>
  <si>
    <t>Dale</t>
  </si>
  <si>
    <t>MacDonald</t>
  </si>
  <si>
    <t>dale.macdonald8@icloud.com</t>
  </si>
  <si>
    <t>Käferholzstrasse 48</t>
  </si>
  <si>
    <t>0798878892</t>
  </si>
  <si>
    <t>Mira</t>
  </si>
  <si>
    <t>Brenneisen</t>
  </si>
  <si>
    <t>mfbrenneisen@gmx.ch</t>
  </si>
  <si>
    <t>0793773259</t>
  </si>
  <si>
    <t>Sofia</t>
  </si>
  <si>
    <t>Tschopp-Eiriz</t>
  </si>
  <si>
    <t>sofia.tschopp@hotmail.com</t>
  </si>
  <si>
    <t>Hauptstrasse 8</t>
  </si>
  <si>
    <t>Seltisberg</t>
  </si>
  <si>
    <t>0767214483</t>
  </si>
  <si>
    <t>Stachera</t>
  </si>
  <si>
    <t>joastrachera@gmail.com</t>
  </si>
  <si>
    <t>St. Alban Ring 197</t>
  </si>
  <si>
    <t>0797557096</t>
  </si>
  <si>
    <t>Liederer</t>
  </si>
  <si>
    <t>severine.liederer@hotmail.com</t>
  </si>
  <si>
    <t>Kartausgasse 5</t>
  </si>
  <si>
    <t>0033766549997</t>
  </si>
  <si>
    <t>Stella</t>
  </si>
  <si>
    <t>Jean-Baptiste</t>
  </si>
  <si>
    <t>stellajeanbaptiste@gmail.com</t>
  </si>
  <si>
    <t>54 rue de la Couronne</t>
  </si>
  <si>
    <t>68400 Riedisheim</t>
  </si>
  <si>
    <t>0791020072</t>
  </si>
  <si>
    <t>Hülya</t>
  </si>
  <si>
    <t>Ates</t>
  </si>
  <si>
    <t>huelya.ates@gmail.com</t>
  </si>
  <si>
    <t>Neuhausstrasse 32</t>
  </si>
  <si>
    <t>0798482896</t>
  </si>
  <si>
    <t>Lenka</t>
  </si>
  <si>
    <t>Janova</t>
  </si>
  <si>
    <t>janova.lenka@yahoo.com</t>
  </si>
  <si>
    <t>Marsstrasse 7</t>
  </si>
  <si>
    <t>0797270838</t>
  </si>
  <si>
    <t>linda.pedrazzoli@bluewin.ch</t>
  </si>
  <si>
    <t>Adlerstrasse 30</t>
  </si>
  <si>
    <t>0796752628</t>
  </si>
  <si>
    <t>Laely</t>
  </si>
  <si>
    <t>claudiolaely@bluewin.ch</t>
  </si>
  <si>
    <t>0782079711</t>
  </si>
  <si>
    <t>Slieptsova</t>
  </si>
  <si>
    <t>nataliasli5551@gmail.com</t>
  </si>
  <si>
    <t>Riehenring 203</t>
  </si>
  <si>
    <t>0792552615</t>
  </si>
  <si>
    <t>Krause</t>
  </si>
  <si>
    <t>me@daniel-krause.net</t>
  </si>
  <si>
    <t>0796558076</t>
  </si>
  <si>
    <t>0794531696-1</t>
  </si>
  <si>
    <t>0789433044</t>
  </si>
  <si>
    <t>Amina</t>
  </si>
  <si>
    <t>Nyangu</t>
  </si>
  <si>
    <t>amina.nyangi@outlook.com</t>
  </si>
  <si>
    <t>Laufenstrasse 67</t>
  </si>
  <si>
    <t>4246 Wahlen</t>
  </si>
  <si>
    <t>0764312684</t>
  </si>
  <si>
    <t>Cihan</t>
  </si>
  <si>
    <t>Bicik</t>
  </si>
  <si>
    <t>bicik.cihan@gmail.com</t>
  </si>
  <si>
    <t>Laufenburgerstrasse 10</t>
  </si>
  <si>
    <t>Anmeldungen - Salsa Intermediate Stufe 9</t>
  </si>
  <si>
    <t>Datum:</t>
  </si>
  <si>
    <t>Kurstag:</t>
  </si>
  <si>
    <t>Montag</t>
  </si>
  <si>
    <t>Lehrer:</t>
  </si>
  <si>
    <t>Viviana &amp; Sebastian</t>
  </si>
  <si>
    <t>Zeit:</t>
  </si>
  <si>
    <t>18:30 - 19:30</t>
  </si>
  <si>
    <t>Ort:</t>
  </si>
  <si>
    <t>Elisabethenanlage 7</t>
  </si>
  <si>
    <t>Preis:</t>
  </si>
  <si>
    <t>CHF 190.- / CHF 160.-</t>
  </si>
  <si>
    <t>E-Mail</t>
  </si>
  <si>
    <t>Bemerkungen</t>
  </si>
  <si>
    <t>Betrag</t>
  </si>
  <si>
    <t>Anwesenheit</t>
  </si>
  <si>
    <t>Einnahmen</t>
  </si>
  <si>
    <t>Claudia &amp; Maarten</t>
  </si>
  <si>
    <t>Anmeldungen - Salsa Beginner Stufe 1</t>
  </si>
  <si>
    <t>19:30 - 20:30</t>
  </si>
  <si>
    <t>Anmeldungen - Salsa Advanced Stufe 13</t>
  </si>
  <si>
    <t>20:30 - 21:30</t>
  </si>
  <si>
    <t>Anmeldungen - Salsa Intermediate Stufe 8</t>
  </si>
  <si>
    <t>Dienstag</t>
  </si>
  <si>
    <t>Salsaflow Pass</t>
  </si>
  <si>
    <t>Rena &amp; Fabio</t>
  </si>
  <si>
    <t>Anmeldungen - Basics &amp; Fundamentals</t>
  </si>
  <si>
    <t>Anmeldungen - Salsa Advanced Stufe 15</t>
  </si>
  <si>
    <t>Jelena &amp; Yannick</t>
  </si>
  <si>
    <t>Mittwoch</t>
  </si>
  <si>
    <t>Anmeldungen - Bodymovement &amp; Ladystyle</t>
  </si>
  <si>
    <t>Anmeldungen - Salsa Advanced On2 Flow</t>
  </si>
  <si>
    <t>Vanessa &amp; Sebastian</t>
  </si>
  <si>
    <t>Anmeldungen - Salsa Beginner Stufe 2</t>
  </si>
  <si>
    <t>Jenny &amp; Sebastian</t>
  </si>
  <si>
    <t>Anmeldungen - Heels Class Intermediate</t>
  </si>
  <si>
    <t>Donnerstag</t>
  </si>
  <si>
    <t>Claudia &amp; Fabio</t>
  </si>
  <si>
    <t>Jenny &amp; Dan</t>
  </si>
  <si>
    <t>Anmeldungen - Heels Class Beginner</t>
  </si>
  <si>
    <t>Lana</t>
  </si>
  <si>
    <t>Rabea &amp; Fabio</t>
  </si>
  <si>
    <t>Anmeldungen - Salsa Bodymovement</t>
  </si>
  <si>
    <t>Freitag</t>
  </si>
  <si>
    <t>Marilena</t>
  </si>
  <si>
    <t>CHF 25.- / CHF 20.-</t>
  </si>
  <si>
    <t>Jolanta Niemann</t>
  </si>
  <si>
    <t>Christina Reinecker</t>
  </si>
  <si>
    <t>20:00 - 21:00 Uhr</t>
  </si>
  <si>
    <t>CHF 30.- / 25.-</t>
  </si>
  <si>
    <t>20:00 - 21:00</t>
  </si>
  <si>
    <t>Elisabtehenstrasse 7, 4051 Basel</t>
  </si>
  <si>
    <t>CHF 30.- / CHF 25.-</t>
  </si>
  <si>
    <t>Anmeldungen - SFIT</t>
  </si>
  <si>
    <t>Jeden zweiten Samstag</t>
  </si>
  <si>
    <t>Samstag</t>
  </si>
  <si>
    <t>Salsaflow Team</t>
  </si>
  <si>
    <t>11:00 - 13:00</t>
  </si>
  <si>
    <t>CHF 240.- / CHF 120.-</t>
  </si>
  <si>
    <t>Yannick</t>
  </si>
  <si>
    <t>Misteli</t>
  </si>
  <si>
    <t xml:space="preserve">John </t>
  </si>
  <si>
    <t>Dan</t>
  </si>
  <si>
    <t>Einnahmen Kurse - Salsaflow Dance Company</t>
  </si>
  <si>
    <r>
      <rPr>
        <b/>
        <sz val="8"/>
        <color rgb="FF000000"/>
        <rFont val="Arial"/>
        <family val="2"/>
      </rPr>
      <t>Ort:</t>
    </r>
    <r>
      <rPr>
        <sz val="8"/>
        <color rgb="FF000000"/>
        <rFont val="Arial"/>
        <family val="2"/>
      </rPr>
      <t xml:space="preserve"> Elisabethenanlage 7, 4051 Basel</t>
    </r>
  </si>
  <si>
    <t>Kurs / Zeitraum / Zeit</t>
  </si>
  <si>
    <t>Bemerkung</t>
  </si>
  <si>
    <t>Total Einnahmen Montag</t>
  </si>
  <si>
    <t>Total Einnahmen Dienstag</t>
  </si>
  <si>
    <t>Total Einnahmen Mittwoch</t>
  </si>
  <si>
    <t>Total Einnahmen Donnerstag</t>
  </si>
  <si>
    <t>Total Einnahmen Samstag</t>
  </si>
  <si>
    <t>Total Einnahmen Salsaflow Dance Company GmbH</t>
  </si>
  <si>
    <t>0792465093</t>
  </si>
  <si>
    <t>Evgenij</t>
  </si>
  <si>
    <t>Komarov</t>
  </si>
  <si>
    <t>k_ewe@hotmail.de</t>
  </si>
  <si>
    <t>Ergolzstrasse 38</t>
  </si>
  <si>
    <t>004915128752067</t>
  </si>
  <si>
    <t>Baur</t>
  </si>
  <si>
    <t>leoniebaur@gmx.de</t>
  </si>
  <si>
    <t>Hammerstrasse 41</t>
  </si>
  <si>
    <t>0798866124</t>
  </si>
  <si>
    <t>Vinigradova</t>
  </si>
  <si>
    <t>lanavin@gmail.com</t>
  </si>
  <si>
    <t>Rue Alfred-Comte 14</t>
  </si>
  <si>
    <t>Delemont</t>
  </si>
  <si>
    <t>004917655159434</t>
  </si>
  <si>
    <t>Möller</t>
  </si>
  <si>
    <t>sqm.steve.moeller@web.de</t>
  </si>
  <si>
    <t>Steinentirstrasse 18</t>
  </si>
  <si>
    <t>0764976478</t>
  </si>
  <si>
    <t>Halyna</t>
  </si>
  <si>
    <t>Horbenko</t>
  </si>
  <si>
    <t>0789352049</t>
  </si>
  <si>
    <t>Gmür</t>
  </si>
  <si>
    <t>danielgmuer5@hotmail.com</t>
  </si>
  <si>
    <t>Spalenring 114</t>
  </si>
  <si>
    <t>0764571408</t>
  </si>
  <si>
    <t>Darcal2002@gmail.com</t>
  </si>
  <si>
    <t>Dammstrasse 12</t>
  </si>
  <si>
    <t>4434 Hölstein</t>
  </si>
  <si>
    <t>0795828914</t>
  </si>
  <si>
    <t>Arzu</t>
  </si>
  <si>
    <t>Granberg</t>
  </si>
  <si>
    <t>arzugns@hotmail.com</t>
  </si>
  <si>
    <t>Troung</t>
  </si>
  <si>
    <t>0784754150</t>
  </si>
  <si>
    <t>Caneda</t>
  </si>
  <si>
    <t>0765871748</t>
  </si>
  <si>
    <t>Henriette</t>
  </si>
  <si>
    <t>Haefeli</t>
  </si>
  <si>
    <t>henriette.haefeli@hotmail.com</t>
  </si>
  <si>
    <t>Vogelmattstrasse 3</t>
  </si>
  <si>
    <t>0783109797</t>
  </si>
  <si>
    <t>Rom</t>
  </si>
  <si>
    <t>rom.bolliger@gmail.com</t>
  </si>
  <si>
    <t>Tellplatz 11</t>
  </si>
  <si>
    <t>0763215082</t>
  </si>
  <si>
    <t>Imân</t>
  </si>
  <si>
    <t>i.hofer@hotmail.com</t>
  </si>
  <si>
    <t>Steinengraben 8</t>
  </si>
  <si>
    <t>Anmeldungen - Contemporary</t>
  </si>
  <si>
    <t>Anmeldungen - Salsa Intermediate Stufe 10</t>
  </si>
  <si>
    <t>Anmeldungen - Salsa Advanced Stufe 16</t>
  </si>
  <si>
    <t>Jenny &amp; Mihai</t>
  </si>
  <si>
    <t>Rena &amp; Dan</t>
  </si>
  <si>
    <t>Anmeldungen - Bachata Beginner Stufe 1</t>
  </si>
  <si>
    <t>Anmeldungen - Bachata Beginner Stufe 4</t>
  </si>
  <si>
    <t>Jo &amp; Sebas</t>
  </si>
  <si>
    <t>0783005291</t>
  </si>
  <si>
    <t>004915168467107</t>
  </si>
  <si>
    <t>Tapken</t>
  </si>
  <si>
    <t>tapkenmj@gmail.com</t>
  </si>
  <si>
    <t>Alte Stadtgärtnerei 6/1</t>
  </si>
  <si>
    <t>0768034058</t>
  </si>
  <si>
    <t>Rabia</t>
  </si>
  <si>
    <t>rabia.doganci92@gmail.com</t>
  </si>
  <si>
    <t>Maulbeetstr1</t>
  </si>
  <si>
    <t>0799260342</t>
  </si>
  <si>
    <t>Sibrand</t>
  </si>
  <si>
    <t>Houtman</t>
  </si>
  <si>
    <t>sibrandhoutman@gmail.com</t>
  </si>
  <si>
    <t>J.J. Balmerstrasse 1</t>
  </si>
  <si>
    <t>0799167293</t>
  </si>
  <si>
    <t>Klomp</t>
  </si>
  <si>
    <t>judithklomp70@gmail.com</t>
  </si>
  <si>
    <t>0767497456</t>
  </si>
  <si>
    <t>Rukhadze</t>
  </si>
  <si>
    <t>ani_rukhadze@yahoo.com</t>
  </si>
  <si>
    <t>Johanniterstrasse 13</t>
  </si>
  <si>
    <t>0792204276</t>
  </si>
  <si>
    <t>ramona.maurer@gmx.ch</t>
  </si>
  <si>
    <t>Kirchrain 10</t>
  </si>
  <si>
    <t>0765379610</t>
  </si>
  <si>
    <t>Leyla</t>
  </si>
  <si>
    <t>Thüring-Polat</t>
  </si>
  <si>
    <t>leylathuering@gmail.com</t>
  </si>
  <si>
    <t>Kammermattweg 1</t>
  </si>
  <si>
    <t>0788028099</t>
  </si>
  <si>
    <t>Von Planta</t>
  </si>
  <si>
    <t>patriciavonplanta@gmail.com</t>
  </si>
  <si>
    <t>0792811108</t>
  </si>
  <si>
    <t>Stehlin-Flück</t>
  </si>
  <si>
    <t>sabrina.stehlin@hispeed.ch</t>
  </si>
  <si>
    <t>Baslerstrasse 70</t>
  </si>
  <si>
    <t>0774037180</t>
  </si>
  <si>
    <t>Gysi</t>
  </si>
  <si>
    <t>ehcb.daniel@hotmail.com</t>
  </si>
  <si>
    <t>Sierenzerstrasse 22</t>
  </si>
  <si>
    <t>0762007485</t>
  </si>
  <si>
    <t>Carol Camprecios</t>
  </si>
  <si>
    <t>picard150@gmail.com</t>
  </si>
  <si>
    <t>0784045013</t>
  </si>
  <si>
    <t>Farah</t>
  </si>
  <si>
    <t>Al Saifi</t>
  </si>
  <si>
    <t>f.saifi@vluewin.ch</t>
  </si>
  <si>
    <t>Teichweg 26</t>
  </si>
  <si>
    <t>0765728688</t>
  </si>
  <si>
    <t>bianca.suter@gmx.ch</t>
  </si>
  <si>
    <t>Friedensgasse 10</t>
  </si>
  <si>
    <t>0767889522</t>
  </si>
  <si>
    <t>Cigankova</t>
  </si>
  <si>
    <t>c.cigankova@gmail.com</t>
  </si>
  <si>
    <t>Römergasse 34</t>
  </si>
  <si>
    <t>0789840501</t>
  </si>
  <si>
    <t>Cataldo</t>
  </si>
  <si>
    <t>pasquale.cataldo@web.de</t>
  </si>
  <si>
    <t>Oetlingerstrasse 2</t>
  </si>
  <si>
    <t>0767258920</t>
  </si>
  <si>
    <t>Oxana</t>
  </si>
  <si>
    <t>Janz</t>
  </si>
  <si>
    <t>anzoxan@gmail.com</t>
  </si>
  <si>
    <t>0766820885</t>
  </si>
  <si>
    <t>Pirillo</t>
  </si>
  <si>
    <t>mariapirillo@gmail.com</t>
  </si>
  <si>
    <t>Matthäustrasse 11</t>
  </si>
  <si>
    <t>0793047615</t>
  </si>
  <si>
    <t>Amir</t>
  </si>
  <si>
    <t>Mahoori</t>
  </si>
  <si>
    <t>amir.mahoori@gmail.com</t>
  </si>
  <si>
    <t>Schönaustrasse 32</t>
  </si>
  <si>
    <t>0796486270</t>
  </si>
  <si>
    <t>Hunt</t>
  </si>
  <si>
    <t>huntmela@gmail.com</t>
  </si>
  <si>
    <t>Hauptstrasse 86</t>
  </si>
  <si>
    <t>Arisdorf</t>
  </si>
  <si>
    <t>00491639821908</t>
  </si>
  <si>
    <t>Sina Maria</t>
  </si>
  <si>
    <t>Schurban</t>
  </si>
  <si>
    <t>sina.schurban@gmx.de</t>
  </si>
  <si>
    <t>Schulweg 46</t>
  </si>
  <si>
    <t>0764186668</t>
  </si>
  <si>
    <t>Yasmin</t>
  </si>
  <si>
    <t>blumyas@gmail.com</t>
  </si>
  <si>
    <t>Rixheimerstrasse 22</t>
  </si>
  <si>
    <t>0788325297</t>
  </si>
  <si>
    <t>Milenkovic</t>
  </si>
  <si>
    <t>marijamilenkovic7@hotmail.com</t>
  </si>
  <si>
    <t>00393271089538</t>
  </si>
  <si>
    <t>Casalegno</t>
  </si>
  <si>
    <t>cia.casalegno@gmail.com</t>
  </si>
  <si>
    <t>Metzerstrasse 20</t>
  </si>
  <si>
    <t>0774918270</t>
  </si>
  <si>
    <t>Snow</t>
  </si>
  <si>
    <t>asnow2610@yahoo.com</t>
  </si>
  <si>
    <t>Oberer Rebbergweg 68</t>
  </si>
  <si>
    <t>0795416819</t>
  </si>
  <si>
    <t>0796646591</t>
  </si>
  <si>
    <t>domue@bluewin.ch</t>
  </si>
  <si>
    <t>Sperberweg 23</t>
  </si>
  <si>
    <t>Walliser</t>
  </si>
  <si>
    <t>sowa@intergga.ch</t>
  </si>
  <si>
    <t>0797746466</t>
  </si>
  <si>
    <t>Krenmayr</t>
  </si>
  <si>
    <t>franzi.krenmayr@bluewin.ch</t>
  </si>
  <si>
    <t>Unter der Fluh 22</t>
  </si>
  <si>
    <t>0783297271</t>
  </si>
  <si>
    <t>Charline</t>
  </si>
  <si>
    <t>Depoorter</t>
  </si>
  <si>
    <t>charline.depoorter@unibas.ch</t>
  </si>
  <si>
    <t>Hagentalerstrasse 15</t>
  </si>
  <si>
    <t>0792163795</t>
  </si>
  <si>
    <t>Lartey</t>
  </si>
  <si>
    <t>nicolelartey110@gmail.com</t>
  </si>
  <si>
    <t>Inselstrasse 38</t>
  </si>
  <si>
    <t>0763714799</t>
  </si>
  <si>
    <t>Rahsan</t>
  </si>
  <si>
    <t>toptasrahsan@hotmail.ch</t>
  </si>
  <si>
    <t>Bärenfelserstrasse 34</t>
  </si>
  <si>
    <t>0033786017197</t>
  </si>
  <si>
    <t>Anastasia</t>
  </si>
  <si>
    <t>Gesser</t>
  </si>
  <si>
    <t>anastasia.gesser@gmail.com</t>
  </si>
  <si>
    <t>1 rue de hagenthal</t>
  </si>
  <si>
    <t>Hegenheim</t>
  </si>
  <si>
    <t>0765235681</t>
  </si>
  <si>
    <t>0788264899</t>
  </si>
  <si>
    <t>Tran</t>
  </si>
  <si>
    <t>Louis</t>
  </si>
  <si>
    <t>linda.tran1997@hotmail.com</t>
  </si>
  <si>
    <t>Langgartenweg 32</t>
  </si>
  <si>
    <t>004915141238841</t>
  </si>
  <si>
    <t>Broschei</t>
  </si>
  <si>
    <t>jo.broschei@web.de</t>
  </si>
  <si>
    <t>Holbeinstrasse 5</t>
  </si>
  <si>
    <t>0782455043</t>
  </si>
  <si>
    <t>Siegwolf</t>
  </si>
  <si>
    <t>florian.siegwolf@yahoo.de</t>
  </si>
  <si>
    <t>Sperrstrasse 89</t>
  </si>
  <si>
    <t>0796023990</t>
  </si>
  <si>
    <t>0786682455</t>
  </si>
  <si>
    <t>Geser</t>
  </si>
  <si>
    <t>paul.geser03@gmail.com</t>
  </si>
  <si>
    <t>Drahtzugstrasse 12</t>
  </si>
  <si>
    <t>rrlima.raquel@gmail.com</t>
  </si>
  <si>
    <t>0786615581</t>
  </si>
  <si>
    <t>Bürgin-Kühne</t>
  </si>
  <si>
    <t>kuehneh@vtxmail.ch</t>
  </si>
  <si>
    <t>Schäublinstrasse 57</t>
  </si>
  <si>
    <t>0789766366</t>
  </si>
  <si>
    <t>Neil</t>
  </si>
  <si>
    <t>neil.buergin@hotmail.com</t>
  </si>
  <si>
    <t>0782057599</t>
  </si>
  <si>
    <t>Bis</t>
  </si>
  <si>
    <t>simonfaligowski@gmail.com</t>
  </si>
  <si>
    <t>66, Avenue de Bale</t>
  </si>
  <si>
    <t>0798893676</t>
  </si>
  <si>
    <t>fabiennewilli92@gmail.com</t>
  </si>
  <si>
    <t>Hauptstrasse 73</t>
  </si>
  <si>
    <t>0787154851</t>
  </si>
  <si>
    <t>emanuel.schmid@bluewin.ch</t>
  </si>
  <si>
    <t>Johanniterstrasse 11</t>
  </si>
  <si>
    <t>0788595656</t>
  </si>
  <si>
    <t>Adderson</t>
  </si>
  <si>
    <t>s.adderson@yahoo.com</t>
  </si>
  <si>
    <t>Holbeinstrasse 20</t>
  </si>
  <si>
    <t>0763739954</t>
  </si>
  <si>
    <t>sara.branca@hotmail.com</t>
  </si>
  <si>
    <t>Oberfeldweg 15</t>
  </si>
  <si>
    <t>0792623516</t>
  </si>
  <si>
    <t>0799573945</t>
  </si>
  <si>
    <t>0764202316</t>
  </si>
  <si>
    <t>Valentina</t>
  </si>
  <si>
    <t>valentina.rezia@bluewin.ch</t>
  </si>
  <si>
    <t>Sommerhalde 6</t>
  </si>
  <si>
    <t>jjrv1987@hotmail.com</t>
  </si>
  <si>
    <t>0792644704</t>
  </si>
  <si>
    <t>0792644704-1</t>
  </si>
  <si>
    <t>cedricberg@gmail.com</t>
  </si>
  <si>
    <t>1 rue du Homberg</t>
  </si>
  <si>
    <t>Koetzingue</t>
  </si>
  <si>
    <t>Claudine</t>
  </si>
  <si>
    <t>0788902648</t>
  </si>
  <si>
    <t>ramseiermanuel@gmail.com</t>
  </si>
  <si>
    <t>Wiesenstrasse 10</t>
  </si>
  <si>
    <t>0799630213</t>
  </si>
  <si>
    <t>michi2@gmx.ch</t>
  </si>
  <si>
    <t>4418 Reigoldswil</t>
  </si>
  <si>
    <t>0788719806</t>
  </si>
  <si>
    <t>svenja.meyer@bluewin.ch</t>
  </si>
  <si>
    <t>Schaulistrasse 2a</t>
  </si>
  <si>
    <t>0796642720</t>
  </si>
  <si>
    <t>Schelker</t>
  </si>
  <si>
    <t>gregory.schelker@gmx.ch</t>
  </si>
  <si>
    <t>00351926373955</t>
  </si>
  <si>
    <t>Balula</t>
  </si>
  <si>
    <t>samuel.balula@gmail.com</t>
  </si>
  <si>
    <t>Allschwilerstrasse 31</t>
  </si>
  <si>
    <t>Helvetia</t>
  </si>
  <si>
    <t>0765751964</t>
  </si>
  <si>
    <t>info@metzgerei-zimmermann.ch</t>
  </si>
  <si>
    <t>Schulgasse 13</t>
  </si>
  <si>
    <t>0794515889</t>
  </si>
  <si>
    <t>0767434494</t>
  </si>
  <si>
    <t>Amstutz</t>
  </si>
  <si>
    <t>simonamstutz96@gmail.com</t>
  </si>
  <si>
    <t>Paloma</t>
  </si>
  <si>
    <t>Castillo Espinoza</t>
  </si>
  <si>
    <t>paloma.castillo@hotmail.com</t>
  </si>
  <si>
    <t>004917688120457</t>
  </si>
  <si>
    <t>0763893700</t>
  </si>
  <si>
    <t>0763893700-1</t>
  </si>
  <si>
    <t>Brönimann</t>
  </si>
  <si>
    <t>yael.broennimann@icloud.com</t>
  </si>
  <si>
    <t>isla04@gmx.ch</t>
  </si>
  <si>
    <t>Wanderstrasse 21</t>
  </si>
  <si>
    <t>Isla</t>
  </si>
  <si>
    <t>Huggel</t>
  </si>
  <si>
    <t>0784446420</t>
  </si>
  <si>
    <t>Ibanez Barrera</t>
  </si>
  <si>
    <t>ivanfelipeib@hotmail.com</t>
  </si>
  <si>
    <t>Herrengrabenweg 34</t>
  </si>
  <si>
    <t>Ivan Felipe</t>
  </si>
  <si>
    <t>00393756162626</t>
  </si>
  <si>
    <t>Maria Teresa</t>
  </si>
  <si>
    <t>Baila</t>
  </si>
  <si>
    <t>Fasanenstrasse 121</t>
  </si>
  <si>
    <t>mtbalia98@gmail.com</t>
  </si>
  <si>
    <t>Constantin</t>
  </si>
  <si>
    <t>Hof</t>
  </si>
  <si>
    <t>constantin.hof@gmx.net</t>
  </si>
  <si>
    <t>Spitalstrasse 40</t>
  </si>
  <si>
    <t>Anmeldungen - Salsa Intermediate Stufe 11</t>
  </si>
  <si>
    <t>Anmeldungen - Salsa Intermediate 8</t>
  </si>
  <si>
    <t>Anmeldungen - Salsa Beginner Stufe 3</t>
  </si>
  <si>
    <t>Anmeldungen - Salsa Advanced Stufe 17</t>
  </si>
  <si>
    <t>Anmeldungen - Salsa Intermediate Flow</t>
  </si>
  <si>
    <t>05.01.2026 - 02.03.2026</t>
  </si>
  <si>
    <t>Anmeldungen - Cha cha cha</t>
  </si>
  <si>
    <t>06.01.2026 - 03.03.2026</t>
  </si>
  <si>
    <t>Anmeldungen - Salsa Beginner Stufe 5</t>
  </si>
  <si>
    <t>Vanessa &amp; Maarten</t>
  </si>
  <si>
    <t>Anmeldungen - Bachata Beginner Stufe 5</t>
  </si>
  <si>
    <t>Anmeldungen - Bachata Beginner Stufe 2</t>
  </si>
  <si>
    <t>Anmeldungen - Bodymovement &amp; Ladystyle Int</t>
  </si>
  <si>
    <t>Anmeldungen - Salsa Beginner Flow</t>
  </si>
  <si>
    <t>Aleks &amp; Tobi</t>
  </si>
  <si>
    <t>07.01.2026 - 04.03.2026</t>
  </si>
  <si>
    <t>08.01.2026 - 05.03.2026</t>
  </si>
  <si>
    <t>09.01.2026 - 06.03.2026</t>
  </si>
  <si>
    <r>
      <t>Zeitraum:</t>
    </r>
    <r>
      <rPr>
        <sz val="8"/>
        <color rgb="FF000000"/>
        <rFont val="Arial"/>
        <family val="2"/>
      </rPr>
      <t xml:space="preserve"> Januar - Februar 2026</t>
    </r>
  </si>
  <si>
    <t>0762285438</t>
  </si>
  <si>
    <t>Schnuppern</t>
  </si>
  <si>
    <t>Raj</t>
  </si>
  <si>
    <t>Krovvidi</t>
  </si>
  <si>
    <t>rajshekhar.krovvidi@gmail.com</t>
  </si>
  <si>
    <t>Römerpark 13</t>
  </si>
  <si>
    <t>Kaiseraugst</t>
  </si>
  <si>
    <t>Anmeldungen - Shines &amp; Partnerwork ON 1</t>
  </si>
  <si>
    <t>Aldo</t>
  </si>
  <si>
    <t>2. Kurse</t>
  </si>
  <si>
    <t>0797632549</t>
  </si>
  <si>
    <t>Strnad</t>
  </si>
  <si>
    <t>lena.strnad@gmail.com</t>
  </si>
  <si>
    <t>Dornacherstrasse 279</t>
  </si>
  <si>
    <t>0799471904</t>
  </si>
  <si>
    <t>Vuille-dit-Bille</t>
  </si>
  <si>
    <t>alison.vdb@hotmail.com</t>
  </si>
  <si>
    <t>Elsässerstrasse 79</t>
  </si>
  <si>
    <t>0797686663</t>
  </si>
  <si>
    <t>Dreier</t>
  </si>
  <si>
    <t>sabrina.dre@icloud.com</t>
  </si>
  <si>
    <t>St. Jakob-Strasse 2</t>
  </si>
  <si>
    <t>0793750430</t>
  </si>
  <si>
    <t>0793750430-1</t>
  </si>
  <si>
    <t>Piazza</t>
  </si>
  <si>
    <t>anpiazza@bluewin.ch</t>
  </si>
  <si>
    <t>Grubenstrasse 32</t>
  </si>
  <si>
    <t>004915167987534</t>
  </si>
  <si>
    <t>Lopez Villegas</t>
  </si>
  <si>
    <t>karollvlv@gmail.com</t>
  </si>
  <si>
    <t>Basler Strasse 46</t>
  </si>
  <si>
    <t>79540 Deutschland</t>
  </si>
  <si>
    <t>0775037116</t>
  </si>
  <si>
    <t>0585950464</t>
  </si>
  <si>
    <t>Zimmermannfe@gmail.com</t>
  </si>
  <si>
    <t>Auf der Lyss 14</t>
  </si>
  <si>
    <t>5041 Basel</t>
  </si>
  <si>
    <t>wioleta.c@gmx.de</t>
  </si>
  <si>
    <t>0762881020</t>
  </si>
  <si>
    <t>0762881020-1</t>
  </si>
  <si>
    <t>Yasin</t>
  </si>
  <si>
    <t>Aktas</t>
  </si>
  <si>
    <t>aleyna_yasin@outlook.com</t>
  </si>
  <si>
    <t>Akazienweg 14</t>
  </si>
  <si>
    <t>Aleyna</t>
  </si>
  <si>
    <t>Acar-Aktaş</t>
  </si>
  <si>
    <t>0763802363</t>
  </si>
  <si>
    <t>Eleanor</t>
  </si>
  <si>
    <t>Low</t>
  </si>
  <si>
    <t>elebasel@gmail.com</t>
  </si>
  <si>
    <t>Eptingerstrasse 14</t>
  </si>
  <si>
    <t>0788920408</t>
  </si>
  <si>
    <t>0762206648</t>
  </si>
  <si>
    <t>Cecilia</t>
  </si>
  <si>
    <t>Claesson</t>
  </si>
  <si>
    <t>boris.djakovic@hotmail.ch</t>
  </si>
  <si>
    <t>cecilia.akersholm@gmail.com</t>
  </si>
  <si>
    <t>Weiherweg 1</t>
  </si>
  <si>
    <t>0774087049</t>
  </si>
  <si>
    <t>0774087049-1</t>
  </si>
  <si>
    <t>Egger</t>
  </si>
  <si>
    <t>daniela.schaffner@hotmail.com</t>
  </si>
  <si>
    <t>Hebelstrasse 109</t>
  </si>
  <si>
    <t>00491709319760</t>
  </si>
  <si>
    <t>Timo</t>
  </si>
  <si>
    <t>Smieszek</t>
  </si>
  <si>
    <t>In der Schmiedsmatt 5</t>
  </si>
  <si>
    <t>timo@smieszek.de</t>
  </si>
  <si>
    <t>79410 Badenweiler</t>
  </si>
  <si>
    <t>0765874494</t>
  </si>
  <si>
    <t>Titus Conradin</t>
  </si>
  <si>
    <t>Hell</t>
  </si>
  <si>
    <t>titus.hell@hotmail.com</t>
  </si>
  <si>
    <t>Hochstrasse 63</t>
  </si>
  <si>
    <t>0765778768</t>
  </si>
  <si>
    <t>004915227742600</t>
  </si>
  <si>
    <t>maiers.sina@gmx.de</t>
  </si>
  <si>
    <t>Schützenwaldweg 9</t>
  </si>
  <si>
    <t>Degener</t>
  </si>
  <si>
    <t>deg.jul98@gmail.com</t>
  </si>
  <si>
    <t>004915172208370</t>
  </si>
  <si>
    <t>Maus</t>
  </si>
  <si>
    <t>sina_maus@gmx.net</t>
  </si>
  <si>
    <t>Hinterdorfstr. 37</t>
  </si>
  <si>
    <t>0789130030</t>
  </si>
  <si>
    <t>De Trane</t>
  </si>
  <si>
    <t>ilariadetrane31@gmail.com</t>
  </si>
  <si>
    <t>Stellimattweg 34</t>
  </si>
  <si>
    <t>0793381746</t>
  </si>
  <si>
    <t>0793381746-1</t>
  </si>
  <si>
    <t>aaron.michel95@gmail.com</t>
  </si>
  <si>
    <t>Dornacherstrasse 17</t>
  </si>
  <si>
    <t>Deola</t>
  </si>
  <si>
    <t>00491777517821</t>
  </si>
  <si>
    <t>Benedict</t>
  </si>
  <si>
    <t>bene.kern@t-online.de</t>
  </si>
  <si>
    <t>Wittlinger Str. 23</t>
  </si>
  <si>
    <t>0774845616</t>
  </si>
  <si>
    <t>-</t>
  </si>
  <si>
    <t>Marko</t>
  </si>
  <si>
    <t>Pacak</t>
  </si>
  <si>
    <t>m.pacak.ch@gmail.com</t>
  </si>
  <si>
    <t>Luzernerring 146</t>
  </si>
  <si>
    <t>Fehlt 1. Tag</t>
  </si>
  <si>
    <t>x</t>
  </si>
  <si>
    <t>0033621375222</t>
  </si>
  <si>
    <t>Alvarellos</t>
  </si>
  <si>
    <t>valentinbetesh97@gmail.com</t>
  </si>
  <si>
    <t>Cholerweg 10</t>
  </si>
  <si>
    <t>5212 Hausen</t>
  </si>
  <si>
    <t>0797517230</t>
  </si>
  <si>
    <t>Ballmann</t>
  </si>
  <si>
    <t>jasmin.ballmann.jb@gmail.com</t>
  </si>
  <si>
    <t>Dornacherstrasse 141</t>
  </si>
  <si>
    <t>0797914500</t>
  </si>
  <si>
    <t>meral_kz@hotmail.com</t>
  </si>
  <si>
    <t>Hofmattweg 39</t>
  </si>
  <si>
    <t>0795606944</t>
  </si>
  <si>
    <t>Soare</t>
  </si>
  <si>
    <t>soare.alexandra95@yahoo.com</t>
  </si>
  <si>
    <t>0787231631</t>
  </si>
  <si>
    <t>Brodmann</t>
  </si>
  <si>
    <t>nicole.brodmann@bluewin.ch</t>
  </si>
  <si>
    <t>0799553427</t>
  </si>
  <si>
    <t>Hesse</t>
  </si>
  <si>
    <t>pascal.lucien.hesse@gmail.com</t>
  </si>
  <si>
    <t>0799351311</t>
  </si>
  <si>
    <t>Blaser</t>
  </si>
  <si>
    <t>maxim.blaser@gmx.ch</t>
  </si>
  <si>
    <t>0791744718</t>
  </si>
  <si>
    <t>kika.rnunes@gmail.com</t>
  </si>
  <si>
    <t>Chemin de Mornex 3</t>
  </si>
  <si>
    <t>Lausanne</t>
  </si>
  <si>
    <t>0782171086</t>
  </si>
  <si>
    <t>0788436655</t>
  </si>
  <si>
    <t>Ràel</t>
  </si>
  <si>
    <t>p.rael@hotmail.com</t>
  </si>
  <si>
    <t>Strassburgerallee 88</t>
  </si>
  <si>
    <t>Aeschi</t>
  </si>
  <si>
    <t>aeschi.p@gmx.ch</t>
  </si>
  <si>
    <t>2 halbe Kurse</t>
  </si>
  <si>
    <t>0795764559</t>
  </si>
  <si>
    <t>Konturek-Ciesla</t>
  </si>
  <si>
    <t>a.konturek@gmail.com</t>
  </si>
  <si>
    <t>Jungstrasse 24</t>
  </si>
  <si>
    <t>0786348979</t>
  </si>
  <si>
    <t>Ari</t>
  </si>
  <si>
    <t>Idrizi</t>
  </si>
  <si>
    <t>idrizi.a21@gmail.com</t>
  </si>
  <si>
    <t>Sandgrubenstrasse 60</t>
  </si>
  <si>
    <t>004915129053132</t>
  </si>
  <si>
    <t>Hankel</t>
  </si>
  <si>
    <t>marv.hankel@gmail.com</t>
  </si>
  <si>
    <t>Wartenbergstrasse 8a</t>
  </si>
  <si>
    <t>0767964603</t>
  </si>
  <si>
    <t>Magdalena</t>
  </si>
  <si>
    <t>Siedlok</t>
  </si>
  <si>
    <t>magdalena.siedlok@gmail.com</t>
  </si>
  <si>
    <t>Lehenmattstrasse 277</t>
  </si>
  <si>
    <t>Vom Freitag nachholen</t>
  </si>
  <si>
    <t>0763316390</t>
  </si>
  <si>
    <t>0767718111</t>
  </si>
  <si>
    <t>Vlera</t>
  </si>
  <si>
    <t>Memisi</t>
  </si>
  <si>
    <t>Schnoz</t>
  </si>
  <si>
    <t>dominik211942@gmail.com</t>
  </si>
  <si>
    <t>memisi.vlera@gmail.com</t>
  </si>
  <si>
    <t>0768170076</t>
  </si>
  <si>
    <t>0774296686</t>
  </si>
  <si>
    <t>Silvan</t>
  </si>
  <si>
    <t>Irniger</t>
  </si>
  <si>
    <t>silvanirniger@gmail.com</t>
  </si>
  <si>
    <t>Murbacherstrasse 48</t>
  </si>
  <si>
    <t>nadzeya.kurzava@gmail.com</t>
  </si>
  <si>
    <t>Nadzeya</t>
  </si>
  <si>
    <t>Kurzava</t>
  </si>
  <si>
    <t>0787606064</t>
  </si>
  <si>
    <t>irene.heinimann@gmail.com</t>
  </si>
  <si>
    <t>Morystrasse 15</t>
  </si>
  <si>
    <t>Forchstrasse 175</t>
  </si>
  <si>
    <t>8032 Zürich</t>
  </si>
  <si>
    <t>salsaflow.b7g3d0@chm.8shield.net</t>
  </si>
  <si>
    <t>0799421373</t>
  </si>
  <si>
    <t>Fabregat Krzemnicki</t>
  </si>
  <si>
    <t>soniafabk@gmail.com</t>
  </si>
  <si>
    <t>Austrasse 38</t>
  </si>
  <si>
    <t>0792248588</t>
  </si>
  <si>
    <t>0788788333</t>
  </si>
  <si>
    <t>JC</t>
  </si>
  <si>
    <t>Sprecher</t>
  </si>
  <si>
    <t>jacqueline.sprecher@vtxmail.ch</t>
  </si>
  <si>
    <t>jc-hasler@globalsystem.ch</t>
  </si>
  <si>
    <t>Lindenweg 2</t>
  </si>
  <si>
    <t>0798440216</t>
  </si>
  <si>
    <t>Furlenbodenstrasse 1</t>
  </si>
  <si>
    <t>0774667852</t>
  </si>
  <si>
    <t>Yvo</t>
  </si>
  <si>
    <t>Morgartenring 162</t>
  </si>
  <si>
    <t>yvo.bruegger@gmx.ch</t>
  </si>
  <si>
    <t>4054 Basek</t>
  </si>
  <si>
    <t>004917682586623</t>
  </si>
  <si>
    <t>Böttcher</t>
  </si>
  <si>
    <t>paul.boe@web.de</t>
  </si>
  <si>
    <t>Bartenheimerstrasse 45</t>
  </si>
  <si>
    <t>Corey</t>
  </si>
  <si>
    <t>Rigley</t>
  </si>
  <si>
    <t>coreyrigley@gmail.com</t>
  </si>
  <si>
    <t>Binningerstrasse 43</t>
  </si>
  <si>
    <t>004369910476550</t>
  </si>
  <si>
    <t>Veider Hochfilzer</t>
  </si>
  <si>
    <t>veider@veider.com</t>
  </si>
  <si>
    <t>Gundeldingerrain 37</t>
  </si>
  <si>
    <t>0774167783</t>
  </si>
  <si>
    <t>Göknur</t>
  </si>
  <si>
    <t>Bektas</t>
  </si>
  <si>
    <t>gb@goebek.ch</t>
  </si>
  <si>
    <t>Bläsiring 156</t>
  </si>
  <si>
    <t>0797942980</t>
  </si>
  <si>
    <t>th.studer@gmail.com</t>
  </si>
  <si>
    <t>Redingstrasse 43</t>
  </si>
  <si>
    <t>0774064414</t>
  </si>
  <si>
    <t>0795626910</t>
  </si>
  <si>
    <t>Yashar</t>
  </si>
  <si>
    <t>Soltani</t>
  </si>
  <si>
    <t>Elian</t>
  </si>
  <si>
    <t>elian.luethy@gmx.ch</t>
  </si>
  <si>
    <t>yashar.soltani@outlook.de</t>
  </si>
  <si>
    <t>Lehenmattstrasse 197</t>
  </si>
  <si>
    <t>Leader</t>
  </si>
  <si>
    <t>0765811015</t>
  </si>
  <si>
    <t>krisy84@hotmail.com</t>
  </si>
  <si>
    <t>Grabenring 38</t>
  </si>
  <si>
    <t>0765242772</t>
  </si>
  <si>
    <t>Pascale Alexandra</t>
  </si>
  <si>
    <t>Stöckli</t>
  </si>
  <si>
    <t>pascale.st@live.de</t>
  </si>
  <si>
    <t>0767288555</t>
  </si>
  <si>
    <t>Riccardo</t>
  </si>
  <si>
    <t>Scaglioni</t>
  </si>
  <si>
    <t>R.scaglioni@gmx.ch</t>
  </si>
  <si>
    <t>0793844132</t>
  </si>
  <si>
    <t>Wiedemann</t>
  </si>
  <si>
    <t>manuwiedemann@outlook.de</t>
  </si>
  <si>
    <t>Flühbergweg 6</t>
  </si>
  <si>
    <t>0782465238</t>
  </si>
  <si>
    <t>Kellehan</t>
  </si>
  <si>
    <t>P.kellehan92@gmail.com</t>
  </si>
  <si>
    <t>Oetlingerstrasse 45</t>
  </si>
  <si>
    <t>0798495747</t>
  </si>
  <si>
    <t>Strano</t>
  </si>
  <si>
    <t>alessia.strano@bluewin.ch</t>
  </si>
  <si>
    <t>Dahlienstrasse 27</t>
  </si>
  <si>
    <t>0033699328876</t>
  </si>
  <si>
    <t>Oliwia</t>
  </si>
  <si>
    <t>Glwcz</t>
  </si>
  <si>
    <t>oliwia.glwcz@gmail.com</t>
  </si>
  <si>
    <t>Bruderholzstrasse 62</t>
  </si>
  <si>
    <t>0766504322</t>
  </si>
  <si>
    <t>Pavel</t>
  </si>
  <si>
    <t>Kos</t>
  </si>
  <si>
    <t>pavel.kos.personal@gmail.com</t>
  </si>
  <si>
    <t>Breisacherstrasse 95</t>
  </si>
  <si>
    <t>Fehlen 3 Mal</t>
  </si>
  <si>
    <t>20% - Erste Woche Freitag</t>
  </si>
  <si>
    <t>0796053733</t>
  </si>
  <si>
    <t>Würhrich</t>
  </si>
  <si>
    <t>michaelwu.colocho@gmail.com</t>
  </si>
  <si>
    <t>Hauptstrasse 19</t>
  </si>
  <si>
    <t>0794736704</t>
  </si>
  <si>
    <t>Wohlwend</t>
  </si>
  <si>
    <t>jessicawohlwend4@gmail.com</t>
  </si>
  <si>
    <t>Ruchholzstrasse 2</t>
  </si>
  <si>
    <t>0798885584</t>
  </si>
  <si>
    <t>0798885584-1</t>
  </si>
  <si>
    <t>Marilia</t>
  </si>
  <si>
    <t>Cavalcanti</t>
  </si>
  <si>
    <t>Johan</t>
  </si>
  <si>
    <t>marilia.cvv@gmail.com</t>
  </si>
  <si>
    <t>Feldbergstrasse 3</t>
  </si>
  <si>
    <t>0784454023</t>
  </si>
  <si>
    <t>Gens</t>
  </si>
  <si>
    <t>helena.cgens@gmail.com</t>
  </si>
  <si>
    <t>Buchenstrasse 2</t>
  </si>
  <si>
    <t>0788726686</t>
  </si>
  <si>
    <t>Alexandra soare</t>
  </si>
  <si>
    <t>X</t>
  </si>
  <si>
    <t>SUM UP</t>
  </si>
  <si>
    <t>0782441233</t>
  </si>
  <si>
    <t>Bianchi</t>
  </si>
  <si>
    <t>nils.bianchi@bluewin.ch</t>
  </si>
  <si>
    <t>Melchior Berri-Strasse 16</t>
  </si>
  <si>
    <t>0779454345</t>
  </si>
  <si>
    <t>anafilipafcribeiro@gmail.com</t>
  </si>
  <si>
    <t>Hebelstrasse 119</t>
  </si>
  <si>
    <t>Salsaflow</t>
  </si>
  <si>
    <t>00491602122888</t>
  </si>
  <si>
    <t>Böke</t>
  </si>
  <si>
    <t>ben25boeke@gmail.com</t>
  </si>
  <si>
    <t>Franz Ehret str 9</t>
  </si>
  <si>
    <t>00491637919721</t>
  </si>
  <si>
    <t>Bülent</t>
  </si>
  <si>
    <t>Ekinci</t>
  </si>
  <si>
    <t>buelentekinci24@gamil.com</t>
  </si>
  <si>
    <t>Grenz Str 4</t>
  </si>
  <si>
    <t>0791768471</t>
  </si>
  <si>
    <t>0791768471-1</t>
  </si>
  <si>
    <t>a.zeugin@gmx.ch</t>
  </si>
  <si>
    <t>Bündtenhag 327</t>
  </si>
  <si>
    <t>4233 Meltingen</t>
  </si>
  <si>
    <t>Sibabi</t>
  </si>
  <si>
    <t>Sassoundine</t>
  </si>
  <si>
    <t>Kuhfeldt</t>
  </si>
  <si>
    <t>Karsch</t>
  </si>
  <si>
    <t>larakuhfeldt@icloud.com</t>
  </si>
  <si>
    <t>Meltingerstrasse 6</t>
  </si>
  <si>
    <t>00491751678302</t>
  </si>
  <si>
    <t>0787534979</t>
  </si>
  <si>
    <t>Heidersdorf</t>
  </si>
  <si>
    <t>biancah._@web.de</t>
  </si>
  <si>
    <t>Dornacherstrasse 318</t>
  </si>
  <si>
    <t>Brumann</t>
  </si>
  <si>
    <t>brumanski@hotmail.com</t>
  </si>
  <si>
    <t>0764317333</t>
  </si>
  <si>
    <t>0764317333-1</t>
  </si>
  <si>
    <t>c.sidler@hotmail.com</t>
  </si>
  <si>
    <t>salome.amstutz@gmail.com</t>
  </si>
  <si>
    <t>Hungerbachweg 20</t>
  </si>
  <si>
    <t>00420602196682</t>
  </si>
  <si>
    <t>Ritter</t>
  </si>
  <si>
    <t>fehlt 3 Mal</t>
  </si>
  <si>
    <t>85 twint</t>
  </si>
  <si>
    <t>0792810862</t>
  </si>
  <si>
    <t>Lendite</t>
  </si>
  <si>
    <t>Sylaj</t>
  </si>
  <si>
    <t>lendite.s@hotmail.com</t>
  </si>
  <si>
    <t>Bruderholzstrasse 26</t>
  </si>
  <si>
    <t>0795111774</t>
  </si>
  <si>
    <t>Rahn</t>
  </si>
  <si>
    <t>crahn@gmx.ch</t>
  </si>
  <si>
    <t>Ebnetstrasse 22</t>
  </si>
  <si>
    <t>0799403725</t>
  </si>
  <si>
    <t>Natalya</t>
  </si>
  <si>
    <t>Ventocilla</t>
  </si>
  <si>
    <t>natalya.ventocilla@gmail.com</t>
  </si>
  <si>
    <t>St. Alban-Vorstadt 45</t>
  </si>
  <si>
    <t>0765772728</t>
  </si>
  <si>
    <t>Evanthia</t>
  </si>
  <si>
    <t>Drakousis</t>
  </si>
  <si>
    <t>edrakousis@gmail.com</t>
  </si>
  <si>
    <t>Güterstrasse 158</t>
  </si>
  <si>
    <t>0762708619</t>
  </si>
  <si>
    <t>0762708619-1</t>
  </si>
  <si>
    <t>Erb</t>
  </si>
  <si>
    <t>Viktoriia</t>
  </si>
  <si>
    <t>Pinchenkova</t>
  </si>
  <si>
    <t>vpinchenkova@gmail.com</t>
  </si>
  <si>
    <t>Anmeldungen - Heels</t>
  </si>
  <si>
    <t>0799139659</t>
  </si>
  <si>
    <t>lea.schmutz01@gmail.com</t>
  </si>
  <si>
    <t>0774374844</t>
  </si>
  <si>
    <t>Faye</t>
  </si>
  <si>
    <t>Blairs</t>
  </si>
  <si>
    <t>Waldeckweg 51</t>
  </si>
  <si>
    <t>faye.blairs@googlemail.com</t>
  </si>
  <si>
    <t>90.- Twint</t>
  </si>
  <si>
    <t>0765744877</t>
  </si>
  <si>
    <t>0765744877-1</t>
  </si>
  <si>
    <t>Kammerer</t>
  </si>
  <si>
    <t>Frau</t>
  </si>
  <si>
    <t>raphael.kammerer@outlook.com</t>
  </si>
  <si>
    <t>0796482119</t>
  </si>
  <si>
    <t>Madlen</t>
  </si>
  <si>
    <t>Holzer</t>
  </si>
  <si>
    <t>madlen_holzer@hotmail.com</t>
  </si>
  <si>
    <t>Unterdorfstrasse 54</t>
  </si>
  <si>
    <t>Schnuppern 2. Kurstag</t>
  </si>
  <si>
    <t>0764206415</t>
  </si>
  <si>
    <t>Bäbler</t>
  </si>
  <si>
    <t>julie.baebler@gmx.ch</t>
  </si>
  <si>
    <t>0798895785</t>
  </si>
  <si>
    <t>lukas.hecht@bluewin.ch</t>
  </si>
  <si>
    <t xml:space="preserve"> </t>
  </si>
  <si>
    <t>0782353592</t>
  </si>
  <si>
    <t>0764484023</t>
  </si>
  <si>
    <t>Rodrigues Nunes</t>
  </si>
  <si>
    <t>120 in bar bezahlt</t>
  </si>
  <si>
    <t>0783436337</t>
  </si>
  <si>
    <t>Wicht</t>
  </si>
  <si>
    <t>0789214544</t>
  </si>
  <si>
    <t>Radic</t>
  </si>
  <si>
    <t>radic.dani@gmail.com</t>
  </si>
  <si>
    <t>Homburgerstrasse 6</t>
  </si>
  <si>
    <t>Zahlen später</t>
  </si>
  <si>
    <t>0783342600</t>
  </si>
  <si>
    <t>0793784242</t>
  </si>
  <si>
    <t>lukas79@bluewin.ch</t>
  </si>
  <si>
    <t>5624 Bünzen</t>
  </si>
  <si>
    <t>0798446219</t>
  </si>
  <si>
    <t>0784482380</t>
  </si>
  <si>
    <t>Chuang</t>
  </si>
  <si>
    <t>Hembo</t>
  </si>
  <si>
    <t>chuanghembo@gmail.com</t>
  </si>
  <si>
    <t>0786298205</t>
  </si>
  <si>
    <t>Madarena</t>
  </si>
  <si>
    <t>lorena.madarena@bluewin.ch</t>
  </si>
  <si>
    <t>0765223264</t>
  </si>
  <si>
    <t>luca.yildiz@gmail.com</t>
  </si>
  <si>
    <t>Eggfluhstrasse 12</t>
  </si>
  <si>
    <t>0782073712</t>
  </si>
  <si>
    <t>0782227870</t>
  </si>
  <si>
    <t>Naas</t>
  </si>
  <si>
    <t>noemi.naas@outlook.com</t>
  </si>
  <si>
    <t>Technikumstrasse 59</t>
  </si>
  <si>
    <t>Winterthour</t>
  </si>
  <si>
    <t>Zayas</t>
  </si>
  <si>
    <t>Yankier</t>
  </si>
  <si>
    <t>y.castanedoz@gmail.com</t>
  </si>
  <si>
    <t>25 twint</t>
  </si>
  <si>
    <t>0765145862</t>
  </si>
  <si>
    <t>0788062355</t>
  </si>
  <si>
    <t>Vitkovic</t>
  </si>
  <si>
    <t>n.vitkovic@hotmail.com</t>
  </si>
  <si>
    <t>0792370373</t>
  </si>
  <si>
    <t>Ligresti</t>
  </si>
  <si>
    <t>igrestib@aol.com</t>
  </si>
  <si>
    <t>Vom Mittwoch gewechselt</t>
  </si>
  <si>
    <t>00491743461676</t>
  </si>
  <si>
    <t>004917645718658</t>
  </si>
  <si>
    <t>halber Kurs</t>
  </si>
  <si>
    <t>0033769055489</t>
  </si>
  <si>
    <t>Briellmann</t>
  </si>
  <si>
    <t>irina.briellmann@hotmail.com</t>
  </si>
  <si>
    <t>40 rue du moulin</t>
  </si>
  <si>
    <t>0033769055489-1</t>
  </si>
  <si>
    <t>00353863495138</t>
  </si>
  <si>
    <t>.</t>
  </si>
  <si>
    <t>Kurs abgebrochen</t>
  </si>
  <si>
    <t>Ladystyle</t>
  </si>
  <si>
    <t>Halber Kurs</t>
  </si>
  <si>
    <t>Kelly &amp; John</t>
  </si>
  <si>
    <t>0795728504</t>
  </si>
  <si>
    <t>Böswarth</t>
  </si>
  <si>
    <t>andreas.boeswarth@gmail.com</t>
  </si>
  <si>
    <t>5703 Seon</t>
  </si>
  <si>
    <t>0796319098</t>
  </si>
  <si>
    <t>Gottschalk</t>
  </si>
  <si>
    <t>svenja.gottschalk@roche.com</t>
  </si>
  <si>
    <t>5054 Kirchleerau</t>
  </si>
  <si>
    <t>alt</t>
  </si>
  <si>
    <t>Anmeldungen - Partnerwork  On2</t>
  </si>
  <si>
    <t>004915156622512</t>
  </si>
  <si>
    <t>Brutsche</t>
  </si>
  <si>
    <t>0764411330</t>
  </si>
  <si>
    <t>0764569295-1</t>
  </si>
  <si>
    <t>0765762512</t>
  </si>
  <si>
    <t>Anklin</t>
  </si>
  <si>
    <t>Nachholen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</si>
</sst>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Fr.&quot;\ #,##0.00"/>
  </numFmts>
  <fonts count="36" x14ac:knownFonts="1">
    <font>
      <sz val="11"/>
      <color rgb="FF000000"/>
      <name val="Calibri"/>
      <scheme val="minor"/>
    </font>
    <font>
      <b/>
      <sz val="20"/>
      <color rgb="FFFFFFFF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u/>
      <sz val="10"/>
      <color rgb="FF0563C1"/>
      <name val="Arial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u/>
      <sz val="10"/>
      <color rgb="FF0000FF"/>
      <name val="Arial"/>
      <family val="2"/>
    </font>
    <font>
      <u/>
      <sz val="10"/>
      <color rgb="FF0563C1"/>
      <name val="Arial"/>
      <family val="2"/>
    </font>
    <font>
      <sz val="10"/>
      <color rgb="FF0563C1"/>
      <name val="Arial"/>
      <family val="2"/>
    </font>
    <font>
      <sz val="9"/>
      <color rgb="FF000000"/>
      <name val="Courier New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  <font>
      <b/>
      <sz val="11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9"/>
      <color rgb="FF0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12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9" fontId="2" fillId="0" borderId="0" xfId="0" applyNumberFormat="1" applyFont="1" applyAlignment="1">
      <alignment horizontal="center"/>
    </xf>
    <xf numFmtId="0" fontId="3" fillId="0" borderId="0" xfId="0" applyFont="1"/>
    <xf numFmtId="9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49" fontId="5" fillId="0" borderId="0" xfId="0" applyNumberFormat="1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49" fontId="5" fillId="0" borderId="2" xfId="0" applyNumberFormat="1" applyFont="1" applyBorder="1"/>
    <xf numFmtId="0" fontId="5" fillId="0" borderId="2" xfId="0" applyFont="1" applyBorder="1"/>
    <xf numFmtId="0" fontId="10" fillId="0" borderId="2" xfId="0" applyFont="1" applyBorder="1"/>
    <xf numFmtId="0" fontId="5" fillId="0" borderId="2" xfId="0" applyFont="1" applyBorder="1" applyAlignment="1">
      <alignment horizontal="left"/>
    </xf>
    <xf numFmtId="0" fontId="11" fillId="0" borderId="0" xfId="0" applyFont="1"/>
    <xf numFmtId="49" fontId="5" fillId="0" borderId="3" xfId="0" applyNumberFormat="1" applyFont="1" applyBorder="1"/>
    <xf numFmtId="0" fontId="2" fillId="0" borderId="0" xfId="0" applyFont="1"/>
    <xf numFmtId="49" fontId="5" fillId="0" borderId="3" xfId="0" applyNumberFormat="1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49" fontId="2" fillId="0" borderId="0" xfId="0" applyNumberFormat="1" applyFont="1"/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49" fontId="14" fillId="0" borderId="4" xfId="0" applyNumberFormat="1" applyFont="1" applyBorder="1"/>
    <xf numFmtId="49" fontId="14" fillId="0" borderId="5" xfId="0" applyNumberFormat="1" applyFont="1" applyBorder="1"/>
    <xf numFmtId="49" fontId="14" fillId="0" borderId="3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49" fontId="14" fillId="0" borderId="3" xfId="0" applyNumberFormat="1" applyFont="1" applyBorder="1"/>
    <xf numFmtId="49" fontId="5" fillId="0" borderId="3" xfId="0" applyNumberFormat="1" applyFont="1" applyBorder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4" fontId="5" fillId="0" borderId="0" xfId="0" applyNumberFormat="1" applyFont="1"/>
    <xf numFmtId="0" fontId="19" fillId="0" borderId="0" xfId="0" applyFont="1"/>
    <xf numFmtId="0" fontId="20" fillId="0" borderId="0" xfId="0" applyFont="1"/>
    <xf numFmtId="14" fontId="5" fillId="0" borderId="0" xfId="0" applyNumberFormat="1" applyFont="1"/>
    <xf numFmtId="0" fontId="21" fillId="2" borderId="3" xfId="0" applyFont="1" applyFill="1" applyBorder="1" applyAlignment="1">
      <alignment vertical="center"/>
    </xf>
    <xf numFmtId="49" fontId="21" fillId="2" borderId="3" xfId="0" applyNumberFormat="1" applyFont="1" applyFill="1" applyBorder="1" applyAlignment="1">
      <alignment vertical="center"/>
    </xf>
    <xf numFmtId="164" fontId="21" fillId="2" borderId="3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164" fontId="20" fillId="0" borderId="4" xfId="0" applyNumberFormat="1" applyFont="1" applyBorder="1"/>
    <xf numFmtId="164" fontId="2" fillId="0" borderId="3" xfId="0" applyNumberFormat="1" applyFont="1" applyBorder="1" applyAlignment="1">
      <alignment horizontal="left" vertical="center"/>
    </xf>
    <xf numFmtId="0" fontId="14" fillId="0" borderId="3" xfId="0" applyFont="1" applyBorder="1"/>
    <xf numFmtId="49" fontId="14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164" fontId="20" fillId="0" borderId="3" xfId="0" applyNumberFormat="1" applyFont="1" applyBorder="1"/>
    <xf numFmtId="49" fontId="21" fillId="2" borderId="9" xfId="0" applyNumberFormat="1" applyFont="1" applyFill="1" applyBorder="1" applyAlignment="1">
      <alignment vertical="center"/>
    </xf>
    <xf numFmtId="0" fontId="26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49" fontId="14" fillId="0" borderId="3" xfId="0" applyNumberFormat="1" applyFont="1" applyBorder="1" applyAlignment="1">
      <alignment horizontal="left"/>
    </xf>
    <xf numFmtId="49" fontId="5" fillId="0" borderId="4" xfId="0" applyNumberFormat="1" applyFont="1" applyBorder="1"/>
    <xf numFmtId="49" fontId="5" fillId="0" borderId="3" xfId="0" applyNumberFormat="1" applyFont="1" applyBorder="1" applyAlignment="1">
      <alignment horizontal="left"/>
    </xf>
    <xf numFmtId="0" fontId="20" fillId="0" borderId="3" xfId="0" applyFont="1" applyBorder="1" applyAlignment="1">
      <alignment horizontal="left" vertical="center"/>
    </xf>
    <xf numFmtId="164" fontId="20" fillId="0" borderId="3" xfId="0" applyNumberFormat="1" applyFont="1" applyBorder="1" applyAlignment="1">
      <alignment horizontal="left" vertical="center"/>
    </xf>
    <xf numFmtId="9" fontId="5" fillId="0" borderId="3" xfId="0" applyNumberFormat="1" applyFont="1" applyBorder="1" applyAlignment="1">
      <alignment horizontal="left" vertical="center"/>
    </xf>
    <xf numFmtId="49" fontId="14" fillId="0" borderId="10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49" fontId="14" fillId="0" borderId="4" xfId="0" applyNumberFormat="1" applyFont="1" applyBorder="1" applyAlignment="1">
      <alignment horizontal="left" vertical="center"/>
    </xf>
    <xf numFmtId="164" fontId="5" fillId="0" borderId="3" xfId="0" applyNumberFormat="1" applyFont="1" applyBorder="1"/>
    <xf numFmtId="0" fontId="27" fillId="0" borderId="3" xfId="0" applyFont="1" applyBorder="1"/>
    <xf numFmtId="164" fontId="27" fillId="0" borderId="3" xfId="0" applyNumberFormat="1" applyFont="1" applyBorder="1"/>
    <xf numFmtId="0" fontId="28" fillId="0" borderId="0" xfId="0" applyFont="1" applyAlignment="1">
      <alignment vertical="center"/>
    </xf>
    <xf numFmtId="164" fontId="29" fillId="0" borderId="0" xfId="0" applyNumberFormat="1" applyFont="1" applyAlignment="1">
      <alignment vertical="center"/>
    </xf>
    <xf numFmtId="164" fontId="28" fillId="0" borderId="0" xfId="0" applyNumberFormat="1" applyFont="1" applyAlignment="1">
      <alignment vertical="center"/>
    </xf>
    <xf numFmtId="0" fontId="29" fillId="0" borderId="0" xfId="0" applyFont="1"/>
    <xf numFmtId="0" fontId="28" fillId="0" borderId="0" xfId="0" applyFont="1"/>
    <xf numFmtId="0" fontId="28" fillId="0" borderId="2" xfId="0" applyFont="1" applyBorder="1" applyAlignment="1">
      <alignment vertical="center"/>
    </xf>
    <xf numFmtId="164" fontId="29" fillId="0" borderId="2" xfId="0" applyNumberFormat="1" applyFont="1" applyBorder="1" applyAlignment="1">
      <alignment vertical="center"/>
    </xf>
    <xf numFmtId="164" fontId="28" fillId="0" borderId="2" xfId="0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64" fontId="20" fillId="0" borderId="3" xfId="0" applyNumberFormat="1" applyFont="1" applyBorder="1" applyAlignment="1">
      <alignment horizontal="center"/>
    </xf>
    <xf numFmtId="0" fontId="28" fillId="0" borderId="3" xfId="0" applyFont="1" applyBorder="1" applyAlignment="1">
      <alignment vertical="center"/>
    </xf>
    <xf numFmtId="164" fontId="28" fillId="0" borderId="3" xfId="0" applyNumberFormat="1" applyFont="1" applyBorder="1" applyAlignment="1">
      <alignment vertical="center"/>
    </xf>
    <xf numFmtId="164" fontId="28" fillId="0" borderId="3" xfId="0" applyNumberFormat="1" applyFont="1" applyBorder="1" applyAlignment="1">
      <alignment horizontal="center"/>
    </xf>
    <xf numFmtId="0" fontId="30" fillId="0" borderId="0" xfId="0" applyFont="1"/>
    <xf numFmtId="0" fontId="29" fillId="0" borderId="3" xfId="0" applyFont="1" applyBorder="1" applyAlignment="1">
      <alignment vertical="center"/>
    </xf>
    <xf numFmtId="164" fontId="29" fillId="0" borderId="3" xfId="0" applyNumberFormat="1" applyFont="1" applyBorder="1"/>
    <xf numFmtId="164" fontId="29" fillId="0" borderId="3" xfId="0" applyNumberFormat="1" applyFont="1" applyBorder="1" applyAlignment="1">
      <alignment horizontal="center"/>
    </xf>
    <xf numFmtId="164" fontId="20" fillId="0" borderId="3" xfId="0" applyNumberFormat="1" applyFont="1" applyBorder="1" applyAlignment="1">
      <alignment vertical="center"/>
    </xf>
    <xf numFmtId="0" fontId="31" fillId="0" borderId="0" xfId="1"/>
    <xf numFmtId="0" fontId="32" fillId="0" borderId="0" xfId="0" applyFont="1"/>
    <xf numFmtId="0" fontId="5" fillId="0" borderId="1" xfId="0" applyFont="1" applyBorder="1"/>
    <xf numFmtId="0" fontId="5" fillId="0" borderId="4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left" vertical="center"/>
    </xf>
    <xf numFmtId="49" fontId="5" fillId="0" borderId="11" xfId="0" applyNumberFormat="1" applyFont="1" applyBorder="1"/>
    <xf numFmtId="0" fontId="5" fillId="0" borderId="3" xfId="0" quotePrefix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left" vertical="center"/>
    </xf>
    <xf numFmtId="14" fontId="5" fillId="0" borderId="1" xfId="0" applyNumberFormat="1" applyFont="1" applyBorder="1"/>
    <xf numFmtId="164" fontId="5" fillId="3" borderId="3" xfId="0" applyNumberFormat="1" applyFont="1" applyFill="1" applyBorder="1" applyAlignment="1">
      <alignment horizontal="left" vertical="center"/>
    </xf>
    <xf numFmtId="9" fontId="5" fillId="0" borderId="8" xfId="0" applyNumberFormat="1" applyFont="1" applyBorder="1" applyAlignment="1">
      <alignment horizontal="left" vertical="center"/>
    </xf>
    <xf numFmtId="0" fontId="35" fillId="0" borderId="0" xfId="0" applyFont="1"/>
    <xf numFmtId="164" fontId="5" fillId="4" borderId="3" xfId="0" applyNumberFormat="1" applyFont="1" applyFill="1" applyBorder="1" applyAlignment="1">
      <alignment horizontal="left" vertical="center"/>
    </xf>
    <xf numFmtId="164" fontId="5" fillId="3" borderId="4" xfId="0" applyNumberFormat="1" applyFont="1" applyFill="1" applyBorder="1" applyAlignment="1">
      <alignment horizontal="left" vertical="center"/>
    </xf>
    <xf numFmtId="164" fontId="33" fillId="3" borderId="3" xfId="0" applyNumberFormat="1" applyFont="1" applyFill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  <xf numFmtId="164" fontId="14" fillId="3" borderId="3" xfId="0" applyNumberFormat="1" applyFont="1" applyFill="1" applyBorder="1"/>
    <xf numFmtId="164" fontId="33" fillId="4" borderId="3" xfId="0" applyNumberFormat="1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31" fillId="0" borderId="3" xfId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  <xf numFmtId="0" fontId="24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49" fontId="21" fillId="2" borderId="6" xfId="0" applyNumberFormat="1" applyFont="1" applyFill="1" applyBorder="1" applyAlignment="1">
      <alignment horizontal="center" vertical="center"/>
    </xf>
    <xf numFmtId="0" fontId="22" fillId="0" borderId="7" xfId="0" applyFont="1" applyBorder="1"/>
    <xf numFmtId="0" fontId="22" fillId="0" borderId="8" xfId="0" applyFont="1" applyBorder="1"/>
  </cellXfs>
  <cellStyles count="2">
    <cellStyle name="Link" xfId="1" builtinId="8"/>
    <cellStyle name="Standard" xfId="0" builtinId="0"/>
  </cellStyles>
  <dxfs count="94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0</xdr:row>
      <xdr:rowOff>0</xdr:rowOff>
    </xdr:from>
    <xdr:ext cx="1581150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0</xdr:row>
      <xdr:rowOff>0</xdr:rowOff>
    </xdr:from>
    <xdr:ext cx="1581150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0</xdr:row>
      <xdr:rowOff>0</xdr:rowOff>
    </xdr:from>
    <xdr:ext cx="1581150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0</xdr:row>
      <xdr:rowOff>0</xdr:rowOff>
    </xdr:from>
    <xdr:ext cx="1581150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0</xdr:rowOff>
    </xdr:from>
    <xdr:ext cx="1581150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0</xdr:row>
      <xdr:rowOff>0</xdr:rowOff>
    </xdr:from>
    <xdr:ext cx="1581150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0</xdr:row>
      <xdr:rowOff>28575</xdr:rowOff>
    </xdr:from>
    <xdr:ext cx="1590675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0</xdr:row>
      <xdr:rowOff>0</xdr:rowOff>
    </xdr:from>
    <xdr:ext cx="1581150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0</xdr:row>
      <xdr:rowOff>0</xdr:rowOff>
    </xdr:from>
    <xdr:ext cx="1581150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0</xdr:row>
      <xdr:rowOff>19050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0</xdr:row>
      <xdr:rowOff>19050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19050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0</xdr:row>
      <xdr:rowOff>19050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0</xdr:row>
      <xdr:rowOff>19050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19050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0</xdr:row>
      <xdr:rowOff>19050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0</xdr:row>
      <xdr:rowOff>38100</xdr:rowOff>
    </xdr:from>
    <xdr:ext cx="1590675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0</xdr:row>
      <xdr:rowOff>9525</xdr:rowOff>
    </xdr:from>
    <xdr:ext cx="1581150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0</xdr:row>
      <xdr:rowOff>38100</xdr:rowOff>
    </xdr:from>
    <xdr:ext cx="1590675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152400</xdr:colOff>
      <xdr:row>0</xdr:row>
      <xdr:rowOff>9525</xdr:rowOff>
    </xdr:from>
    <xdr:ext cx="1581150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9525</xdr:rowOff>
    </xdr:from>
    <xdr:ext cx="1581150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152400</xdr:colOff>
      <xdr:row>0</xdr:row>
      <xdr:rowOff>9525</xdr:rowOff>
    </xdr:from>
    <xdr:ext cx="1581150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9525</xdr:rowOff>
    </xdr:from>
    <xdr:ext cx="1581150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0</xdr:row>
      <xdr:rowOff>9525</xdr:rowOff>
    </xdr:from>
    <xdr:ext cx="1581150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9525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9525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0</xdr:row>
      <xdr:rowOff>9525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9525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0</xdr:row>
      <xdr:rowOff>28575</xdr:rowOff>
    </xdr:from>
    <xdr:ext cx="157162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0</xdr:row>
      <xdr:rowOff>28575</xdr:rowOff>
    </xdr:from>
    <xdr:ext cx="157162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0</xdr:row>
      <xdr:rowOff>9525</xdr:rowOff>
    </xdr:from>
    <xdr:ext cx="15906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0</xdr:row>
      <xdr:rowOff>9525</xdr:rowOff>
    </xdr:from>
    <xdr:ext cx="15906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0</xdr:row>
      <xdr:rowOff>9525</xdr:rowOff>
    </xdr:from>
    <xdr:ext cx="15906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9525</xdr:rowOff>
    </xdr:from>
    <xdr:ext cx="15906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9525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0</xdr:row>
      <xdr:rowOff>9525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0</xdr:row>
      <xdr:rowOff>9525</xdr:rowOff>
    </xdr:from>
    <xdr:ext cx="1581150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0</xdr:row>
      <xdr:rowOff>9525</xdr:rowOff>
    </xdr:from>
    <xdr:ext cx="15906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0</xdr:row>
      <xdr:rowOff>9525</xdr:rowOff>
    </xdr:from>
    <xdr:ext cx="15906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94BEEF4D-B2FE-4783-8A89-0301D20FD3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67800" y="9525"/>
          <a:ext cx="1590675" cy="971550"/>
        </a:xfrm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0</xdr:row>
      <xdr:rowOff>9525</xdr:rowOff>
    </xdr:from>
    <xdr:ext cx="15906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0</xdr:row>
      <xdr:rowOff>19050</xdr:rowOff>
    </xdr:from>
    <xdr:ext cx="1590675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1276350</xdr:colOff>
      <xdr:row>0</xdr:row>
      <xdr:rowOff>38100</xdr:rowOff>
    </xdr:from>
    <xdr:ext cx="1219200" cy="733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ina-dresch@hotmail.de" TargetMode="External"/><Relationship Id="rId299" Type="http://schemas.openxmlformats.org/officeDocument/2006/relationships/hyperlink" Target="javascript:void(0);" TargetMode="External"/><Relationship Id="rId21" Type="http://schemas.openxmlformats.org/officeDocument/2006/relationships/hyperlink" Target="mailto:devin.fehr@yahoo.com" TargetMode="External"/><Relationship Id="rId63" Type="http://schemas.openxmlformats.org/officeDocument/2006/relationships/hyperlink" Target="mailto:almocarlekman@gmail.com" TargetMode="External"/><Relationship Id="rId159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32" Type="http://schemas.openxmlformats.org/officeDocument/2006/relationships/hyperlink" Target="mailto:jessica-lanz@hotmail.com" TargetMode="External"/><Relationship Id="rId74" Type="http://schemas.openxmlformats.org/officeDocument/2006/relationships/hyperlink" Target="mailto:enrique.munoz@gmx.ch" TargetMode="External"/><Relationship Id="rId128" Type="http://schemas.openxmlformats.org/officeDocument/2006/relationships/hyperlink" Target="mailto:marvineriksen@web.de" TargetMode="External"/><Relationship Id="rId5" Type="http://schemas.openxmlformats.org/officeDocument/2006/relationships/hyperlink" Target="mailto:rena.schenke@gmail.com" TargetMode="External"/><Relationship Id="rId181" Type="http://schemas.openxmlformats.org/officeDocument/2006/relationships/hyperlink" Target="javascript:void(0);" TargetMode="External"/><Relationship Id="rId237" Type="http://schemas.openxmlformats.org/officeDocument/2006/relationships/hyperlink" Target="javascript:void(0);" TargetMode="External"/><Relationship Id="rId279" Type="http://schemas.openxmlformats.org/officeDocument/2006/relationships/hyperlink" Target="javascript:void(0);" TargetMode="External"/><Relationship Id="rId43" Type="http://schemas.openxmlformats.org/officeDocument/2006/relationships/hyperlink" Target="mailto:n9irsharkany@gmail.com" TargetMode="External"/><Relationship Id="rId139" Type="http://schemas.openxmlformats.org/officeDocument/2006/relationships/hyperlink" Target="mailto:jasmine.goer@icloud.com" TargetMode="External"/><Relationship Id="rId290" Type="http://schemas.openxmlformats.org/officeDocument/2006/relationships/hyperlink" Target="http://web.de/" TargetMode="External"/><Relationship Id="rId304" Type="http://schemas.openxmlformats.org/officeDocument/2006/relationships/hyperlink" Target="javascript:void(0);" TargetMode="External"/><Relationship Id="rId85" Type="http://schemas.openxmlformats.org/officeDocument/2006/relationships/hyperlink" Target="mailto:michelle.harder@sunrise.ch" TargetMode="External"/><Relationship Id="rId15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mailto:williamsteiger98@gmail.com" TargetMode="External"/><Relationship Id="rId108" Type="http://schemas.openxmlformats.org/officeDocument/2006/relationships/hyperlink" Target="mailto:robi.schuetz@icloud.com" TargetMode="External"/><Relationship Id="rId315" Type="http://schemas.openxmlformats.org/officeDocument/2006/relationships/hyperlink" Target="javascript:void(0);" TargetMode="External"/><Relationship Id="rId54" Type="http://schemas.openxmlformats.org/officeDocument/2006/relationships/hyperlink" Target="mailto:monique@schmille.ch" TargetMode="External"/><Relationship Id="rId96" Type="http://schemas.openxmlformats.org/officeDocument/2006/relationships/hyperlink" Target="mailto:hsaueressig@hotmail.com" TargetMode="External"/><Relationship Id="rId161" Type="http://schemas.openxmlformats.org/officeDocument/2006/relationships/hyperlink" Target="mailto:sibrandhoutman@gmail.com" TargetMode="External"/><Relationship Id="rId217" Type="http://schemas.openxmlformats.org/officeDocument/2006/relationships/hyperlink" Target="javascript:void(0);" TargetMode="External"/><Relationship Id="rId259" Type="http://schemas.openxmlformats.org/officeDocument/2006/relationships/hyperlink" Target="javascript:void(0);" TargetMode="External"/><Relationship Id="rId23" Type="http://schemas.openxmlformats.org/officeDocument/2006/relationships/hyperlink" Target="mailto:ezgi.Y@gmx.ch" TargetMode="External"/><Relationship Id="rId119" Type="http://schemas.openxmlformats.org/officeDocument/2006/relationships/hyperlink" Target="mailto:wherlenoelle@gmail.com" TargetMode="External"/><Relationship Id="rId270" Type="http://schemas.openxmlformats.org/officeDocument/2006/relationships/hyperlink" Target="javascript:void(0);" TargetMode="External"/><Relationship Id="rId65" Type="http://schemas.openxmlformats.org/officeDocument/2006/relationships/hyperlink" Target="mailto:margitdauner@web.de" TargetMode="External"/><Relationship Id="rId130" Type="http://schemas.openxmlformats.org/officeDocument/2006/relationships/hyperlink" Target="mailto:paolabuscema@yahoo.it" TargetMode="External"/><Relationship Id="rId17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13" Type="http://schemas.openxmlformats.org/officeDocument/2006/relationships/hyperlink" Target="mailto:nena.stebler@gmail.com" TargetMode="External"/><Relationship Id="rId109" Type="http://schemas.openxmlformats.org/officeDocument/2006/relationships/hyperlink" Target="mailto:awehrle@gmx.de" TargetMode="External"/><Relationship Id="rId260" Type="http://schemas.openxmlformats.org/officeDocument/2006/relationships/hyperlink" Target="javascript:void(0);" TargetMode="External"/><Relationship Id="rId281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34" Type="http://schemas.openxmlformats.org/officeDocument/2006/relationships/hyperlink" Target="mailto:kevin.garn@hotmail.com" TargetMode="External"/><Relationship Id="rId55" Type="http://schemas.openxmlformats.org/officeDocument/2006/relationships/hyperlink" Target="mailto:raul.penas@hotmail.com" TargetMode="External"/><Relationship Id="rId76" Type="http://schemas.openxmlformats.org/officeDocument/2006/relationships/hyperlink" Target="mailto:nina.carbonetti@hotmail.com" TargetMode="External"/><Relationship Id="rId97" Type="http://schemas.openxmlformats.org/officeDocument/2006/relationships/hyperlink" Target="mailto:annap123@onet.pl" TargetMode="External"/><Relationship Id="rId120" Type="http://schemas.openxmlformats.org/officeDocument/2006/relationships/hyperlink" Target="mailto:tongzhang@gmx.net" TargetMode="External"/><Relationship Id="rId141" Type="http://schemas.openxmlformats.org/officeDocument/2006/relationships/hyperlink" Target="mailto:gabisfavero@gmail.com" TargetMode="External"/><Relationship Id="rId7" Type="http://schemas.openxmlformats.org/officeDocument/2006/relationships/hyperlink" Target="mailto:lopez.b.valentin@gmail.com" TargetMode="External"/><Relationship Id="rId162" Type="http://schemas.openxmlformats.org/officeDocument/2006/relationships/hyperlink" Target="mailto:judithklomp70@gmail.com" TargetMode="External"/><Relationship Id="rId183" Type="http://schemas.openxmlformats.org/officeDocument/2006/relationships/hyperlink" Target="javascript:void(0);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271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24" Type="http://schemas.openxmlformats.org/officeDocument/2006/relationships/hyperlink" Target="mailto:jacob.fischer-barnicol@gmx.de" TargetMode="External"/><Relationship Id="rId45" Type="http://schemas.openxmlformats.org/officeDocument/2006/relationships/hyperlink" Target="mailto:riti65@hotmail.com" TargetMode="External"/><Relationship Id="rId66" Type="http://schemas.openxmlformats.org/officeDocument/2006/relationships/hyperlink" Target="mailto:k.seggering@gmail.com" TargetMode="External"/><Relationship Id="rId87" Type="http://schemas.openxmlformats.org/officeDocument/2006/relationships/hyperlink" Target="mailto:Isabelreiss@gmx.de" TargetMode="External"/><Relationship Id="rId110" Type="http://schemas.openxmlformats.org/officeDocument/2006/relationships/hyperlink" Target="mailto:raphaela.kunscht@gmail.com" TargetMode="External"/><Relationship Id="rId131" Type="http://schemas.openxmlformats.org/officeDocument/2006/relationships/hyperlink" Target="mailto:andrea@gracefool-comix.com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mailto:gregory.schelker@gmx.ch" TargetMode="External"/><Relationship Id="rId229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261" Type="http://schemas.openxmlformats.org/officeDocument/2006/relationships/hyperlink" Target="javascript:void(0);" TargetMode="External"/><Relationship Id="rId14" Type="http://schemas.openxmlformats.org/officeDocument/2006/relationships/hyperlink" Target="mailto:elisabeth.pamperl@gmail.com" TargetMode="External"/><Relationship Id="rId35" Type="http://schemas.openxmlformats.org/officeDocument/2006/relationships/hyperlink" Target="mailto:salsa@finkler.me" TargetMode="External"/><Relationship Id="rId56" Type="http://schemas.openxmlformats.org/officeDocument/2006/relationships/hyperlink" Target="mailto:steffi_felix@hotmail.com" TargetMode="External"/><Relationship Id="rId77" Type="http://schemas.openxmlformats.org/officeDocument/2006/relationships/hyperlink" Target="mailto:judy.flock@gmail.com" TargetMode="External"/><Relationship Id="rId100" Type="http://schemas.openxmlformats.org/officeDocument/2006/relationships/hyperlink" Target="mailto:jk211@gmx.de" TargetMode="External"/><Relationship Id="rId282" Type="http://schemas.openxmlformats.org/officeDocument/2006/relationships/hyperlink" Target="javascript:void(0);" TargetMode="External"/><Relationship Id="rId317" Type="http://schemas.openxmlformats.org/officeDocument/2006/relationships/hyperlink" Target="javascript:void(0);" TargetMode="External"/><Relationship Id="rId8" Type="http://schemas.openxmlformats.org/officeDocument/2006/relationships/hyperlink" Target="mailto:falcaojoana333@gmail.com" TargetMode="External"/><Relationship Id="rId98" Type="http://schemas.openxmlformats.org/officeDocument/2006/relationships/hyperlink" Target="mailto:marika.kwidzinski@web.de" TargetMode="External"/><Relationship Id="rId121" Type="http://schemas.openxmlformats.org/officeDocument/2006/relationships/hyperlink" Target="mailto:elizabeth.adams@bluewin.ch" TargetMode="External"/><Relationship Id="rId142" Type="http://schemas.openxmlformats.org/officeDocument/2006/relationships/hyperlink" Target="mailto:jk211@gmx.de" TargetMode="External"/><Relationship Id="rId163" Type="http://schemas.openxmlformats.org/officeDocument/2006/relationships/hyperlink" Target="mailto:ani_rukhadze@yahoo.com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251" Type="http://schemas.openxmlformats.org/officeDocument/2006/relationships/hyperlink" Target="javascript:void(0);" TargetMode="External"/><Relationship Id="rId25" Type="http://schemas.openxmlformats.org/officeDocument/2006/relationships/hyperlink" Target="mailto:jaimesantaella@gmail.com" TargetMode="External"/><Relationship Id="rId46" Type="http://schemas.openxmlformats.org/officeDocument/2006/relationships/hyperlink" Target="mailto:jochen.schm@gmx.net" TargetMode="External"/><Relationship Id="rId67" Type="http://schemas.openxmlformats.org/officeDocument/2006/relationships/hyperlink" Target="mailto:rothmaria1987@gmail.com" TargetMode="External"/><Relationship Id="rId272" Type="http://schemas.openxmlformats.org/officeDocument/2006/relationships/hyperlink" Target="javascript:void(0);" TargetMode="External"/><Relationship Id="rId293" Type="http://schemas.openxmlformats.org/officeDocument/2006/relationships/hyperlink" Target="javascript:void(0);" TargetMode="External"/><Relationship Id="rId307" Type="http://schemas.openxmlformats.org/officeDocument/2006/relationships/hyperlink" Target="javascript:void(0);" TargetMode="External"/><Relationship Id="rId88" Type="http://schemas.openxmlformats.org/officeDocument/2006/relationships/hyperlink" Target="mailto:eric68.gabriel@gmail.com" TargetMode="External"/><Relationship Id="rId111" Type="http://schemas.openxmlformats.org/officeDocument/2006/relationships/hyperlink" Target="mailto:guanjingru7@gmail.com" TargetMode="External"/><Relationship Id="rId132" Type="http://schemas.openxmlformats.org/officeDocument/2006/relationships/hyperlink" Target="mailto:eniko.h@gmail.com" TargetMode="External"/><Relationship Id="rId153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mailto:kuehneh@vtxmail.ch" TargetMode="External"/><Relationship Id="rId209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javascript:void(0);" TargetMode="External"/><Relationship Id="rId15" Type="http://schemas.openxmlformats.org/officeDocument/2006/relationships/hyperlink" Target="mailto:anita.handschin@hotmail.com" TargetMode="External"/><Relationship Id="rId36" Type="http://schemas.openxmlformats.org/officeDocument/2006/relationships/hyperlink" Target="mailto:myrian.schaerz@gmail.com" TargetMode="External"/><Relationship Id="rId57" Type="http://schemas.openxmlformats.org/officeDocument/2006/relationships/hyperlink" Target="mailto:abusco@hotmail.de" TargetMode="External"/><Relationship Id="rId262" Type="http://schemas.openxmlformats.org/officeDocument/2006/relationships/hyperlink" Target="javascript:void(0);" TargetMode="External"/><Relationship Id="rId283" Type="http://schemas.openxmlformats.org/officeDocument/2006/relationships/hyperlink" Target="javascript:void(0);" TargetMode="External"/><Relationship Id="rId318" Type="http://schemas.openxmlformats.org/officeDocument/2006/relationships/printerSettings" Target="../printerSettings/printerSettings1.bin"/><Relationship Id="rId78" Type="http://schemas.openxmlformats.org/officeDocument/2006/relationships/hyperlink" Target="mailto:rinner.marcia@yahoo.com" TargetMode="External"/><Relationship Id="rId99" Type="http://schemas.openxmlformats.org/officeDocument/2006/relationships/hyperlink" Target="mailto:lorena.graincavarela@gmail.com" TargetMode="External"/><Relationship Id="rId101" Type="http://schemas.openxmlformats.org/officeDocument/2006/relationships/hyperlink" Target="mailto:sakina.abouzouhair@gmail.com" TargetMode="External"/><Relationship Id="rId122" Type="http://schemas.openxmlformats.org/officeDocument/2006/relationships/hyperlink" Target="mailto:k.kilian@gmx.de" TargetMode="External"/><Relationship Id="rId143" Type="http://schemas.openxmlformats.org/officeDocument/2006/relationships/hyperlink" Target="mailto:ivan.glushenkov.data@gmail.com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javascript:void(0);" TargetMode="External"/><Relationship Id="rId9" Type="http://schemas.openxmlformats.org/officeDocument/2006/relationships/hyperlink" Target="mailto:jack.kuipers@bsse.ethz.ch" TargetMode="External"/><Relationship Id="rId210" Type="http://schemas.openxmlformats.org/officeDocument/2006/relationships/hyperlink" Target="mailto:info@metzgerei-zimmermann.ch" TargetMode="External"/><Relationship Id="rId26" Type="http://schemas.openxmlformats.org/officeDocument/2006/relationships/hyperlink" Target="mailto:gianluca.rossato@gmail.com" TargetMode="External"/><Relationship Id="rId231" Type="http://schemas.openxmlformats.org/officeDocument/2006/relationships/hyperlink" Target="javascript:void(0);" TargetMode="External"/><Relationship Id="rId252" Type="http://schemas.openxmlformats.org/officeDocument/2006/relationships/hyperlink" Target="javascript:void(0);" TargetMode="External"/><Relationship Id="rId273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308" Type="http://schemas.openxmlformats.org/officeDocument/2006/relationships/hyperlink" Target="mailto:chuanghembo@gmail.com" TargetMode="External"/><Relationship Id="rId47" Type="http://schemas.openxmlformats.org/officeDocument/2006/relationships/hyperlink" Target="mailto:ajmtnezo@gmail.com" TargetMode="External"/><Relationship Id="rId68" Type="http://schemas.openxmlformats.org/officeDocument/2006/relationships/hyperlink" Target="mailto:michel.strub91@gmail.com" TargetMode="External"/><Relationship Id="rId89" Type="http://schemas.openxmlformats.org/officeDocument/2006/relationships/hyperlink" Target="mailto:laurabrahimi11@icloud.com" TargetMode="External"/><Relationship Id="rId112" Type="http://schemas.openxmlformats.org/officeDocument/2006/relationships/hyperlink" Target="mailto:am.monge.11@gmail.com" TargetMode="External"/><Relationship Id="rId133" Type="http://schemas.openxmlformats.org/officeDocument/2006/relationships/hyperlink" Target="mailto:lea-samira@hotmail.com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196" Type="http://schemas.openxmlformats.org/officeDocument/2006/relationships/hyperlink" Target="mailto:neil.buergin@hotmail.com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mailto:angela-ly_93@hotmail.com" TargetMode="External"/><Relationship Id="rId221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263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37" Type="http://schemas.openxmlformats.org/officeDocument/2006/relationships/hyperlink" Target="mailto:ankebauer8@gmail.com" TargetMode="External"/><Relationship Id="rId58" Type="http://schemas.openxmlformats.org/officeDocument/2006/relationships/hyperlink" Target="mailto:servanehardouin@gmail.com" TargetMode="External"/><Relationship Id="rId79" Type="http://schemas.openxmlformats.org/officeDocument/2006/relationships/hyperlink" Target="mailto:leifel@protonmail.com" TargetMode="External"/><Relationship Id="rId102" Type="http://schemas.openxmlformats.org/officeDocument/2006/relationships/hyperlink" Target="mailto:urs.martin17@gmx.ch" TargetMode="External"/><Relationship Id="rId123" Type="http://schemas.openxmlformats.org/officeDocument/2006/relationships/hyperlink" Target="mailto:melinagoetschi@outlook.com" TargetMode="External"/><Relationship Id="rId144" Type="http://schemas.openxmlformats.org/officeDocument/2006/relationships/hyperlink" Target="mailto:sofia.tschopp@hotmail.com" TargetMode="External"/><Relationship Id="rId90" Type="http://schemas.openxmlformats.org/officeDocument/2006/relationships/hyperlink" Target="mailto:nadia.diazdevivar@yahoo.de" TargetMode="External"/><Relationship Id="rId165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javascript:void(0);" TargetMode="External"/><Relationship Id="rId232" Type="http://schemas.openxmlformats.org/officeDocument/2006/relationships/hyperlink" Target="javascript:void(0);" TargetMode="External"/><Relationship Id="rId253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295" Type="http://schemas.openxmlformats.org/officeDocument/2006/relationships/hyperlink" Target="javascript:void(0);" TargetMode="External"/><Relationship Id="rId309" Type="http://schemas.openxmlformats.org/officeDocument/2006/relationships/hyperlink" Target="javascript:void(0);" TargetMode="External"/><Relationship Id="rId27" Type="http://schemas.openxmlformats.org/officeDocument/2006/relationships/hyperlink" Target="mailto:ceccarelli.giulia@hotmail.com" TargetMode="External"/><Relationship Id="rId48" Type="http://schemas.openxmlformats.org/officeDocument/2006/relationships/hyperlink" Target="mailto:ali.uestuendag@gmail.com" TargetMode="External"/><Relationship Id="rId69" Type="http://schemas.openxmlformats.org/officeDocument/2006/relationships/hyperlink" Target="mailto:nekko08@gmail.com" TargetMode="External"/><Relationship Id="rId113" Type="http://schemas.openxmlformats.org/officeDocument/2006/relationships/hyperlink" Target="mailto:johann.brass@gmail.com" TargetMode="External"/><Relationship Id="rId134" Type="http://schemas.openxmlformats.org/officeDocument/2006/relationships/hyperlink" Target="mailto:dima1987n@gmail.com" TargetMode="External"/><Relationship Id="rId80" Type="http://schemas.openxmlformats.org/officeDocument/2006/relationships/hyperlink" Target="mailto:frejas.marcus@gmail.com" TargetMode="External"/><Relationship Id="rId155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285" Type="http://schemas.openxmlformats.org/officeDocument/2006/relationships/hyperlink" Target="javascript:void(0);" TargetMode="External"/><Relationship Id="rId17" Type="http://schemas.openxmlformats.org/officeDocument/2006/relationships/hyperlink" Target="mailto:christan.knapp@tum.de" TargetMode="External"/><Relationship Id="rId38" Type="http://schemas.openxmlformats.org/officeDocument/2006/relationships/hyperlink" Target="mailto:joelferreira@outlook.de" TargetMode="External"/><Relationship Id="rId59" Type="http://schemas.openxmlformats.org/officeDocument/2006/relationships/hyperlink" Target="mailto:j.aufrichtig@gmx.ch" TargetMode="External"/><Relationship Id="rId103" Type="http://schemas.openxmlformats.org/officeDocument/2006/relationships/hyperlink" Target="mailto:dominique.spicher@bluewin.ch" TargetMode="External"/><Relationship Id="rId124" Type="http://schemas.openxmlformats.org/officeDocument/2006/relationships/hyperlink" Target="mailto:katharina.pfister@yahoo.de" TargetMode="External"/><Relationship Id="rId310" Type="http://schemas.openxmlformats.org/officeDocument/2006/relationships/hyperlink" Target="javascript:void(0);" TargetMode="External"/><Relationship Id="rId70" Type="http://schemas.openxmlformats.org/officeDocument/2006/relationships/hyperlink" Target="mailto:irene15c@hotmail.com" TargetMode="External"/><Relationship Id="rId91" Type="http://schemas.openxmlformats.org/officeDocument/2006/relationships/hyperlink" Target="mailto:j.elebe@bluewin.ch" TargetMode="External"/><Relationship Id="rId145" Type="http://schemas.openxmlformats.org/officeDocument/2006/relationships/hyperlink" Target="mailto:joastrachera@gmail.com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javascript:void(0);" TargetMode="External"/><Relationship Id="rId1" Type="http://schemas.openxmlformats.org/officeDocument/2006/relationships/hyperlink" Target="mailto:widmerrabea@gmail.com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28" Type="http://schemas.openxmlformats.org/officeDocument/2006/relationships/hyperlink" Target="mailto:claudio.surace@gmail.com" TargetMode="External"/><Relationship Id="rId49" Type="http://schemas.openxmlformats.org/officeDocument/2006/relationships/hyperlink" Target="mailto:nikk.a.parsons@gmail.com" TargetMode="External"/><Relationship Id="rId114" Type="http://schemas.openxmlformats.org/officeDocument/2006/relationships/hyperlink" Target="mailto:mariav.tschopp@gmail.com" TargetMode="External"/><Relationship Id="rId275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300" Type="http://schemas.openxmlformats.org/officeDocument/2006/relationships/hyperlink" Target="javascript:void(0);" TargetMode="External"/><Relationship Id="rId60" Type="http://schemas.openxmlformats.org/officeDocument/2006/relationships/hyperlink" Target="mailto:marischa@bizmail.ch" TargetMode="External"/><Relationship Id="rId81" Type="http://schemas.openxmlformats.org/officeDocument/2006/relationships/hyperlink" Target="mailto:amirtha40@gmail.com" TargetMode="External"/><Relationship Id="rId135" Type="http://schemas.openxmlformats.org/officeDocument/2006/relationships/hyperlink" Target="mailto:arthur.gubler@agilita.ch" TargetMode="External"/><Relationship Id="rId156" Type="http://schemas.openxmlformats.org/officeDocument/2006/relationships/hyperlink" Target="mailto:henriette.haefeli@hotmail.com" TargetMode="External"/><Relationship Id="rId177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mailto:nc-schrecma@netcologne.de" TargetMode="External"/><Relationship Id="rId39" Type="http://schemas.openxmlformats.org/officeDocument/2006/relationships/hyperlink" Target="mailto:bkasper@bluewin.ch" TargetMode="External"/><Relationship Id="rId265" Type="http://schemas.openxmlformats.org/officeDocument/2006/relationships/hyperlink" Target="javascript:void(0);" TargetMode="External"/><Relationship Id="rId286" Type="http://schemas.openxmlformats.org/officeDocument/2006/relationships/hyperlink" Target="javascript:void(0);" TargetMode="External"/><Relationship Id="rId50" Type="http://schemas.openxmlformats.org/officeDocument/2006/relationships/hyperlink" Target="mailto:albaclarapuente@gmail.com" TargetMode="External"/><Relationship Id="rId104" Type="http://schemas.openxmlformats.org/officeDocument/2006/relationships/hyperlink" Target="mailto:martin_slowk@freenet.de" TargetMode="External"/><Relationship Id="rId125" Type="http://schemas.openxmlformats.org/officeDocument/2006/relationships/hyperlink" Target="mailto:sabrina.kuhn@gmail.com" TargetMode="External"/><Relationship Id="rId146" Type="http://schemas.openxmlformats.org/officeDocument/2006/relationships/hyperlink" Target="mailto:nataliasli5551@gmail.com" TargetMode="External"/><Relationship Id="rId167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11" Type="http://schemas.openxmlformats.org/officeDocument/2006/relationships/hyperlink" Target="javascript:void(0);" TargetMode="External"/><Relationship Id="rId71" Type="http://schemas.openxmlformats.org/officeDocument/2006/relationships/hyperlink" Target="mailto:eirao.1976@gmail.com" TargetMode="External"/><Relationship Id="rId92" Type="http://schemas.openxmlformats.org/officeDocument/2006/relationships/hyperlink" Target="mailto:d.mack18@gmx.ch" TargetMode="External"/><Relationship Id="rId213" Type="http://schemas.openxmlformats.org/officeDocument/2006/relationships/hyperlink" Target="javascript:void(0);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mailto:marco.krummenacher@unibas.ch" TargetMode="External"/><Relationship Id="rId29" Type="http://schemas.openxmlformats.org/officeDocument/2006/relationships/hyperlink" Target="mailto:giorgiarocchetti@yahoo.it" TargetMode="External"/><Relationship Id="rId255" Type="http://schemas.openxmlformats.org/officeDocument/2006/relationships/hyperlink" Target="javascript:void(0);" TargetMode="External"/><Relationship Id="rId276" Type="http://schemas.openxmlformats.org/officeDocument/2006/relationships/hyperlink" Target="javascript:void(0);" TargetMode="External"/><Relationship Id="rId297" Type="http://schemas.openxmlformats.org/officeDocument/2006/relationships/hyperlink" Target="javascript:void(0);" TargetMode="External"/><Relationship Id="rId40" Type="http://schemas.openxmlformats.org/officeDocument/2006/relationships/hyperlink" Target="mailto:giuseppe.grillo@web.de" TargetMode="External"/><Relationship Id="rId115" Type="http://schemas.openxmlformats.org/officeDocument/2006/relationships/hyperlink" Target="mailto:mfonsatti@hotmail.com" TargetMode="External"/><Relationship Id="rId136" Type="http://schemas.openxmlformats.org/officeDocument/2006/relationships/hyperlink" Target="mailto:tittasland@icloud.com" TargetMode="External"/><Relationship Id="rId157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javascript:void(0);" TargetMode="External"/><Relationship Id="rId61" Type="http://schemas.openxmlformats.org/officeDocument/2006/relationships/hyperlink" Target="mailto:noelle.burri@gmail.com" TargetMode="External"/><Relationship Id="rId82" Type="http://schemas.openxmlformats.org/officeDocument/2006/relationships/hyperlink" Target="mailto:vehpi@gmx.de" TargetMode="External"/><Relationship Id="rId199" Type="http://schemas.openxmlformats.org/officeDocument/2006/relationships/hyperlink" Target="javascript:void(0);" TargetMode="External"/><Relationship Id="rId203" Type="http://schemas.openxmlformats.org/officeDocument/2006/relationships/hyperlink" Target="javascript:void(0);" TargetMode="External"/><Relationship Id="rId19" Type="http://schemas.openxmlformats.org/officeDocument/2006/relationships/hyperlink" Target="mailto:mae456@hotmail.com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287" Type="http://schemas.openxmlformats.org/officeDocument/2006/relationships/hyperlink" Target="javascript:void(0);" TargetMode="External"/><Relationship Id="rId30" Type="http://schemas.openxmlformats.org/officeDocument/2006/relationships/hyperlink" Target="mailto:s.imhof@zsl-so.ch" TargetMode="External"/><Relationship Id="rId105" Type="http://schemas.openxmlformats.org/officeDocument/2006/relationships/hyperlink" Target="mailto:violeta.c@gmx.de" TargetMode="External"/><Relationship Id="rId126" Type="http://schemas.openxmlformats.org/officeDocument/2006/relationships/hyperlink" Target="mailto:zwicky.steve@gmail.com" TargetMode="External"/><Relationship Id="rId147" Type="http://schemas.openxmlformats.org/officeDocument/2006/relationships/hyperlink" Target="mailto:me@daniel-krause.net" TargetMode="External"/><Relationship Id="rId168" Type="http://schemas.openxmlformats.org/officeDocument/2006/relationships/hyperlink" Target="javascript:void(0);" TargetMode="External"/><Relationship Id="rId312" Type="http://schemas.openxmlformats.org/officeDocument/2006/relationships/hyperlink" Target="javascript:void(0);" TargetMode="External"/><Relationship Id="rId51" Type="http://schemas.openxmlformats.org/officeDocument/2006/relationships/hyperlink" Target="mailto:helenaccreus@gmail.com" TargetMode="External"/><Relationship Id="rId72" Type="http://schemas.openxmlformats.org/officeDocument/2006/relationships/hyperlink" Target="mailto:mcolomerrosell@gmail.com" TargetMode="External"/><Relationship Id="rId93" Type="http://schemas.openxmlformats.org/officeDocument/2006/relationships/hyperlink" Target="mailto:paola.valinotti.aostri@gmail.com" TargetMode="External"/><Relationship Id="rId189" Type="http://schemas.openxmlformats.org/officeDocument/2006/relationships/hyperlink" Target="javascript:void(0);" TargetMode="External"/><Relationship Id="rId3" Type="http://schemas.openxmlformats.org/officeDocument/2006/relationships/hyperlink" Target="mailto:rubencastillo@hotmail.ch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277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116" Type="http://schemas.openxmlformats.org/officeDocument/2006/relationships/hyperlink" Target="mailto:Rajvbasel123@gmail.com" TargetMode="External"/><Relationship Id="rId137" Type="http://schemas.openxmlformats.org/officeDocument/2006/relationships/hyperlink" Target="mailto:brehm.angelique@gmail.com" TargetMode="External"/><Relationship Id="rId158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20" Type="http://schemas.openxmlformats.org/officeDocument/2006/relationships/hyperlink" Target="mailto:alexreichardt92@gmail.com" TargetMode="External"/><Relationship Id="rId41" Type="http://schemas.openxmlformats.org/officeDocument/2006/relationships/hyperlink" Target="mailto:doris_aznar@hotmail.com" TargetMode="External"/><Relationship Id="rId62" Type="http://schemas.openxmlformats.org/officeDocument/2006/relationships/hyperlink" Target="mailto:ritamaria.gd@gmail.com" TargetMode="External"/><Relationship Id="rId83" Type="http://schemas.openxmlformats.org/officeDocument/2006/relationships/hyperlink" Target="mailto:ilkay-kaya@gmx.ch" TargetMode="External"/><Relationship Id="rId179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67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106" Type="http://schemas.openxmlformats.org/officeDocument/2006/relationships/hyperlink" Target="mailto:peter.kaech@gmax.ch" TargetMode="External"/><Relationship Id="rId127" Type="http://schemas.openxmlformats.org/officeDocument/2006/relationships/hyperlink" Target="mailto:schalk.heidi@gmail.com" TargetMode="External"/><Relationship Id="rId313" Type="http://schemas.openxmlformats.org/officeDocument/2006/relationships/hyperlink" Target="javascript:void(0);" TargetMode="External"/><Relationship Id="rId10" Type="http://schemas.openxmlformats.org/officeDocument/2006/relationships/hyperlink" Target="mailto:grazia.farina81@gmail.com" TargetMode="External"/><Relationship Id="rId31" Type="http://schemas.openxmlformats.org/officeDocument/2006/relationships/hyperlink" Target="mailto:ulrike-schulz2@gmx.de" TargetMode="External"/><Relationship Id="rId52" Type="http://schemas.openxmlformats.org/officeDocument/2006/relationships/hyperlink" Target="mailto:albagarridotrigo@gmail.com" TargetMode="External"/><Relationship Id="rId73" Type="http://schemas.openxmlformats.org/officeDocument/2006/relationships/hyperlink" Target="mailto:franziska.roppelt@gmx.de" TargetMode="External"/><Relationship Id="rId94" Type="http://schemas.openxmlformats.org/officeDocument/2006/relationships/hyperlink" Target="mailto:federica.caffo@hotmail.com" TargetMode="External"/><Relationship Id="rId148" Type="http://schemas.openxmlformats.org/officeDocument/2006/relationships/hyperlink" Target="mailto:amina.nyangi@outlook.com" TargetMode="External"/><Relationship Id="rId169" Type="http://schemas.openxmlformats.org/officeDocument/2006/relationships/hyperlink" Target="javascript:void(0);" TargetMode="External"/><Relationship Id="rId4" Type="http://schemas.openxmlformats.org/officeDocument/2006/relationships/hyperlink" Target="mailto:annalea.aebischer@gmail.com" TargetMode="External"/><Relationship Id="rId180" Type="http://schemas.openxmlformats.org/officeDocument/2006/relationships/hyperlink" Target="javascript:void(0);" TargetMode="External"/><Relationship Id="rId215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257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303" Type="http://schemas.openxmlformats.org/officeDocument/2006/relationships/hyperlink" Target="javascript:void(0);" TargetMode="External"/><Relationship Id="rId42" Type="http://schemas.openxmlformats.org/officeDocument/2006/relationships/hyperlink" Target="mailto:carina_greussing@hotmail.com" TargetMode="External"/><Relationship Id="rId84" Type="http://schemas.openxmlformats.org/officeDocument/2006/relationships/hyperlink" Target="mailto:doca.toussaint@gmail.com" TargetMode="External"/><Relationship Id="rId138" Type="http://schemas.openxmlformats.org/officeDocument/2006/relationships/hyperlink" Target="mailto:piet.schenke@gmail.com" TargetMode="External"/><Relationship Id="rId191" Type="http://schemas.openxmlformats.org/officeDocument/2006/relationships/hyperlink" Target="javascript:void(0);" TargetMode="External"/><Relationship Id="rId205" Type="http://schemas.openxmlformats.org/officeDocument/2006/relationships/hyperlink" Target="javascript:void(0);" TargetMode="External"/><Relationship Id="rId247" Type="http://schemas.openxmlformats.org/officeDocument/2006/relationships/hyperlink" Target="javascript:void(0);" TargetMode="External"/><Relationship Id="rId107" Type="http://schemas.openxmlformats.org/officeDocument/2006/relationships/hyperlink" Target="mailto:alexander.norman@hotmail.de" TargetMode="External"/><Relationship Id="rId289" Type="http://schemas.openxmlformats.org/officeDocument/2006/relationships/hyperlink" Target="javascript:void(0);" TargetMode="External"/><Relationship Id="rId11" Type="http://schemas.openxmlformats.org/officeDocument/2006/relationships/hyperlink" Target="mailto:ana.dasilva21@yahoo.fr" TargetMode="External"/><Relationship Id="rId53" Type="http://schemas.openxmlformats.org/officeDocument/2006/relationships/hyperlink" Target="mailto:yvonne22fischer@gmail.com" TargetMode="External"/><Relationship Id="rId149" Type="http://schemas.openxmlformats.org/officeDocument/2006/relationships/hyperlink" Target="javascript:void(0);" TargetMode="External"/><Relationship Id="rId314" Type="http://schemas.openxmlformats.org/officeDocument/2006/relationships/hyperlink" Target="javascript:void(0);" TargetMode="External"/><Relationship Id="rId95" Type="http://schemas.openxmlformats.org/officeDocument/2006/relationships/hyperlink" Target="mailto:schmitz.nina.e@gmail.com" TargetMode="External"/><Relationship Id="rId160" Type="http://schemas.openxmlformats.org/officeDocument/2006/relationships/hyperlink" Target="javascript:void(0);" TargetMode="External"/><Relationship Id="rId216" Type="http://schemas.openxmlformats.org/officeDocument/2006/relationships/hyperlink" Target="javascript:void(0);" TargetMode="External"/><Relationship Id="rId258" Type="http://schemas.openxmlformats.org/officeDocument/2006/relationships/hyperlink" Target="javascript:void(0);" TargetMode="External"/><Relationship Id="rId22" Type="http://schemas.openxmlformats.org/officeDocument/2006/relationships/hyperlink" Target="mailto:meral.bozkirac@gmail.com" TargetMode="External"/><Relationship Id="rId64" Type="http://schemas.openxmlformats.org/officeDocument/2006/relationships/hyperlink" Target="mailto:noelmurphy33@gmail.com" TargetMode="External"/><Relationship Id="rId118" Type="http://schemas.openxmlformats.org/officeDocument/2006/relationships/hyperlink" Target="mailto:flavio.goessi@gmail.com" TargetMode="External"/><Relationship Id="rId171" Type="http://schemas.openxmlformats.org/officeDocument/2006/relationships/hyperlink" Target="javascript:void(0);" TargetMode="External"/><Relationship Id="rId227" Type="http://schemas.openxmlformats.org/officeDocument/2006/relationships/hyperlink" Target="javascript:void(0);" TargetMode="External"/><Relationship Id="rId269" Type="http://schemas.openxmlformats.org/officeDocument/2006/relationships/hyperlink" Target="javascript:void(0);" TargetMode="External"/><Relationship Id="rId33" Type="http://schemas.openxmlformats.org/officeDocument/2006/relationships/hyperlink" Target="mailto:inan.goekdemir@gmail.com" TargetMode="External"/><Relationship Id="rId129" Type="http://schemas.openxmlformats.org/officeDocument/2006/relationships/hyperlink" Target="mailto:ines.zapater@posteo.net" TargetMode="External"/><Relationship Id="rId280" Type="http://schemas.openxmlformats.org/officeDocument/2006/relationships/hyperlink" Target="javascript:void(0);" TargetMode="External"/><Relationship Id="rId75" Type="http://schemas.openxmlformats.org/officeDocument/2006/relationships/hyperlink" Target="mailto:alice.alves@protonmail.com" TargetMode="External"/><Relationship Id="rId140" Type="http://schemas.openxmlformats.org/officeDocument/2006/relationships/hyperlink" Target="mailto:pr.beranek@gmail.com" TargetMode="External"/><Relationship Id="rId182" Type="http://schemas.openxmlformats.org/officeDocument/2006/relationships/hyperlink" Target="javascript:void(0);" TargetMode="External"/><Relationship Id="rId6" Type="http://schemas.openxmlformats.org/officeDocument/2006/relationships/hyperlink" Target="mailto:anaiskarier@yahoo.de" TargetMode="External"/><Relationship Id="rId238" Type="http://schemas.openxmlformats.org/officeDocument/2006/relationships/hyperlink" Target="javascript:void(0);" TargetMode="External"/><Relationship Id="rId291" Type="http://schemas.openxmlformats.org/officeDocument/2006/relationships/hyperlink" Target="http://hotmail.com/" TargetMode="External"/><Relationship Id="rId305" Type="http://schemas.openxmlformats.org/officeDocument/2006/relationships/hyperlink" Target="javascript:void(0);" TargetMode="External"/><Relationship Id="rId44" Type="http://schemas.openxmlformats.org/officeDocument/2006/relationships/hyperlink" Target="mailto:vievia971@gmailc.om" TargetMode="External"/><Relationship Id="rId86" Type="http://schemas.openxmlformats.org/officeDocument/2006/relationships/hyperlink" Target="mailto:laura_kaegi@hotmail.com" TargetMode="External"/><Relationship Id="rId151" Type="http://schemas.openxmlformats.org/officeDocument/2006/relationships/hyperlink" Target="javascript:void(0);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mailto:svenja.meyer@bluewin.ch" TargetMode="External"/><Relationship Id="rId249" Type="http://schemas.openxmlformats.org/officeDocument/2006/relationships/hyperlink" Target="javascript:void(0);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7"/>
  <sheetViews>
    <sheetView topLeftCell="A2942" workbookViewId="0">
      <selection activeCell="I2962" sqref="I2962"/>
    </sheetView>
  </sheetViews>
  <sheetFormatPr baseColWidth="10" defaultColWidth="14.42578125" defaultRowHeight="15" customHeight="1" x14ac:dyDescent="0.25"/>
  <cols>
    <col min="1" max="1" width="18.42578125" customWidth="1"/>
    <col min="2" max="2" width="18" customWidth="1"/>
    <col min="3" max="3" width="19" customWidth="1"/>
    <col min="4" max="4" width="8.42578125" customWidth="1"/>
    <col min="5" max="5" width="12.42578125" customWidth="1"/>
    <col min="6" max="6" width="35.42578125" customWidth="1"/>
    <col min="7" max="7" width="27.42578125" customWidth="1"/>
    <col min="8" max="8" width="24.42578125" customWidth="1"/>
    <col min="9" max="9" width="18.42578125" customWidth="1"/>
    <col min="10" max="26" width="8.42578125" customWidth="1"/>
  </cols>
  <sheetData>
    <row r="1" spans="1:9" ht="14.25" customHeight="1" x14ac:dyDescent="0.25">
      <c r="A1" s="1" t="s">
        <v>0</v>
      </c>
      <c r="B1" s="1"/>
      <c r="C1" s="1"/>
      <c r="D1" s="1"/>
      <c r="E1" s="1"/>
      <c r="F1" s="1"/>
      <c r="G1" s="2"/>
      <c r="H1" s="2"/>
      <c r="I1" s="2"/>
    </row>
    <row r="2" spans="1:9" ht="14.25" customHeight="1" x14ac:dyDescent="0.25">
      <c r="A2" s="3"/>
      <c r="B2" s="3"/>
      <c r="C2" s="4"/>
      <c r="D2" s="4"/>
      <c r="E2" s="4"/>
      <c r="F2" s="3"/>
      <c r="G2" s="5"/>
      <c r="H2" s="5"/>
      <c r="I2" s="5"/>
    </row>
    <row r="3" spans="1:9" ht="14.25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4.25" customHeight="1" x14ac:dyDescent="0.25">
      <c r="A4" s="7" t="s">
        <v>10</v>
      </c>
      <c r="B4" s="8" t="s">
        <v>11</v>
      </c>
      <c r="C4" s="8" t="s">
        <v>12</v>
      </c>
      <c r="D4" s="8"/>
      <c r="E4" s="8"/>
      <c r="F4" s="9" t="s">
        <v>13</v>
      </c>
      <c r="G4" s="10" t="s">
        <v>14</v>
      </c>
      <c r="H4" s="10" t="s">
        <v>15</v>
      </c>
      <c r="I4" s="10"/>
    </row>
    <row r="5" spans="1:9" ht="14.25" customHeight="1" x14ac:dyDescent="0.25">
      <c r="A5" s="7" t="s">
        <v>16</v>
      </c>
      <c r="B5" s="8" t="s">
        <v>11</v>
      </c>
      <c r="C5" s="8" t="s">
        <v>17</v>
      </c>
      <c r="D5" s="8"/>
      <c r="E5" s="8"/>
      <c r="F5" s="9" t="s">
        <v>18</v>
      </c>
      <c r="G5" s="10" t="s">
        <v>19</v>
      </c>
      <c r="H5" s="10" t="s">
        <v>20</v>
      </c>
      <c r="I5" s="10"/>
    </row>
    <row r="6" spans="1:9" ht="14.25" customHeight="1" x14ac:dyDescent="0.25">
      <c r="A6" s="7"/>
      <c r="B6" s="8" t="s">
        <v>21</v>
      </c>
      <c r="C6" s="8" t="s">
        <v>22</v>
      </c>
      <c r="D6" s="8"/>
      <c r="E6" s="8"/>
      <c r="F6" s="9" t="s">
        <v>23</v>
      </c>
      <c r="G6" s="10" t="s">
        <v>24</v>
      </c>
      <c r="H6" s="10" t="s">
        <v>25</v>
      </c>
      <c r="I6" s="10"/>
    </row>
    <row r="7" spans="1:9" ht="14.25" customHeight="1" x14ac:dyDescent="0.25">
      <c r="A7" s="7" t="s">
        <v>26</v>
      </c>
      <c r="B7" s="8" t="s">
        <v>27</v>
      </c>
      <c r="C7" s="8" t="s">
        <v>28</v>
      </c>
      <c r="D7" s="8"/>
      <c r="E7" s="8"/>
      <c r="F7" s="9" t="s">
        <v>29</v>
      </c>
      <c r="G7" s="10" t="s">
        <v>30</v>
      </c>
      <c r="H7" s="10" t="s">
        <v>31</v>
      </c>
      <c r="I7" s="10"/>
    </row>
    <row r="8" spans="1:9" ht="14.25" customHeight="1" x14ac:dyDescent="0.25">
      <c r="A8" s="7" t="s">
        <v>32</v>
      </c>
      <c r="B8" s="8" t="s">
        <v>33</v>
      </c>
      <c r="C8" s="8" t="s">
        <v>34</v>
      </c>
      <c r="D8" s="8"/>
      <c r="E8" s="8"/>
      <c r="F8" s="9" t="s">
        <v>35</v>
      </c>
      <c r="G8" s="10" t="s">
        <v>36</v>
      </c>
      <c r="H8" s="10" t="s">
        <v>37</v>
      </c>
      <c r="I8" s="10"/>
    </row>
    <row r="9" spans="1:9" ht="14.25" customHeight="1" x14ac:dyDescent="0.25">
      <c r="A9" s="7" t="s">
        <v>38</v>
      </c>
      <c r="B9" s="8" t="s">
        <v>39</v>
      </c>
      <c r="C9" s="8" t="s">
        <v>40</v>
      </c>
      <c r="D9" s="8"/>
      <c r="E9" s="8"/>
      <c r="F9" s="9" t="s">
        <v>41</v>
      </c>
      <c r="G9" s="10" t="s">
        <v>42</v>
      </c>
      <c r="H9" s="10" t="s">
        <v>43</v>
      </c>
      <c r="I9" s="10"/>
    </row>
    <row r="10" spans="1:9" ht="14.25" customHeight="1" x14ac:dyDescent="0.25">
      <c r="A10" s="7" t="s">
        <v>44</v>
      </c>
      <c r="B10" s="8" t="s">
        <v>45</v>
      </c>
      <c r="C10" s="8" t="s">
        <v>46</v>
      </c>
      <c r="D10" s="8"/>
      <c r="E10" s="8"/>
      <c r="F10" s="9" t="s">
        <v>47</v>
      </c>
      <c r="G10" s="10" t="s">
        <v>48</v>
      </c>
      <c r="H10" s="10" t="s">
        <v>49</v>
      </c>
      <c r="I10" s="10"/>
    </row>
    <row r="11" spans="1:9" ht="14.25" customHeight="1" x14ac:dyDescent="0.25">
      <c r="A11" s="7" t="s">
        <v>50</v>
      </c>
      <c r="B11" s="8" t="s">
        <v>51</v>
      </c>
      <c r="C11" s="8" t="s">
        <v>52</v>
      </c>
      <c r="D11" s="8"/>
      <c r="E11" s="8"/>
      <c r="F11" s="9" t="s">
        <v>53</v>
      </c>
      <c r="G11" s="10" t="s">
        <v>54</v>
      </c>
      <c r="H11" s="10" t="s">
        <v>55</v>
      </c>
      <c r="I11" s="10"/>
    </row>
    <row r="12" spans="1:9" ht="14.25" customHeight="1" x14ac:dyDescent="0.25">
      <c r="A12" s="7" t="s">
        <v>56</v>
      </c>
      <c r="B12" s="8" t="s">
        <v>57</v>
      </c>
      <c r="C12" s="8" t="s">
        <v>58</v>
      </c>
      <c r="D12" s="8"/>
      <c r="E12" s="8"/>
      <c r="F12" s="9" t="s">
        <v>59</v>
      </c>
      <c r="G12" s="10" t="s">
        <v>60</v>
      </c>
      <c r="H12" s="10" t="s">
        <v>61</v>
      </c>
      <c r="I12" s="10"/>
    </row>
    <row r="13" spans="1:9" ht="14.25" customHeight="1" x14ac:dyDescent="0.25">
      <c r="A13" s="7" t="s">
        <v>62</v>
      </c>
      <c r="B13" s="8" t="s">
        <v>57</v>
      </c>
      <c r="C13" s="8" t="s">
        <v>63</v>
      </c>
      <c r="D13" s="8"/>
      <c r="E13" s="8"/>
      <c r="F13" s="9" t="s">
        <v>64</v>
      </c>
      <c r="G13" s="10" t="s">
        <v>65</v>
      </c>
      <c r="H13" s="10" t="s">
        <v>66</v>
      </c>
      <c r="I13" s="10"/>
    </row>
    <row r="14" spans="1:9" ht="14.25" customHeight="1" x14ac:dyDescent="0.25">
      <c r="A14" s="7" t="s">
        <v>67</v>
      </c>
      <c r="B14" s="8" t="s">
        <v>68</v>
      </c>
      <c r="C14" s="8" t="s">
        <v>69</v>
      </c>
      <c r="D14" s="8"/>
      <c r="E14" s="8"/>
      <c r="F14" s="9" t="s">
        <v>70</v>
      </c>
      <c r="G14" s="10" t="s">
        <v>71</v>
      </c>
      <c r="H14" s="10" t="s">
        <v>72</v>
      </c>
      <c r="I14" s="10"/>
    </row>
    <row r="15" spans="1:9" ht="14.25" customHeight="1" x14ac:dyDescent="0.25">
      <c r="A15" s="7" t="s">
        <v>73</v>
      </c>
      <c r="B15" s="8" t="s">
        <v>68</v>
      </c>
      <c r="C15" s="8" t="s">
        <v>74</v>
      </c>
      <c r="D15" s="8"/>
      <c r="E15" s="8"/>
      <c r="F15" s="9" t="s">
        <v>75</v>
      </c>
      <c r="G15" s="10" t="s">
        <v>76</v>
      </c>
      <c r="H15" s="10" t="s">
        <v>77</v>
      </c>
      <c r="I15" s="10"/>
    </row>
    <row r="16" spans="1:9" ht="14.25" customHeight="1" x14ac:dyDescent="0.25">
      <c r="A16" s="7" t="s">
        <v>78</v>
      </c>
      <c r="B16" s="8" t="s">
        <v>68</v>
      </c>
      <c r="C16" s="8" t="s">
        <v>79</v>
      </c>
      <c r="D16" s="8"/>
      <c r="E16" s="8"/>
      <c r="F16" s="9" t="s">
        <v>80</v>
      </c>
      <c r="G16" s="10" t="s">
        <v>81</v>
      </c>
      <c r="H16" s="10" t="s">
        <v>82</v>
      </c>
      <c r="I16" s="10"/>
    </row>
    <row r="17" spans="1:9" ht="14.25" customHeight="1" x14ac:dyDescent="0.25">
      <c r="A17" s="7" t="s">
        <v>83</v>
      </c>
      <c r="B17" s="8" t="s">
        <v>68</v>
      </c>
      <c r="C17" s="8" t="s">
        <v>84</v>
      </c>
      <c r="D17" s="8"/>
      <c r="E17" s="8"/>
      <c r="F17" s="9" t="s">
        <v>85</v>
      </c>
      <c r="G17" s="10" t="s">
        <v>86</v>
      </c>
      <c r="H17" s="10" t="s">
        <v>87</v>
      </c>
      <c r="I17" s="10"/>
    </row>
    <row r="18" spans="1:9" ht="14.25" customHeight="1" x14ac:dyDescent="0.25">
      <c r="A18" s="7" t="s">
        <v>88</v>
      </c>
      <c r="B18" s="8" t="s">
        <v>68</v>
      </c>
      <c r="C18" s="8" t="s">
        <v>89</v>
      </c>
      <c r="D18" s="8"/>
      <c r="E18" s="8"/>
      <c r="F18" s="9" t="s">
        <v>90</v>
      </c>
      <c r="G18" s="10" t="s">
        <v>91</v>
      </c>
      <c r="H18" s="10" t="s">
        <v>92</v>
      </c>
      <c r="I18" s="10"/>
    </row>
    <row r="19" spans="1:9" ht="14.25" customHeight="1" x14ac:dyDescent="0.25">
      <c r="A19" s="7" t="s">
        <v>73</v>
      </c>
      <c r="B19" s="8" t="s">
        <v>93</v>
      </c>
      <c r="C19" s="8" t="s">
        <v>17</v>
      </c>
      <c r="D19" s="8"/>
      <c r="E19" s="8"/>
      <c r="F19" s="9" t="s">
        <v>94</v>
      </c>
      <c r="G19" s="10" t="s">
        <v>95</v>
      </c>
      <c r="H19" s="10" t="s">
        <v>96</v>
      </c>
      <c r="I19" s="10"/>
    </row>
    <row r="20" spans="1:9" ht="14.25" customHeight="1" x14ac:dyDescent="0.25">
      <c r="A20" s="7" t="s">
        <v>97</v>
      </c>
      <c r="B20" s="8" t="s">
        <v>98</v>
      </c>
      <c r="C20" s="8" t="s">
        <v>99</v>
      </c>
      <c r="D20" s="8"/>
      <c r="E20" s="8"/>
      <c r="F20" s="9" t="s">
        <v>100</v>
      </c>
      <c r="G20" s="10" t="s">
        <v>101</v>
      </c>
      <c r="H20" s="10" t="s">
        <v>102</v>
      </c>
      <c r="I20" s="10"/>
    </row>
    <row r="21" spans="1:9" ht="14.25" customHeight="1" x14ac:dyDescent="0.25">
      <c r="A21" s="7" t="s">
        <v>103</v>
      </c>
      <c r="B21" s="8" t="s">
        <v>104</v>
      </c>
      <c r="C21" s="8" t="s">
        <v>105</v>
      </c>
      <c r="D21" s="8"/>
      <c r="E21" s="8"/>
      <c r="F21" s="9" t="s">
        <v>106</v>
      </c>
      <c r="G21" s="10" t="s">
        <v>107</v>
      </c>
      <c r="H21" s="10" t="s">
        <v>108</v>
      </c>
      <c r="I21" s="10"/>
    </row>
    <row r="22" spans="1:9" ht="14.25" customHeight="1" x14ac:dyDescent="0.25">
      <c r="A22" s="7"/>
      <c r="B22" s="8" t="s">
        <v>109</v>
      </c>
      <c r="C22" s="8" t="s">
        <v>110</v>
      </c>
      <c r="D22" s="8"/>
      <c r="E22" s="8"/>
      <c r="F22" s="9" t="s">
        <v>111</v>
      </c>
      <c r="G22" s="10" t="s">
        <v>112</v>
      </c>
      <c r="H22" s="10" t="s">
        <v>113</v>
      </c>
      <c r="I22" s="10"/>
    </row>
    <row r="23" spans="1:9" ht="14.25" customHeight="1" x14ac:dyDescent="0.25">
      <c r="A23" s="7" t="s">
        <v>114</v>
      </c>
      <c r="B23" s="8" t="s">
        <v>115</v>
      </c>
      <c r="C23" s="8" t="s">
        <v>116</v>
      </c>
      <c r="D23" s="8"/>
      <c r="E23" s="8"/>
      <c r="F23" s="9" t="s">
        <v>117</v>
      </c>
      <c r="G23" s="10" t="s">
        <v>118</v>
      </c>
      <c r="H23" s="10" t="s">
        <v>119</v>
      </c>
      <c r="I23" s="10"/>
    </row>
    <row r="24" spans="1:9" ht="14.25" customHeight="1" x14ac:dyDescent="0.25">
      <c r="A24" s="7" t="s">
        <v>120</v>
      </c>
      <c r="B24" s="8" t="s">
        <v>121</v>
      </c>
      <c r="C24" s="8" t="s">
        <v>122</v>
      </c>
      <c r="D24" s="8"/>
      <c r="E24" s="8"/>
      <c r="F24" s="9" t="s">
        <v>123</v>
      </c>
      <c r="G24" s="10" t="s">
        <v>124</v>
      </c>
      <c r="H24" s="10" t="s">
        <v>125</v>
      </c>
      <c r="I24" s="10"/>
    </row>
    <row r="25" spans="1:9" ht="14.25" customHeight="1" x14ac:dyDescent="0.25">
      <c r="A25" s="7" t="s">
        <v>126</v>
      </c>
      <c r="B25" s="8" t="s">
        <v>127</v>
      </c>
      <c r="C25" s="8" t="s">
        <v>128</v>
      </c>
      <c r="D25" s="8"/>
      <c r="E25" s="8"/>
      <c r="F25" s="9" t="s">
        <v>129</v>
      </c>
      <c r="G25" s="10" t="s">
        <v>130</v>
      </c>
      <c r="H25" s="10" t="s">
        <v>131</v>
      </c>
      <c r="I25" s="10"/>
    </row>
    <row r="26" spans="1:9" ht="14.25" customHeight="1" x14ac:dyDescent="0.25">
      <c r="A26" s="7" t="s">
        <v>132</v>
      </c>
      <c r="B26" s="8" t="s">
        <v>133</v>
      </c>
      <c r="C26" s="8" t="s">
        <v>134</v>
      </c>
      <c r="D26" s="8"/>
      <c r="E26" s="8"/>
      <c r="F26" s="9" t="s">
        <v>135</v>
      </c>
      <c r="G26" s="10" t="s">
        <v>136</v>
      </c>
      <c r="H26" s="10" t="s">
        <v>137</v>
      </c>
      <c r="I26" s="10"/>
    </row>
    <row r="27" spans="1:9" ht="14.25" customHeight="1" x14ac:dyDescent="0.25">
      <c r="A27" s="7" t="s">
        <v>138</v>
      </c>
      <c r="B27" s="8" t="s">
        <v>133</v>
      </c>
      <c r="C27" s="8" t="s">
        <v>139</v>
      </c>
      <c r="D27" s="8"/>
      <c r="E27" s="8"/>
      <c r="F27" s="9" t="s">
        <v>140</v>
      </c>
      <c r="G27" s="10" t="s">
        <v>141</v>
      </c>
      <c r="H27" s="10" t="s">
        <v>142</v>
      </c>
      <c r="I27" s="10"/>
    </row>
    <row r="28" spans="1:9" ht="14.25" customHeight="1" x14ac:dyDescent="0.25">
      <c r="A28" s="7"/>
      <c r="B28" s="8" t="s">
        <v>143</v>
      </c>
      <c r="C28" s="8" t="s">
        <v>144</v>
      </c>
      <c r="D28" s="8"/>
      <c r="E28" s="8"/>
      <c r="F28" s="9" t="s">
        <v>145</v>
      </c>
      <c r="G28" s="10" t="s">
        <v>146</v>
      </c>
      <c r="H28" s="10" t="s">
        <v>147</v>
      </c>
      <c r="I28" s="10"/>
    </row>
    <row r="29" spans="1:9" ht="14.25" customHeight="1" x14ac:dyDescent="0.25">
      <c r="A29" s="7" t="s">
        <v>148</v>
      </c>
      <c r="B29" s="8" t="s">
        <v>149</v>
      </c>
      <c r="C29" s="8" t="s">
        <v>150</v>
      </c>
      <c r="D29" s="8"/>
      <c r="E29" s="8"/>
      <c r="F29" s="9" t="s">
        <v>151</v>
      </c>
      <c r="G29" s="10" t="s">
        <v>152</v>
      </c>
      <c r="H29" s="10" t="s">
        <v>153</v>
      </c>
      <c r="I29" s="10"/>
    </row>
    <row r="30" spans="1:9" ht="14.25" customHeight="1" x14ac:dyDescent="0.25">
      <c r="A30" s="7" t="s">
        <v>154</v>
      </c>
      <c r="B30" s="8" t="s">
        <v>155</v>
      </c>
      <c r="C30" s="8" t="s">
        <v>156</v>
      </c>
      <c r="D30" s="8"/>
      <c r="E30" s="8"/>
      <c r="F30" s="9" t="s">
        <v>157</v>
      </c>
      <c r="G30" s="10" t="s">
        <v>158</v>
      </c>
      <c r="H30" s="10" t="s">
        <v>159</v>
      </c>
      <c r="I30" s="10"/>
    </row>
    <row r="31" spans="1:9" ht="14.25" customHeight="1" x14ac:dyDescent="0.25">
      <c r="A31" s="7"/>
      <c r="B31" s="8" t="s">
        <v>155</v>
      </c>
      <c r="C31" s="8" t="s">
        <v>160</v>
      </c>
      <c r="D31" s="8"/>
      <c r="E31" s="8"/>
      <c r="F31" s="9" t="s">
        <v>161</v>
      </c>
      <c r="G31" s="10" t="s">
        <v>162</v>
      </c>
      <c r="H31" s="10" t="s">
        <v>163</v>
      </c>
      <c r="I31" s="10"/>
    </row>
    <row r="32" spans="1:9" ht="14.25" customHeight="1" x14ac:dyDescent="0.25">
      <c r="A32" s="7"/>
      <c r="B32" s="8" t="s">
        <v>155</v>
      </c>
      <c r="C32" s="8" t="s">
        <v>164</v>
      </c>
      <c r="D32" s="8"/>
      <c r="E32" s="8"/>
      <c r="F32" s="9" t="s">
        <v>165</v>
      </c>
      <c r="G32" s="10" t="s">
        <v>166</v>
      </c>
      <c r="H32" s="10" t="s">
        <v>167</v>
      </c>
      <c r="I32" s="10"/>
    </row>
    <row r="33" spans="1:9" ht="14.25" customHeight="1" x14ac:dyDescent="0.25">
      <c r="A33" s="7" t="s">
        <v>168</v>
      </c>
      <c r="B33" s="8" t="s">
        <v>155</v>
      </c>
      <c r="C33" s="8" t="s">
        <v>169</v>
      </c>
      <c r="D33" s="8"/>
      <c r="E33" s="8"/>
      <c r="F33" s="9" t="s">
        <v>170</v>
      </c>
      <c r="G33" s="10" t="s">
        <v>171</v>
      </c>
      <c r="H33" s="10" t="s">
        <v>172</v>
      </c>
      <c r="I33" s="10"/>
    </row>
    <row r="34" spans="1:9" ht="14.25" customHeight="1" x14ac:dyDescent="0.25">
      <c r="A34" s="7" t="s">
        <v>173</v>
      </c>
      <c r="B34" s="8" t="s">
        <v>155</v>
      </c>
      <c r="C34" s="8" t="s">
        <v>174</v>
      </c>
      <c r="D34" s="8"/>
      <c r="E34" s="8"/>
      <c r="F34" s="9" t="s">
        <v>175</v>
      </c>
      <c r="G34" s="10" t="s">
        <v>176</v>
      </c>
      <c r="H34" s="10" t="s">
        <v>177</v>
      </c>
      <c r="I34" s="10"/>
    </row>
    <row r="35" spans="1:9" ht="14.25" customHeight="1" x14ac:dyDescent="0.25">
      <c r="A35" s="7" t="s">
        <v>178</v>
      </c>
      <c r="B35" s="8" t="s">
        <v>179</v>
      </c>
      <c r="C35" s="8" t="s">
        <v>180</v>
      </c>
      <c r="D35" s="8"/>
      <c r="E35" s="8"/>
      <c r="F35" s="9" t="s">
        <v>181</v>
      </c>
      <c r="G35" s="10" t="s">
        <v>182</v>
      </c>
      <c r="H35" s="10" t="s">
        <v>183</v>
      </c>
      <c r="I35" s="10"/>
    </row>
    <row r="36" spans="1:9" ht="14.25" customHeight="1" x14ac:dyDescent="0.25">
      <c r="A36" s="7" t="s">
        <v>184</v>
      </c>
      <c r="B36" s="8" t="s">
        <v>179</v>
      </c>
      <c r="C36" s="8" t="s">
        <v>185</v>
      </c>
      <c r="D36" s="8"/>
      <c r="E36" s="8"/>
      <c r="F36" s="9" t="s">
        <v>186</v>
      </c>
      <c r="G36" s="10" t="s">
        <v>187</v>
      </c>
      <c r="H36" s="10" t="s">
        <v>188</v>
      </c>
      <c r="I36" s="10"/>
    </row>
    <row r="37" spans="1:9" ht="14.25" customHeight="1" x14ac:dyDescent="0.25">
      <c r="A37" s="7" t="s">
        <v>189</v>
      </c>
      <c r="B37" s="8" t="s">
        <v>190</v>
      </c>
      <c r="C37" s="8" t="s">
        <v>191</v>
      </c>
      <c r="D37" s="8"/>
      <c r="E37" s="8"/>
      <c r="F37" s="9" t="s">
        <v>192</v>
      </c>
      <c r="G37" s="10" t="s">
        <v>193</v>
      </c>
      <c r="H37" s="10" t="s">
        <v>194</v>
      </c>
      <c r="I37" s="10"/>
    </row>
    <row r="38" spans="1:9" ht="14.25" customHeight="1" x14ac:dyDescent="0.25">
      <c r="A38" s="7" t="s">
        <v>195</v>
      </c>
      <c r="B38" s="8" t="s">
        <v>196</v>
      </c>
      <c r="C38" s="8" t="s">
        <v>197</v>
      </c>
      <c r="D38" s="8"/>
      <c r="E38" s="8"/>
      <c r="F38" s="9" t="s">
        <v>198</v>
      </c>
      <c r="G38" s="10" t="s">
        <v>199</v>
      </c>
      <c r="H38" s="10" t="s">
        <v>200</v>
      </c>
      <c r="I38" s="10"/>
    </row>
    <row r="39" spans="1:9" ht="14.25" customHeight="1" x14ac:dyDescent="0.25">
      <c r="A39" s="7" t="s">
        <v>201</v>
      </c>
      <c r="B39" s="8" t="s">
        <v>202</v>
      </c>
      <c r="C39" s="8" t="s">
        <v>203</v>
      </c>
      <c r="D39" s="8"/>
      <c r="E39" s="8"/>
      <c r="F39" s="9" t="s">
        <v>204</v>
      </c>
      <c r="G39" s="10" t="s">
        <v>205</v>
      </c>
      <c r="H39" s="10" t="s">
        <v>206</v>
      </c>
      <c r="I39" s="10"/>
    </row>
    <row r="40" spans="1:9" ht="14.25" customHeight="1" x14ac:dyDescent="0.25">
      <c r="A40" s="7" t="s">
        <v>207</v>
      </c>
      <c r="B40" s="8" t="s">
        <v>208</v>
      </c>
      <c r="C40" s="8" t="s">
        <v>209</v>
      </c>
      <c r="D40" s="8"/>
      <c r="E40" s="8"/>
      <c r="F40" s="9" t="s">
        <v>210</v>
      </c>
      <c r="G40" s="10" t="s">
        <v>211</v>
      </c>
      <c r="H40" s="10" t="s">
        <v>212</v>
      </c>
      <c r="I40" s="10"/>
    </row>
    <row r="41" spans="1:9" ht="14.25" customHeight="1" x14ac:dyDescent="0.25">
      <c r="A41" s="7" t="s">
        <v>213</v>
      </c>
      <c r="B41" s="8" t="s">
        <v>214</v>
      </c>
      <c r="C41" s="8" t="s">
        <v>215</v>
      </c>
      <c r="D41" s="8"/>
      <c r="E41" s="8"/>
      <c r="F41" s="9" t="s">
        <v>216</v>
      </c>
      <c r="G41" s="10" t="s">
        <v>217</v>
      </c>
      <c r="H41" s="10" t="s">
        <v>218</v>
      </c>
      <c r="I41" s="10"/>
    </row>
    <row r="42" spans="1:9" ht="14.25" customHeight="1" x14ac:dyDescent="0.25">
      <c r="A42" s="7"/>
      <c r="B42" s="8" t="s">
        <v>214</v>
      </c>
      <c r="C42" s="8" t="s">
        <v>219</v>
      </c>
      <c r="D42" s="8"/>
      <c r="E42" s="8"/>
      <c r="F42" s="9" t="s">
        <v>220</v>
      </c>
      <c r="G42" s="10" t="s">
        <v>221</v>
      </c>
      <c r="H42" s="10" t="s">
        <v>222</v>
      </c>
      <c r="I42" s="10"/>
    </row>
    <row r="43" spans="1:9" ht="14.25" customHeight="1" x14ac:dyDescent="0.25">
      <c r="A43" s="7" t="s">
        <v>223</v>
      </c>
      <c r="B43" s="8" t="s">
        <v>224</v>
      </c>
      <c r="C43" s="8" t="s">
        <v>225</v>
      </c>
      <c r="D43" s="8"/>
      <c r="E43" s="8"/>
      <c r="F43" s="9" t="s">
        <v>226</v>
      </c>
      <c r="G43" s="10" t="s">
        <v>227</v>
      </c>
      <c r="H43" s="10" t="s">
        <v>228</v>
      </c>
      <c r="I43" s="10"/>
    </row>
    <row r="44" spans="1:9" ht="14.25" customHeight="1" x14ac:dyDescent="0.25">
      <c r="A44" s="7" t="s">
        <v>229</v>
      </c>
      <c r="B44" s="8" t="s">
        <v>230</v>
      </c>
      <c r="C44" s="8" t="s">
        <v>231</v>
      </c>
      <c r="D44" s="8"/>
      <c r="E44" s="8"/>
      <c r="F44" s="9" t="s">
        <v>232</v>
      </c>
      <c r="G44" s="10" t="s">
        <v>233</v>
      </c>
      <c r="H44" s="10" t="s">
        <v>234</v>
      </c>
      <c r="I44" s="10"/>
    </row>
    <row r="45" spans="1:9" ht="14.25" customHeight="1" x14ac:dyDescent="0.25">
      <c r="A45" s="7" t="s">
        <v>235</v>
      </c>
      <c r="B45" s="8" t="s">
        <v>236</v>
      </c>
      <c r="C45" s="8" t="s">
        <v>237</v>
      </c>
      <c r="D45" s="8"/>
      <c r="E45" s="8"/>
      <c r="F45" s="9" t="s">
        <v>238</v>
      </c>
      <c r="G45" s="10" t="s">
        <v>239</v>
      </c>
      <c r="H45" s="10" t="s">
        <v>240</v>
      </c>
      <c r="I45" s="10"/>
    </row>
    <row r="46" spans="1:9" ht="14.25" customHeight="1" x14ac:dyDescent="0.25">
      <c r="A46" s="7"/>
      <c r="B46" s="8" t="s">
        <v>241</v>
      </c>
      <c r="C46" s="8" t="s">
        <v>242</v>
      </c>
      <c r="D46" s="8"/>
      <c r="E46" s="8"/>
      <c r="F46" s="9" t="s">
        <v>243</v>
      </c>
      <c r="G46" s="10" t="s">
        <v>244</v>
      </c>
      <c r="H46" s="10" t="s">
        <v>245</v>
      </c>
      <c r="I46" s="10"/>
    </row>
    <row r="47" spans="1:9" ht="14.25" customHeight="1" x14ac:dyDescent="0.25">
      <c r="A47" s="7" t="s">
        <v>246</v>
      </c>
      <c r="B47" s="8" t="s">
        <v>247</v>
      </c>
      <c r="C47" s="8" t="s">
        <v>248</v>
      </c>
      <c r="D47" s="8"/>
      <c r="E47" s="8"/>
      <c r="F47" s="9" t="s">
        <v>249</v>
      </c>
      <c r="G47" s="10" t="s">
        <v>250</v>
      </c>
      <c r="H47" s="10" t="s">
        <v>251</v>
      </c>
      <c r="I47" s="10"/>
    </row>
    <row r="48" spans="1:9" ht="14.25" customHeight="1" x14ac:dyDescent="0.25">
      <c r="A48" s="7" t="s">
        <v>252</v>
      </c>
      <c r="B48" s="8" t="s">
        <v>247</v>
      </c>
      <c r="C48" s="8" t="s">
        <v>253</v>
      </c>
      <c r="D48" s="8"/>
      <c r="E48" s="8"/>
      <c r="F48" s="9" t="s">
        <v>254</v>
      </c>
      <c r="G48" s="10" t="s">
        <v>255</v>
      </c>
      <c r="H48" s="10" t="s">
        <v>256</v>
      </c>
      <c r="I48" s="10"/>
    </row>
    <row r="49" spans="1:9" ht="14.25" customHeight="1" x14ac:dyDescent="0.25">
      <c r="A49" s="7"/>
      <c r="B49" s="8" t="s">
        <v>247</v>
      </c>
      <c r="C49" s="8" t="s">
        <v>257</v>
      </c>
      <c r="D49" s="8"/>
      <c r="E49" s="8"/>
      <c r="F49" s="9" t="s">
        <v>258</v>
      </c>
      <c r="G49" s="10" t="s">
        <v>259</v>
      </c>
      <c r="H49" s="10" t="s">
        <v>260</v>
      </c>
      <c r="I49" s="10"/>
    </row>
    <row r="50" spans="1:9" ht="14.25" customHeight="1" x14ac:dyDescent="0.25">
      <c r="A50" s="7"/>
      <c r="B50" s="8" t="s">
        <v>247</v>
      </c>
      <c r="C50" s="8" t="s">
        <v>261</v>
      </c>
      <c r="D50" s="8"/>
      <c r="E50" s="8"/>
      <c r="F50" s="9" t="s">
        <v>262</v>
      </c>
      <c r="G50" s="10" t="s">
        <v>263</v>
      </c>
      <c r="H50" s="10" t="s">
        <v>264</v>
      </c>
      <c r="I50" s="10"/>
    </row>
    <row r="51" spans="1:9" ht="14.25" customHeight="1" x14ac:dyDescent="0.25">
      <c r="A51" s="7" t="s">
        <v>265</v>
      </c>
      <c r="B51" s="8" t="s">
        <v>247</v>
      </c>
      <c r="C51" s="8" t="s">
        <v>266</v>
      </c>
      <c r="D51" s="8"/>
      <c r="E51" s="8"/>
      <c r="F51" s="9" t="s">
        <v>267</v>
      </c>
      <c r="G51" s="10" t="s">
        <v>268</v>
      </c>
      <c r="H51" s="10" t="s">
        <v>269</v>
      </c>
      <c r="I51" s="10"/>
    </row>
    <row r="52" spans="1:9" ht="14.25" customHeight="1" x14ac:dyDescent="0.25">
      <c r="A52" s="7" t="s">
        <v>270</v>
      </c>
      <c r="B52" s="8" t="s">
        <v>247</v>
      </c>
      <c r="C52" s="8" t="s">
        <v>271</v>
      </c>
      <c r="D52" s="8"/>
      <c r="E52" s="8"/>
      <c r="F52" s="9" t="s">
        <v>272</v>
      </c>
      <c r="G52" s="10" t="s">
        <v>273</v>
      </c>
      <c r="H52" s="10" t="s">
        <v>274</v>
      </c>
      <c r="I52" s="10"/>
    </row>
    <row r="53" spans="1:9" ht="14.25" customHeight="1" x14ac:dyDescent="0.25">
      <c r="A53" s="7"/>
      <c r="B53" s="8" t="s">
        <v>275</v>
      </c>
      <c r="C53" s="8" t="s">
        <v>276</v>
      </c>
      <c r="D53" s="8"/>
      <c r="E53" s="8"/>
      <c r="F53" s="9" t="s">
        <v>277</v>
      </c>
      <c r="G53" s="10" t="s">
        <v>278</v>
      </c>
      <c r="H53" s="10" t="s">
        <v>279</v>
      </c>
      <c r="I53" s="10"/>
    </row>
    <row r="54" spans="1:9" ht="14.25" customHeight="1" x14ac:dyDescent="0.25">
      <c r="A54" s="7"/>
      <c r="B54" s="8" t="s">
        <v>280</v>
      </c>
      <c r="C54" s="8" t="s">
        <v>281</v>
      </c>
      <c r="D54" s="8"/>
      <c r="E54" s="8"/>
      <c r="F54" s="9" t="s">
        <v>282</v>
      </c>
      <c r="G54" s="10" t="s">
        <v>283</v>
      </c>
      <c r="H54" s="10" t="s">
        <v>284</v>
      </c>
      <c r="I54" s="10"/>
    </row>
    <row r="55" spans="1:9" ht="14.25" customHeight="1" x14ac:dyDescent="0.25">
      <c r="A55" s="7" t="s">
        <v>285</v>
      </c>
      <c r="B55" s="8" t="s">
        <v>286</v>
      </c>
      <c r="C55" s="8" t="s">
        <v>287</v>
      </c>
      <c r="D55" s="8"/>
      <c r="E55" s="8"/>
      <c r="F55" s="9" t="s">
        <v>288</v>
      </c>
      <c r="G55" s="10" t="s">
        <v>289</v>
      </c>
      <c r="H55" s="10" t="s">
        <v>290</v>
      </c>
      <c r="I55" s="10"/>
    </row>
    <row r="56" spans="1:9" ht="14.25" customHeight="1" x14ac:dyDescent="0.25">
      <c r="A56" s="7" t="s">
        <v>291</v>
      </c>
      <c r="B56" s="8" t="s">
        <v>286</v>
      </c>
      <c r="C56" s="8" t="s">
        <v>292</v>
      </c>
      <c r="D56" s="8"/>
      <c r="E56" s="8"/>
      <c r="F56" s="9" t="s">
        <v>293</v>
      </c>
      <c r="G56" s="10" t="s">
        <v>294</v>
      </c>
      <c r="H56" s="10" t="s">
        <v>295</v>
      </c>
      <c r="I56" s="10"/>
    </row>
    <row r="57" spans="1:9" ht="14.25" customHeight="1" x14ac:dyDescent="0.25">
      <c r="A57" s="7"/>
      <c r="B57" s="8" t="s">
        <v>296</v>
      </c>
      <c r="C57" s="8" t="s">
        <v>297</v>
      </c>
      <c r="D57" s="8"/>
      <c r="E57" s="8"/>
      <c r="F57" s="9" t="s">
        <v>298</v>
      </c>
      <c r="G57" s="10" t="s">
        <v>299</v>
      </c>
      <c r="H57" s="10" t="s">
        <v>300</v>
      </c>
      <c r="I57" s="10"/>
    </row>
    <row r="58" spans="1:9" ht="14.25" customHeight="1" x14ac:dyDescent="0.25">
      <c r="A58" s="7" t="s">
        <v>301</v>
      </c>
      <c r="B58" s="8" t="s">
        <v>302</v>
      </c>
      <c r="C58" s="8" t="s">
        <v>303</v>
      </c>
      <c r="D58" s="8"/>
      <c r="E58" s="8"/>
      <c r="F58" s="9" t="s">
        <v>304</v>
      </c>
      <c r="G58" s="10" t="s">
        <v>305</v>
      </c>
      <c r="H58" s="10" t="s">
        <v>306</v>
      </c>
      <c r="I58" s="10"/>
    </row>
    <row r="59" spans="1:9" ht="14.25" customHeight="1" x14ac:dyDescent="0.25">
      <c r="A59" s="7" t="s">
        <v>307</v>
      </c>
      <c r="B59" s="8" t="s">
        <v>308</v>
      </c>
      <c r="C59" s="8" t="s">
        <v>309</v>
      </c>
      <c r="D59" s="8"/>
      <c r="E59" s="8"/>
      <c r="F59" s="9" t="s">
        <v>310</v>
      </c>
      <c r="G59" s="10" t="s">
        <v>311</v>
      </c>
      <c r="H59" s="10" t="s">
        <v>312</v>
      </c>
      <c r="I59" s="10"/>
    </row>
    <row r="60" spans="1:9" ht="14.25" customHeight="1" x14ac:dyDescent="0.25">
      <c r="A60" s="7" t="s">
        <v>313</v>
      </c>
      <c r="B60" s="8" t="s">
        <v>314</v>
      </c>
      <c r="C60" s="8" t="s">
        <v>315</v>
      </c>
      <c r="D60" s="8"/>
      <c r="E60" s="8"/>
      <c r="F60" s="9" t="s">
        <v>316</v>
      </c>
      <c r="G60" s="10" t="s">
        <v>317</v>
      </c>
      <c r="H60" s="10" t="s">
        <v>318</v>
      </c>
      <c r="I60" s="10"/>
    </row>
    <row r="61" spans="1:9" ht="14.25" customHeight="1" x14ac:dyDescent="0.25">
      <c r="A61" s="7"/>
      <c r="B61" s="8" t="s">
        <v>319</v>
      </c>
      <c r="C61" s="8" t="s">
        <v>320</v>
      </c>
      <c r="D61" s="8"/>
      <c r="E61" s="8"/>
      <c r="F61" s="9" t="s">
        <v>321</v>
      </c>
      <c r="G61" s="10" t="s">
        <v>322</v>
      </c>
      <c r="H61" s="10" t="s">
        <v>323</v>
      </c>
      <c r="I61" s="10"/>
    </row>
    <row r="62" spans="1:9" ht="14.25" customHeight="1" x14ac:dyDescent="0.25">
      <c r="A62" s="7" t="s">
        <v>324</v>
      </c>
      <c r="B62" s="8" t="s">
        <v>325</v>
      </c>
      <c r="C62" s="8" t="s">
        <v>326</v>
      </c>
      <c r="D62" s="8"/>
      <c r="E62" s="8"/>
      <c r="F62" s="9" t="s">
        <v>327</v>
      </c>
      <c r="G62" s="10" t="s">
        <v>328</v>
      </c>
      <c r="H62" s="10" t="s">
        <v>329</v>
      </c>
      <c r="I62" s="10"/>
    </row>
    <row r="63" spans="1:9" ht="14.25" customHeight="1" x14ac:dyDescent="0.25">
      <c r="A63" s="7" t="s">
        <v>330</v>
      </c>
      <c r="B63" s="8" t="s">
        <v>331</v>
      </c>
      <c r="C63" s="8" t="s">
        <v>332</v>
      </c>
      <c r="D63" s="8"/>
      <c r="E63" s="8"/>
      <c r="F63" s="9" t="s">
        <v>333</v>
      </c>
      <c r="G63" s="10" t="s">
        <v>334</v>
      </c>
      <c r="H63" s="10" t="s">
        <v>335</v>
      </c>
      <c r="I63" s="10"/>
    </row>
    <row r="64" spans="1:9" ht="14.25" customHeight="1" x14ac:dyDescent="0.25">
      <c r="A64" s="7" t="s">
        <v>336</v>
      </c>
      <c r="B64" s="8" t="s">
        <v>331</v>
      </c>
      <c r="C64" s="8" t="s">
        <v>337</v>
      </c>
      <c r="D64" s="8"/>
      <c r="E64" s="8"/>
      <c r="F64" s="9" t="s">
        <v>338</v>
      </c>
      <c r="G64" s="10" t="s">
        <v>339</v>
      </c>
      <c r="H64" s="10" t="s">
        <v>340</v>
      </c>
      <c r="I64" s="10"/>
    </row>
    <row r="65" spans="1:9" ht="14.25" customHeight="1" x14ac:dyDescent="0.25">
      <c r="A65" s="7" t="s">
        <v>341</v>
      </c>
      <c r="B65" s="8" t="s">
        <v>342</v>
      </c>
      <c r="C65" s="8" t="s">
        <v>343</v>
      </c>
      <c r="D65" s="8"/>
      <c r="E65" s="8"/>
      <c r="F65" s="9" t="s">
        <v>344</v>
      </c>
      <c r="G65" s="10" t="s">
        <v>345</v>
      </c>
      <c r="H65" s="10" t="s">
        <v>346</v>
      </c>
      <c r="I65" s="10"/>
    </row>
    <row r="66" spans="1:9" ht="14.25" customHeight="1" x14ac:dyDescent="0.25">
      <c r="A66" s="7" t="s">
        <v>347</v>
      </c>
      <c r="B66" s="8" t="s">
        <v>348</v>
      </c>
      <c r="C66" s="8" t="s">
        <v>349</v>
      </c>
      <c r="D66" s="8"/>
      <c r="E66" s="8"/>
      <c r="F66" s="9" t="s">
        <v>350</v>
      </c>
      <c r="G66" s="10" t="s">
        <v>351</v>
      </c>
      <c r="H66" s="10" t="s">
        <v>352</v>
      </c>
      <c r="I66" s="10"/>
    </row>
    <row r="67" spans="1:9" ht="14.25" customHeight="1" x14ac:dyDescent="0.25">
      <c r="A67" s="7" t="s">
        <v>353</v>
      </c>
      <c r="B67" s="8" t="s">
        <v>354</v>
      </c>
      <c r="C67" s="8" t="s">
        <v>355</v>
      </c>
      <c r="D67" s="8"/>
      <c r="E67" s="8"/>
      <c r="F67" s="9" t="s">
        <v>356</v>
      </c>
      <c r="G67" s="10" t="s">
        <v>357</v>
      </c>
      <c r="H67" s="10" t="s">
        <v>358</v>
      </c>
      <c r="I67" s="10"/>
    </row>
    <row r="68" spans="1:9" ht="14.25" customHeight="1" x14ac:dyDescent="0.25">
      <c r="A68" s="7"/>
      <c r="B68" s="8" t="s">
        <v>359</v>
      </c>
      <c r="C68" s="8" t="s">
        <v>360</v>
      </c>
      <c r="D68" s="8"/>
      <c r="E68" s="8"/>
      <c r="F68" s="9" t="s">
        <v>361</v>
      </c>
      <c r="G68" s="10" t="s">
        <v>362</v>
      </c>
      <c r="H68" s="10" t="s">
        <v>363</v>
      </c>
      <c r="I68" s="10"/>
    </row>
    <row r="69" spans="1:9" ht="14.25" customHeight="1" x14ac:dyDescent="0.25">
      <c r="A69" s="7"/>
      <c r="B69" s="8" t="s">
        <v>364</v>
      </c>
      <c r="C69" s="8" t="s">
        <v>365</v>
      </c>
      <c r="D69" s="8"/>
      <c r="E69" s="8"/>
      <c r="F69" s="9" t="s">
        <v>366</v>
      </c>
      <c r="G69" s="10" t="s">
        <v>367</v>
      </c>
      <c r="H69" s="10" t="s">
        <v>368</v>
      </c>
      <c r="I69" s="10"/>
    </row>
    <row r="70" spans="1:9" ht="14.25" customHeight="1" x14ac:dyDescent="0.25">
      <c r="A70" s="7" t="s">
        <v>369</v>
      </c>
      <c r="B70" s="8" t="s">
        <v>370</v>
      </c>
      <c r="C70" s="8" t="s">
        <v>371</v>
      </c>
      <c r="D70" s="8"/>
      <c r="E70" s="8"/>
      <c r="F70" s="9" t="s">
        <v>372</v>
      </c>
      <c r="G70" s="10" t="s">
        <v>373</v>
      </c>
      <c r="H70" s="10" t="s">
        <v>374</v>
      </c>
      <c r="I70" s="10"/>
    </row>
    <row r="71" spans="1:9" ht="14.25" customHeight="1" x14ac:dyDescent="0.25">
      <c r="A71" s="7" t="s">
        <v>375</v>
      </c>
      <c r="B71" s="8" t="s">
        <v>376</v>
      </c>
      <c r="C71" s="8" t="s">
        <v>377</v>
      </c>
      <c r="D71" s="8"/>
      <c r="E71" s="8"/>
      <c r="F71" s="9" t="s">
        <v>378</v>
      </c>
      <c r="G71" s="10" t="s">
        <v>379</v>
      </c>
      <c r="H71" s="10" t="s">
        <v>380</v>
      </c>
      <c r="I71" s="10"/>
    </row>
    <row r="72" spans="1:9" ht="14.25" customHeight="1" x14ac:dyDescent="0.25">
      <c r="A72" s="7" t="s">
        <v>381</v>
      </c>
      <c r="B72" s="8" t="s">
        <v>382</v>
      </c>
      <c r="C72" s="8" t="s">
        <v>383</v>
      </c>
      <c r="D72" s="8"/>
      <c r="E72" s="8"/>
      <c r="F72" s="9" t="s">
        <v>384</v>
      </c>
      <c r="G72" s="10" t="s">
        <v>385</v>
      </c>
      <c r="H72" s="10" t="s">
        <v>386</v>
      </c>
      <c r="I72" s="10"/>
    </row>
    <row r="73" spans="1:9" ht="14.25" customHeight="1" x14ac:dyDescent="0.25">
      <c r="A73" s="7" t="s">
        <v>387</v>
      </c>
      <c r="B73" s="8" t="s">
        <v>382</v>
      </c>
      <c r="C73" s="8" t="s">
        <v>388</v>
      </c>
      <c r="D73" s="8"/>
      <c r="E73" s="8"/>
      <c r="F73" s="9" t="s">
        <v>389</v>
      </c>
      <c r="G73" s="10" t="s">
        <v>390</v>
      </c>
      <c r="H73" s="10" t="s">
        <v>391</v>
      </c>
      <c r="I73" s="10"/>
    </row>
    <row r="74" spans="1:9" ht="14.25" customHeight="1" x14ac:dyDescent="0.25">
      <c r="A74" s="7" t="s">
        <v>392</v>
      </c>
      <c r="B74" s="8" t="s">
        <v>393</v>
      </c>
      <c r="C74" s="8" t="s">
        <v>394</v>
      </c>
      <c r="D74" s="8"/>
      <c r="E74" s="8"/>
      <c r="F74" s="9" t="s">
        <v>395</v>
      </c>
      <c r="G74" s="10" t="s">
        <v>396</v>
      </c>
      <c r="H74" s="10" t="s">
        <v>397</v>
      </c>
      <c r="I74" s="10"/>
    </row>
    <row r="75" spans="1:9" ht="14.25" customHeight="1" x14ac:dyDescent="0.25">
      <c r="A75" s="7"/>
      <c r="B75" s="8" t="s">
        <v>398</v>
      </c>
      <c r="C75" s="8" t="s">
        <v>399</v>
      </c>
      <c r="D75" s="8"/>
      <c r="E75" s="8"/>
      <c r="F75" s="9" t="s">
        <v>400</v>
      </c>
      <c r="G75" s="10" t="s">
        <v>401</v>
      </c>
      <c r="H75" s="10" t="s">
        <v>402</v>
      </c>
      <c r="I75" s="10"/>
    </row>
    <row r="76" spans="1:9" ht="14.25" customHeight="1" x14ac:dyDescent="0.25">
      <c r="A76" s="7" t="s">
        <v>403</v>
      </c>
      <c r="B76" s="8" t="s">
        <v>404</v>
      </c>
      <c r="C76" s="8" t="s">
        <v>405</v>
      </c>
      <c r="D76" s="8"/>
      <c r="E76" s="8"/>
      <c r="F76" s="9" t="s">
        <v>406</v>
      </c>
      <c r="G76" s="10" t="s">
        <v>407</v>
      </c>
      <c r="H76" s="10" t="s">
        <v>408</v>
      </c>
      <c r="I76" s="10"/>
    </row>
    <row r="77" spans="1:9" ht="14.25" customHeight="1" x14ac:dyDescent="0.25">
      <c r="A77" s="7" t="s">
        <v>409</v>
      </c>
      <c r="B77" s="8" t="s">
        <v>404</v>
      </c>
      <c r="C77" s="8" t="s">
        <v>410</v>
      </c>
      <c r="D77" s="8" t="s">
        <v>411</v>
      </c>
      <c r="E77" s="8" t="s">
        <v>412</v>
      </c>
      <c r="F77" s="9" t="s">
        <v>413</v>
      </c>
      <c r="G77" s="10" t="s">
        <v>414</v>
      </c>
      <c r="H77" s="10" t="s">
        <v>415</v>
      </c>
      <c r="I77" s="10"/>
    </row>
    <row r="78" spans="1:9" ht="14.25" customHeight="1" x14ac:dyDescent="0.25">
      <c r="A78" s="7" t="s">
        <v>416</v>
      </c>
      <c r="B78" s="8" t="s">
        <v>417</v>
      </c>
      <c r="C78" s="8" t="s">
        <v>418</v>
      </c>
      <c r="D78" s="8"/>
      <c r="E78" s="8"/>
      <c r="F78" s="9" t="s">
        <v>419</v>
      </c>
      <c r="G78" s="10" t="s">
        <v>420</v>
      </c>
      <c r="H78" s="10" t="s">
        <v>421</v>
      </c>
      <c r="I78" s="10"/>
    </row>
    <row r="79" spans="1:9" ht="14.25" customHeight="1" x14ac:dyDescent="0.25">
      <c r="A79" s="7" t="s">
        <v>422</v>
      </c>
      <c r="B79" s="8" t="s">
        <v>417</v>
      </c>
      <c r="C79" s="8" t="s">
        <v>423</v>
      </c>
      <c r="D79" s="8"/>
      <c r="E79" s="8"/>
      <c r="F79" s="9" t="s">
        <v>424</v>
      </c>
      <c r="G79" s="10" t="s">
        <v>425</v>
      </c>
      <c r="H79" s="10" t="s">
        <v>426</v>
      </c>
      <c r="I79" s="10"/>
    </row>
    <row r="80" spans="1:9" ht="14.25" customHeight="1" x14ac:dyDescent="0.25">
      <c r="A80" s="7"/>
      <c r="B80" s="8" t="s">
        <v>427</v>
      </c>
      <c r="C80" s="8" t="s">
        <v>428</v>
      </c>
      <c r="D80" s="8"/>
      <c r="E80" s="8"/>
      <c r="F80" s="9" t="s">
        <v>429</v>
      </c>
      <c r="G80" s="10" t="s">
        <v>430</v>
      </c>
      <c r="H80" s="10" t="s">
        <v>431</v>
      </c>
      <c r="I80" s="10"/>
    </row>
    <row r="81" spans="1:9" ht="14.25" customHeight="1" x14ac:dyDescent="0.25">
      <c r="A81" s="7" t="s">
        <v>432</v>
      </c>
      <c r="B81" s="8" t="s">
        <v>427</v>
      </c>
      <c r="C81" s="8" t="s">
        <v>433</v>
      </c>
      <c r="D81" s="8"/>
      <c r="E81" s="8"/>
      <c r="F81" s="9" t="s">
        <v>434</v>
      </c>
      <c r="G81" s="10" t="s">
        <v>435</v>
      </c>
      <c r="H81" s="10" t="s">
        <v>436</v>
      </c>
      <c r="I81" s="10"/>
    </row>
    <row r="82" spans="1:9" ht="14.25" customHeight="1" x14ac:dyDescent="0.25">
      <c r="A82" s="7"/>
      <c r="B82" s="8" t="s">
        <v>437</v>
      </c>
      <c r="C82" s="8" t="s">
        <v>438</v>
      </c>
      <c r="D82" s="8"/>
      <c r="E82" s="8"/>
      <c r="F82" s="9" t="s">
        <v>439</v>
      </c>
      <c r="G82" s="10" t="s">
        <v>440</v>
      </c>
      <c r="H82" s="10" t="s">
        <v>441</v>
      </c>
      <c r="I82" s="10"/>
    </row>
    <row r="83" spans="1:9" ht="14.25" customHeight="1" x14ac:dyDescent="0.25">
      <c r="A83" s="7"/>
      <c r="B83" s="8" t="s">
        <v>442</v>
      </c>
      <c r="C83" s="8" t="s">
        <v>443</v>
      </c>
      <c r="D83" s="8"/>
      <c r="E83" s="8"/>
      <c r="F83" s="9" t="s">
        <v>444</v>
      </c>
      <c r="G83" s="10" t="s">
        <v>445</v>
      </c>
      <c r="H83" s="10" t="s">
        <v>446</v>
      </c>
      <c r="I83" s="10"/>
    </row>
    <row r="84" spans="1:9" ht="14.25" customHeight="1" x14ac:dyDescent="0.25">
      <c r="A84" s="7"/>
      <c r="B84" s="8" t="s">
        <v>447</v>
      </c>
      <c r="C84" s="8" t="s">
        <v>448</v>
      </c>
      <c r="D84" s="8"/>
      <c r="E84" s="8"/>
      <c r="F84" s="9" t="s">
        <v>449</v>
      </c>
      <c r="G84" s="10" t="s">
        <v>450</v>
      </c>
      <c r="H84" s="10" t="s">
        <v>451</v>
      </c>
      <c r="I84" s="10"/>
    </row>
    <row r="85" spans="1:9" ht="14.25" customHeight="1" x14ac:dyDescent="0.25">
      <c r="A85" s="7" t="s">
        <v>452</v>
      </c>
      <c r="B85" s="8" t="s">
        <v>447</v>
      </c>
      <c r="C85" s="8" t="s">
        <v>453</v>
      </c>
      <c r="D85" s="8"/>
      <c r="E85" s="8"/>
      <c r="F85" s="9" t="s">
        <v>454</v>
      </c>
      <c r="G85" s="10" t="s">
        <v>455</v>
      </c>
      <c r="H85" s="10" t="s">
        <v>456</v>
      </c>
      <c r="I85" s="10"/>
    </row>
    <row r="86" spans="1:9" ht="14.25" customHeight="1" x14ac:dyDescent="0.25">
      <c r="A86" s="7">
        <v>793729046</v>
      </c>
      <c r="B86" s="8" t="s">
        <v>447</v>
      </c>
      <c r="C86" s="8" t="s">
        <v>457</v>
      </c>
      <c r="D86" s="8"/>
      <c r="E86" s="8"/>
      <c r="F86" s="9" t="s">
        <v>458</v>
      </c>
      <c r="G86" s="10" t="s">
        <v>459</v>
      </c>
      <c r="H86" s="10" t="s">
        <v>460</v>
      </c>
      <c r="I86" s="10"/>
    </row>
    <row r="87" spans="1:9" ht="14.25" customHeight="1" x14ac:dyDescent="0.25">
      <c r="A87" s="7" t="s">
        <v>461</v>
      </c>
      <c r="B87" s="8" t="s">
        <v>447</v>
      </c>
      <c r="C87" s="8" t="s">
        <v>462</v>
      </c>
      <c r="D87" s="8"/>
      <c r="E87" s="8"/>
      <c r="F87" s="9" t="s">
        <v>463</v>
      </c>
      <c r="G87" s="10" t="s">
        <v>464</v>
      </c>
      <c r="H87" s="10" t="s">
        <v>465</v>
      </c>
      <c r="I87" s="10"/>
    </row>
    <row r="88" spans="1:9" ht="14.25" customHeight="1" x14ac:dyDescent="0.25">
      <c r="A88" s="7"/>
      <c r="B88" s="8" t="s">
        <v>447</v>
      </c>
      <c r="C88" s="8" t="s">
        <v>466</v>
      </c>
      <c r="D88" s="8"/>
      <c r="E88" s="8"/>
      <c r="F88" s="9" t="s">
        <v>467</v>
      </c>
      <c r="G88" s="10" t="s">
        <v>468</v>
      </c>
      <c r="H88" s="10" t="s">
        <v>469</v>
      </c>
      <c r="I88" s="10"/>
    </row>
    <row r="89" spans="1:9" ht="14.25" customHeight="1" x14ac:dyDescent="0.25">
      <c r="A89" s="7" t="s">
        <v>470</v>
      </c>
      <c r="B89" s="8" t="s">
        <v>447</v>
      </c>
      <c r="C89" s="8" t="s">
        <v>471</v>
      </c>
      <c r="D89" s="8"/>
      <c r="E89" s="8"/>
      <c r="F89" s="9" t="s">
        <v>472</v>
      </c>
      <c r="G89" s="10" t="s">
        <v>473</v>
      </c>
      <c r="H89" s="10" t="s">
        <v>474</v>
      </c>
      <c r="I89" s="10"/>
    </row>
    <row r="90" spans="1:9" ht="14.25" customHeight="1" x14ac:dyDescent="0.25">
      <c r="A90" s="7" t="s">
        <v>475</v>
      </c>
      <c r="B90" s="8" t="s">
        <v>447</v>
      </c>
      <c r="C90" s="8" t="s">
        <v>476</v>
      </c>
      <c r="D90" s="8"/>
      <c r="E90" s="8"/>
      <c r="F90" s="9" t="s">
        <v>477</v>
      </c>
      <c r="G90" s="10" t="s">
        <v>478</v>
      </c>
      <c r="H90" s="10" t="s">
        <v>479</v>
      </c>
      <c r="I90" s="10"/>
    </row>
    <row r="91" spans="1:9" ht="14.25" customHeight="1" x14ac:dyDescent="0.25">
      <c r="A91" s="7" t="s">
        <v>480</v>
      </c>
      <c r="B91" s="8" t="s">
        <v>447</v>
      </c>
      <c r="C91" s="8" t="s">
        <v>481</v>
      </c>
      <c r="D91" s="8"/>
      <c r="E91" s="8"/>
      <c r="F91" s="9" t="s">
        <v>482</v>
      </c>
      <c r="G91" s="10" t="s">
        <v>483</v>
      </c>
      <c r="H91" s="10" t="s">
        <v>484</v>
      </c>
      <c r="I91" s="10"/>
    </row>
    <row r="92" spans="1:9" ht="14.25" customHeight="1" x14ac:dyDescent="0.25">
      <c r="A92" s="7" t="s">
        <v>485</v>
      </c>
      <c r="B92" s="8" t="s">
        <v>447</v>
      </c>
      <c r="C92" s="8" t="s">
        <v>486</v>
      </c>
      <c r="D92" s="8"/>
      <c r="E92" s="8"/>
      <c r="F92" s="9" t="s">
        <v>487</v>
      </c>
      <c r="G92" s="10" t="s">
        <v>488</v>
      </c>
      <c r="H92" s="10" t="s">
        <v>489</v>
      </c>
      <c r="I92" s="10"/>
    </row>
    <row r="93" spans="1:9" ht="14.25" customHeight="1" x14ac:dyDescent="0.25">
      <c r="A93" s="7" t="s">
        <v>490</v>
      </c>
      <c r="B93" s="8" t="s">
        <v>447</v>
      </c>
      <c r="C93" s="8" t="s">
        <v>491</v>
      </c>
      <c r="D93" s="8"/>
      <c r="E93" s="8"/>
      <c r="F93" s="9" t="s">
        <v>492</v>
      </c>
      <c r="G93" s="10" t="s">
        <v>493</v>
      </c>
      <c r="H93" s="10" t="s">
        <v>494</v>
      </c>
      <c r="I93" s="10"/>
    </row>
    <row r="94" spans="1:9" ht="14.25" customHeight="1" x14ac:dyDescent="0.25">
      <c r="A94" s="7" t="s">
        <v>495</v>
      </c>
      <c r="B94" s="8" t="s">
        <v>496</v>
      </c>
      <c r="C94" s="8" t="s">
        <v>497</v>
      </c>
      <c r="D94" s="8"/>
      <c r="E94" s="8"/>
      <c r="F94" s="9" t="s">
        <v>498</v>
      </c>
      <c r="G94" s="10" t="s">
        <v>499</v>
      </c>
      <c r="H94" s="10" t="s">
        <v>500</v>
      </c>
      <c r="I94" s="10"/>
    </row>
    <row r="95" spans="1:9" ht="14.25" customHeight="1" x14ac:dyDescent="0.25">
      <c r="A95" s="7" t="s">
        <v>501</v>
      </c>
      <c r="B95" s="8" t="s">
        <v>502</v>
      </c>
      <c r="C95" s="8" t="s">
        <v>503</v>
      </c>
      <c r="D95" s="8"/>
      <c r="E95" s="8"/>
      <c r="F95" s="9" t="s">
        <v>504</v>
      </c>
      <c r="G95" s="10" t="s">
        <v>505</v>
      </c>
      <c r="H95" s="10" t="s">
        <v>506</v>
      </c>
      <c r="I95" s="10"/>
    </row>
    <row r="96" spans="1:9" ht="14.25" customHeight="1" x14ac:dyDescent="0.25">
      <c r="A96" s="7" t="s">
        <v>507</v>
      </c>
      <c r="B96" s="8" t="s">
        <v>508</v>
      </c>
      <c r="C96" s="8" t="s">
        <v>509</v>
      </c>
      <c r="D96" s="8"/>
      <c r="E96" s="8"/>
      <c r="F96" s="9" t="s">
        <v>510</v>
      </c>
      <c r="G96" s="10" t="s">
        <v>511</v>
      </c>
      <c r="H96" s="10" t="s">
        <v>512</v>
      </c>
      <c r="I96" s="10"/>
    </row>
    <row r="97" spans="1:9" ht="14.25" customHeight="1" x14ac:dyDescent="0.25">
      <c r="A97" s="7" t="s">
        <v>513</v>
      </c>
      <c r="B97" s="8" t="s">
        <v>508</v>
      </c>
      <c r="C97" s="8" t="s">
        <v>514</v>
      </c>
      <c r="D97" s="8"/>
      <c r="E97" s="8"/>
      <c r="F97" s="9" t="s">
        <v>515</v>
      </c>
      <c r="G97" s="10" t="s">
        <v>516</v>
      </c>
      <c r="H97" s="10" t="s">
        <v>517</v>
      </c>
      <c r="I97" s="10"/>
    </row>
    <row r="98" spans="1:9" ht="14.25" customHeight="1" x14ac:dyDescent="0.25">
      <c r="A98" s="7"/>
      <c r="B98" s="8" t="s">
        <v>518</v>
      </c>
      <c r="C98" s="8" t="s">
        <v>519</v>
      </c>
      <c r="D98" s="8"/>
      <c r="E98" s="8"/>
      <c r="F98" s="9" t="s">
        <v>520</v>
      </c>
      <c r="G98" s="10" t="s">
        <v>521</v>
      </c>
      <c r="H98" s="10" t="s">
        <v>522</v>
      </c>
      <c r="I98" s="10"/>
    </row>
    <row r="99" spans="1:9" ht="14.25" customHeight="1" x14ac:dyDescent="0.25">
      <c r="A99" s="7"/>
      <c r="B99" s="8" t="s">
        <v>518</v>
      </c>
      <c r="C99" s="8" t="s">
        <v>523</v>
      </c>
      <c r="D99" s="8"/>
      <c r="E99" s="8"/>
      <c r="F99" s="9" t="s">
        <v>524</v>
      </c>
      <c r="G99" s="10" t="s">
        <v>525</v>
      </c>
      <c r="H99" s="10" t="s">
        <v>526</v>
      </c>
      <c r="I99" s="10"/>
    </row>
    <row r="100" spans="1:9" ht="14.25" customHeight="1" x14ac:dyDescent="0.25">
      <c r="A100" s="7" t="s">
        <v>527</v>
      </c>
      <c r="B100" s="8" t="s">
        <v>518</v>
      </c>
      <c r="C100" s="8" t="s">
        <v>528</v>
      </c>
      <c r="D100" s="8"/>
      <c r="E100" s="8"/>
      <c r="F100" s="9" t="s">
        <v>529</v>
      </c>
      <c r="G100" s="10" t="s">
        <v>530</v>
      </c>
      <c r="H100" s="10" t="s">
        <v>531</v>
      </c>
      <c r="I100" s="10"/>
    </row>
    <row r="101" spans="1:9" ht="14.25" customHeight="1" x14ac:dyDescent="0.25">
      <c r="A101" s="7"/>
      <c r="B101" s="8" t="s">
        <v>532</v>
      </c>
      <c r="C101" s="8" t="s">
        <v>533</v>
      </c>
      <c r="D101" s="8"/>
      <c r="E101" s="8"/>
      <c r="F101" s="9" t="s">
        <v>534</v>
      </c>
      <c r="G101" s="10" t="s">
        <v>535</v>
      </c>
      <c r="H101" s="10" t="s">
        <v>536</v>
      </c>
      <c r="I101" s="10"/>
    </row>
    <row r="102" spans="1:9" ht="14.25" customHeight="1" x14ac:dyDescent="0.25">
      <c r="A102" s="7"/>
      <c r="B102" s="8" t="s">
        <v>532</v>
      </c>
      <c r="C102" s="8" t="s">
        <v>537</v>
      </c>
      <c r="D102" s="8"/>
      <c r="E102" s="8"/>
      <c r="F102" s="9" t="s">
        <v>538</v>
      </c>
      <c r="G102" s="10" t="s">
        <v>539</v>
      </c>
      <c r="H102" s="10" t="s">
        <v>540</v>
      </c>
      <c r="I102" s="10"/>
    </row>
    <row r="103" spans="1:9" ht="14.25" customHeight="1" x14ac:dyDescent="0.25">
      <c r="A103" s="7" t="s">
        <v>541</v>
      </c>
      <c r="B103" s="8" t="s">
        <v>542</v>
      </c>
      <c r="C103" s="8" t="s">
        <v>543</v>
      </c>
      <c r="D103" s="8"/>
      <c r="E103" s="8"/>
      <c r="F103" s="9" t="s">
        <v>544</v>
      </c>
      <c r="G103" s="10" t="s">
        <v>545</v>
      </c>
      <c r="H103" s="10" t="s">
        <v>546</v>
      </c>
      <c r="I103" s="10"/>
    </row>
    <row r="104" spans="1:9" ht="14.25" customHeight="1" x14ac:dyDescent="0.25">
      <c r="A104" s="7" t="s">
        <v>547</v>
      </c>
      <c r="B104" s="8" t="s">
        <v>548</v>
      </c>
      <c r="C104" s="8" t="s">
        <v>549</v>
      </c>
      <c r="D104" s="8"/>
      <c r="E104" s="8"/>
      <c r="F104" s="9" t="s">
        <v>550</v>
      </c>
      <c r="G104" s="10" t="s">
        <v>551</v>
      </c>
      <c r="H104" s="10" t="s">
        <v>552</v>
      </c>
      <c r="I104" s="10"/>
    </row>
    <row r="105" spans="1:9" ht="14.25" customHeight="1" x14ac:dyDescent="0.25">
      <c r="A105" s="7"/>
      <c r="B105" s="8" t="s">
        <v>553</v>
      </c>
      <c r="C105" s="8" t="s">
        <v>554</v>
      </c>
      <c r="D105" s="8"/>
      <c r="E105" s="8"/>
      <c r="F105" s="9" t="s">
        <v>555</v>
      </c>
      <c r="G105" s="10" t="s">
        <v>556</v>
      </c>
      <c r="H105" s="10" t="s">
        <v>557</v>
      </c>
      <c r="I105" s="10"/>
    </row>
    <row r="106" spans="1:9" ht="14.25" customHeight="1" x14ac:dyDescent="0.25">
      <c r="A106" s="7"/>
      <c r="B106" s="8" t="s">
        <v>553</v>
      </c>
      <c r="C106" s="8" t="s">
        <v>448</v>
      </c>
      <c r="D106" s="8"/>
      <c r="E106" s="8"/>
      <c r="F106" s="9" t="s">
        <v>558</v>
      </c>
      <c r="G106" s="10" t="s">
        <v>559</v>
      </c>
      <c r="H106" s="10" t="s">
        <v>560</v>
      </c>
      <c r="I106" s="10"/>
    </row>
    <row r="107" spans="1:9" ht="14.25" customHeight="1" x14ac:dyDescent="0.25">
      <c r="A107" s="7" t="s">
        <v>561</v>
      </c>
      <c r="B107" s="8" t="s">
        <v>553</v>
      </c>
      <c r="C107" s="8" t="s">
        <v>562</v>
      </c>
      <c r="D107" s="8"/>
      <c r="E107" s="8"/>
      <c r="F107" s="9" t="s">
        <v>563</v>
      </c>
      <c r="G107" s="10" t="s">
        <v>564</v>
      </c>
      <c r="H107" s="10" t="s">
        <v>565</v>
      </c>
      <c r="I107" s="10"/>
    </row>
    <row r="108" spans="1:9" ht="14.25" customHeight="1" x14ac:dyDescent="0.25">
      <c r="A108" s="7" t="s">
        <v>566</v>
      </c>
      <c r="B108" s="8" t="s">
        <v>553</v>
      </c>
      <c r="C108" s="8" t="s">
        <v>567</v>
      </c>
      <c r="D108" s="8"/>
      <c r="E108" s="8"/>
      <c r="F108" s="9" t="s">
        <v>568</v>
      </c>
      <c r="G108" s="10" t="s">
        <v>569</v>
      </c>
      <c r="H108" s="10" t="s">
        <v>570</v>
      </c>
      <c r="I108" s="10"/>
    </row>
    <row r="109" spans="1:9" ht="14.25" customHeight="1" x14ac:dyDescent="0.25">
      <c r="A109" s="7" t="s">
        <v>571</v>
      </c>
      <c r="B109" s="8" t="s">
        <v>553</v>
      </c>
      <c r="C109" s="8" t="s">
        <v>572</v>
      </c>
      <c r="D109" s="8"/>
      <c r="E109" s="8"/>
      <c r="F109" s="9" t="s">
        <v>573</v>
      </c>
      <c r="G109" s="10" t="s">
        <v>574</v>
      </c>
      <c r="H109" s="10" t="s">
        <v>575</v>
      </c>
      <c r="I109" s="10"/>
    </row>
    <row r="110" spans="1:9" ht="14.25" customHeight="1" x14ac:dyDescent="0.25">
      <c r="A110" s="7" t="s">
        <v>576</v>
      </c>
      <c r="B110" s="8" t="s">
        <v>553</v>
      </c>
      <c r="C110" s="8" t="s">
        <v>577</v>
      </c>
      <c r="D110" s="8"/>
      <c r="E110" s="8"/>
      <c r="F110" s="9" t="s">
        <v>578</v>
      </c>
      <c r="G110" s="10" t="s">
        <v>579</v>
      </c>
      <c r="H110" s="10" t="s">
        <v>580</v>
      </c>
      <c r="I110" s="10"/>
    </row>
    <row r="111" spans="1:9" ht="14.25" customHeight="1" x14ac:dyDescent="0.25">
      <c r="A111" s="7"/>
      <c r="B111" s="8" t="s">
        <v>581</v>
      </c>
      <c r="C111" s="8" t="s">
        <v>582</v>
      </c>
      <c r="D111" s="8"/>
      <c r="E111" s="8"/>
      <c r="F111" s="9" t="s">
        <v>583</v>
      </c>
      <c r="G111" s="10" t="s">
        <v>584</v>
      </c>
      <c r="H111" s="10" t="s">
        <v>585</v>
      </c>
      <c r="I111" s="10"/>
    </row>
    <row r="112" spans="1:9" ht="14.25" customHeight="1" x14ac:dyDescent="0.25">
      <c r="A112" s="7" t="s">
        <v>566</v>
      </c>
      <c r="B112" s="8" t="s">
        <v>553</v>
      </c>
      <c r="C112" s="8" t="s">
        <v>567</v>
      </c>
      <c r="D112" s="8"/>
      <c r="E112" s="8"/>
      <c r="F112" s="9" t="s">
        <v>586</v>
      </c>
      <c r="G112" s="10" t="s">
        <v>587</v>
      </c>
      <c r="H112" s="10" t="s">
        <v>588</v>
      </c>
      <c r="I112" s="10"/>
    </row>
    <row r="113" spans="1:9" ht="14.25" customHeight="1" x14ac:dyDescent="0.25">
      <c r="A113" s="7" t="s">
        <v>589</v>
      </c>
      <c r="B113" s="8" t="s">
        <v>590</v>
      </c>
      <c r="C113" s="8" t="s">
        <v>591</v>
      </c>
      <c r="D113" s="8"/>
      <c r="E113" s="8"/>
      <c r="F113" s="9" t="s">
        <v>592</v>
      </c>
      <c r="G113" s="10" t="s">
        <v>593</v>
      </c>
      <c r="H113" s="10" t="s">
        <v>594</v>
      </c>
      <c r="I113" s="10"/>
    </row>
    <row r="114" spans="1:9" ht="14.25" customHeight="1" x14ac:dyDescent="0.25">
      <c r="A114" s="7" t="s">
        <v>595</v>
      </c>
      <c r="B114" s="8" t="s">
        <v>596</v>
      </c>
      <c r="C114" s="8" t="s">
        <v>597</v>
      </c>
      <c r="D114" s="8"/>
      <c r="E114" s="8"/>
      <c r="F114" s="9" t="s">
        <v>598</v>
      </c>
      <c r="G114" s="10" t="s">
        <v>599</v>
      </c>
      <c r="H114" s="10" t="s">
        <v>600</v>
      </c>
      <c r="I114" s="10"/>
    </row>
    <row r="115" spans="1:9" ht="14.25" customHeight="1" x14ac:dyDescent="0.25">
      <c r="A115" s="7"/>
      <c r="B115" s="8" t="s">
        <v>601</v>
      </c>
      <c r="C115" s="8" t="s">
        <v>602</v>
      </c>
      <c r="D115" s="8"/>
      <c r="E115" s="8"/>
      <c r="F115" s="9" t="s">
        <v>603</v>
      </c>
      <c r="G115" s="10" t="s">
        <v>604</v>
      </c>
      <c r="H115" s="10" t="s">
        <v>605</v>
      </c>
      <c r="I115" s="10"/>
    </row>
    <row r="116" spans="1:9" ht="14.25" customHeight="1" x14ac:dyDescent="0.25">
      <c r="A116" s="7"/>
      <c r="B116" s="8" t="s">
        <v>606</v>
      </c>
      <c r="C116" s="8" t="s">
        <v>607</v>
      </c>
      <c r="D116" s="8"/>
      <c r="E116" s="8"/>
      <c r="F116" s="9" t="s">
        <v>608</v>
      </c>
      <c r="G116" s="10" t="s">
        <v>609</v>
      </c>
      <c r="H116" s="10" t="s">
        <v>610</v>
      </c>
      <c r="I116" s="10"/>
    </row>
    <row r="117" spans="1:9" ht="14.25" customHeight="1" x14ac:dyDescent="0.25">
      <c r="A117" s="7" t="s">
        <v>611</v>
      </c>
      <c r="B117" s="8" t="s">
        <v>612</v>
      </c>
      <c r="C117" s="8" t="s">
        <v>613</v>
      </c>
      <c r="D117" s="8"/>
      <c r="E117" s="8"/>
      <c r="F117" s="9" t="s">
        <v>614</v>
      </c>
      <c r="G117" s="10" t="s">
        <v>615</v>
      </c>
      <c r="H117" s="10" t="s">
        <v>616</v>
      </c>
      <c r="I117" s="10"/>
    </row>
    <row r="118" spans="1:9" ht="14.25" customHeight="1" x14ac:dyDescent="0.25">
      <c r="A118" s="7" t="s">
        <v>617</v>
      </c>
      <c r="B118" s="8" t="s">
        <v>618</v>
      </c>
      <c r="C118" s="8" t="s">
        <v>619</v>
      </c>
      <c r="D118" s="8"/>
      <c r="E118" s="8"/>
      <c r="F118" s="9" t="s">
        <v>620</v>
      </c>
      <c r="G118" s="10" t="s">
        <v>621</v>
      </c>
      <c r="H118" s="10" t="s">
        <v>622</v>
      </c>
      <c r="I118" s="10"/>
    </row>
    <row r="119" spans="1:9" ht="14.25" customHeight="1" x14ac:dyDescent="0.25">
      <c r="A119" s="7" t="s">
        <v>623</v>
      </c>
      <c r="B119" s="8" t="s">
        <v>624</v>
      </c>
      <c r="C119" s="8" t="s">
        <v>625</v>
      </c>
      <c r="D119" s="8"/>
      <c r="E119" s="8"/>
      <c r="F119" s="9" t="s">
        <v>626</v>
      </c>
      <c r="G119" s="10" t="s">
        <v>627</v>
      </c>
      <c r="H119" s="10" t="s">
        <v>628</v>
      </c>
      <c r="I119" s="10"/>
    </row>
    <row r="120" spans="1:9" ht="14.25" customHeight="1" x14ac:dyDescent="0.25">
      <c r="A120" s="7" t="s">
        <v>629</v>
      </c>
      <c r="B120" s="8" t="s">
        <v>630</v>
      </c>
      <c r="C120" s="8" t="s">
        <v>631</v>
      </c>
      <c r="D120" s="8"/>
      <c r="E120" s="8"/>
      <c r="F120" s="9" t="s">
        <v>632</v>
      </c>
      <c r="G120" s="10" t="s">
        <v>633</v>
      </c>
      <c r="H120" s="10" t="s">
        <v>634</v>
      </c>
      <c r="I120" s="10"/>
    </row>
    <row r="121" spans="1:9" ht="14.25" customHeight="1" x14ac:dyDescent="0.25">
      <c r="A121" s="7" t="s">
        <v>635</v>
      </c>
      <c r="B121" s="8" t="s">
        <v>636</v>
      </c>
      <c r="C121" s="8" t="s">
        <v>637</v>
      </c>
      <c r="D121" s="8"/>
      <c r="E121" s="8"/>
      <c r="F121" s="9" t="s">
        <v>638</v>
      </c>
      <c r="G121" s="10" t="s">
        <v>639</v>
      </c>
      <c r="H121" s="10" t="s">
        <v>640</v>
      </c>
      <c r="I121" s="10"/>
    </row>
    <row r="122" spans="1:9" ht="14.25" customHeight="1" x14ac:dyDescent="0.25">
      <c r="A122" s="7" t="s">
        <v>641</v>
      </c>
      <c r="B122" s="8" t="s">
        <v>642</v>
      </c>
      <c r="C122" s="8" t="s">
        <v>643</v>
      </c>
      <c r="D122" s="8"/>
      <c r="E122" s="8"/>
      <c r="F122" s="9" t="s">
        <v>644</v>
      </c>
      <c r="G122" s="10" t="s">
        <v>645</v>
      </c>
      <c r="H122" s="10" t="s">
        <v>646</v>
      </c>
      <c r="I122" s="10"/>
    </row>
    <row r="123" spans="1:9" ht="14.25" customHeight="1" x14ac:dyDescent="0.25">
      <c r="A123" s="7"/>
      <c r="B123" s="8" t="s">
        <v>647</v>
      </c>
      <c r="C123" s="8" t="s">
        <v>648</v>
      </c>
      <c r="D123" s="8"/>
      <c r="E123" s="8"/>
      <c r="F123" s="9" t="s">
        <v>649</v>
      </c>
      <c r="G123" s="10" t="s">
        <v>650</v>
      </c>
      <c r="H123" s="10" t="s">
        <v>651</v>
      </c>
      <c r="I123" s="10"/>
    </row>
    <row r="124" spans="1:9" ht="14.25" customHeight="1" x14ac:dyDescent="0.25">
      <c r="A124" s="7" t="s">
        <v>652</v>
      </c>
      <c r="B124" s="8" t="s">
        <v>653</v>
      </c>
      <c r="C124" s="8" t="s">
        <v>654</v>
      </c>
      <c r="D124" s="8"/>
      <c r="E124" s="8"/>
      <c r="F124" s="9" t="s">
        <v>655</v>
      </c>
      <c r="G124" s="10" t="s">
        <v>656</v>
      </c>
      <c r="H124" s="10" t="s">
        <v>657</v>
      </c>
      <c r="I124" s="10"/>
    </row>
    <row r="125" spans="1:9" ht="14.25" customHeight="1" x14ac:dyDescent="0.25">
      <c r="A125" s="7" t="s">
        <v>658</v>
      </c>
      <c r="B125" s="8" t="s">
        <v>659</v>
      </c>
      <c r="C125" s="8" t="s">
        <v>660</v>
      </c>
      <c r="D125" s="8"/>
      <c r="E125" s="8"/>
      <c r="F125" s="9" t="s">
        <v>661</v>
      </c>
      <c r="G125" s="10" t="s">
        <v>662</v>
      </c>
      <c r="H125" s="10" t="s">
        <v>663</v>
      </c>
      <c r="I125" s="10"/>
    </row>
    <row r="126" spans="1:9" ht="14.25" customHeight="1" x14ac:dyDescent="0.25">
      <c r="A126" s="7" t="s">
        <v>664</v>
      </c>
      <c r="B126" s="8" t="s">
        <v>659</v>
      </c>
      <c r="C126" s="8" t="s">
        <v>665</v>
      </c>
      <c r="D126" s="8"/>
      <c r="E126" s="8"/>
      <c r="F126" s="9" t="s">
        <v>666</v>
      </c>
      <c r="G126" s="10" t="s">
        <v>667</v>
      </c>
      <c r="H126" s="10" t="s">
        <v>668</v>
      </c>
      <c r="I126" s="10"/>
    </row>
    <row r="127" spans="1:9" ht="14.25" customHeight="1" x14ac:dyDescent="0.25">
      <c r="A127" s="7" t="s">
        <v>669</v>
      </c>
      <c r="B127" s="8" t="s">
        <v>659</v>
      </c>
      <c r="C127" s="8" t="s">
        <v>670</v>
      </c>
      <c r="D127" s="8"/>
      <c r="E127" s="8"/>
      <c r="F127" s="9" t="s">
        <v>671</v>
      </c>
      <c r="G127" s="10" t="s">
        <v>672</v>
      </c>
      <c r="H127" s="10" t="s">
        <v>673</v>
      </c>
      <c r="I127" s="10"/>
    </row>
    <row r="128" spans="1:9" ht="14.25" customHeight="1" x14ac:dyDescent="0.25">
      <c r="A128" s="7" t="s">
        <v>674</v>
      </c>
      <c r="B128" s="8" t="s">
        <v>659</v>
      </c>
      <c r="C128" s="8" t="s">
        <v>675</v>
      </c>
      <c r="D128" s="8"/>
      <c r="E128" s="8"/>
      <c r="F128" s="9" t="s">
        <v>676</v>
      </c>
      <c r="G128" s="10" t="s">
        <v>677</v>
      </c>
      <c r="H128" s="10" t="s">
        <v>678</v>
      </c>
      <c r="I128" s="10"/>
    </row>
    <row r="129" spans="1:9" ht="14.25" customHeight="1" x14ac:dyDescent="0.25">
      <c r="A129" s="7" t="s">
        <v>679</v>
      </c>
      <c r="B129" s="8" t="s">
        <v>659</v>
      </c>
      <c r="C129" s="8" t="s">
        <v>680</v>
      </c>
      <c r="D129" s="8"/>
      <c r="E129" s="8"/>
      <c r="F129" s="9" t="s">
        <v>681</v>
      </c>
      <c r="G129" s="10" t="s">
        <v>682</v>
      </c>
      <c r="H129" s="10" t="s">
        <v>683</v>
      </c>
      <c r="I129" s="10"/>
    </row>
    <row r="130" spans="1:9" ht="14.25" customHeight="1" x14ac:dyDescent="0.25">
      <c r="A130" s="7" t="s">
        <v>684</v>
      </c>
      <c r="B130" s="8" t="s">
        <v>685</v>
      </c>
      <c r="C130" s="8" t="s">
        <v>686</v>
      </c>
      <c r="D130" s="8"/>
      <c r="E130" s="8"/>
      <c r="F130" s="9" t="s">
        <v>687</v>
      </c>
      <c r="G130" s="10" t="s">
        <v>688</v>
      </c>
      <c r="H130" s="10" t="s">
        <v>689</v>
      </c>
      <c r="I130" s="10"/>
    </row>
    <row r="131" spans="1:9" ht="14.25" customHeight="1" x14ac:dyDescent="0.25">
      <c r="A131" s="7" t="s">
        <v>690</v>
      </c>
      <c r="B131" s="8" t="s">
        <v>685</v>
      </c>
      <c r="C131" s="8" t="s">
        <v>691</v>
      </c>
      <c r="D131" s="8"/>
      <c r="E131" s="8"/>
      <c r="F131" s="9" t="s">
        <v>692</v>
      </c>
      <c r="G131" s="10" t="s">
        <v>693</v>
      </c>
      <c r="H131" s="10" t="s">
        <v>694</v>
      </c>
      <c r="I131" s="10"/>
    </row>
    <row r="132" spans="1:9" ht="14.25" customHeight="1" x14ac:dyDescent="0.25">
      <c r="A132" s="7" t="s">
        <v>695</v>
      </c>
      <c r="B132" s="8" t="s">
        <v>685</v>
      </c>
      <c r="C132" s="8" t="s">
        <v>696</v>
      </c>
      <c r="D132" s="8"/>
      <c r="E132" s="8"/>
      <c r="F132" s="9" t="s">
        <v>697</v>
      </c>
      <c r="G132" s="10" t="s">
        <v>698</v>
      </c>
      <c r="H132" s="10" t="s">
        <v>699</v>
      </c>
      <c r="I132" s="10"/>
    </row>
    <row r="133" spans="1:9" ht="14.25" customHeight="1" x14ac:dyDescent="0.25">
      <c r="A133" s="7"/>
      <c r="B133" s="8" t="s">
        <v>685</v>
      </c>
      <c r="C133" s="8" t="s">
        <v>700</v>
      </c>
      <c r="D133" s="8"/>
      <c r="E133" s="8"/>
      <c r="F133" s="9" t="s">
        <v>701</v>
      </c>
      <c r="G133" s="10" t="s">
        <v>702</v>
      </c>
      <c r="H133" s="10" t="s">
        <v>703</v>
      </c>
      <c r="I133" s="10"/>
    </row>
    <row r="134" spans="1:9" ht="14.25" customHeight="1" x14ac:dyDescent="0.25">
      <c r="A134" s="7" t="s">
        <v>704</v>
      </c>
      <c r="B134" s="8" t="s">
        <v>685</v>
      </c>
      <c r="C134" s="8" t="s">
        <v>705</v>
      </c>
      <c r="D134" s="8"/>
      <c r="E134" s="8"/>
      <c r="F134" s="9" t="s">
        <v>706</v>
      </c>
      <c r="G134" s="10" t="s">
        <v>707</v>
      </c>
      <c r="H134" s="10" t="s">
        <v>708</v>
      </c>
      <c r="I134" s="10"/>
    </row>
    <row r="135" spans="1:9" ht="14.25" customHeight="1" x14ac:dyDescent="0.25">
      <c r="A135" s="7" t="s">
        <v>709</v>
      </c>
      <c r="B135" s="8" t="s">
        <v>710</v>
      </c>
      <c r="C135" s="8" t="s">
        <v>711</v>
      </c>
      <c r="D135" s="8"/>
      <c r="E135" s="8"/>
      <c r="F135" s="9" t="s">
        <v>712</v>
      </c>
      <c r="G135" s="10" t="s">
        <v>713</v>
      </c>
      <c r="H135" s="10" t="s">
        <v>714</v>
      </c>
      <c r="I135" s="10"/>
    </row>
    <row r="136" spans="1:9" ht="14.25" customHeight="1" x14ac:dyDescent="0.25">
      <c r="A136" s="7"/>
      <c r="B136" s="8" t="s">
        <v>715</v>
      </c>
      <c r="C136" s="8" t="s">
        <v>716</v>
      </c>
      <c r="D136" s="8"/>
      <c r="E136" s="8"/>
      <c r="F136" s="9" t="s">
        <v>717</v>
      </c>
      <c r="G136" s="10" t="s">
        <v>718</v>
      </c>
      <c r="H136" s="10" t="s">
        <v>719</v>
      </c>
      <c r="I136" s="10"/>
    </row>
    <row r="137" spans="1:9" ht="14.25" customHeight="1" x14ac:dyDescent="0.25">
      <c r="A137" s="7" t="s">
        <v>720</v>
      </c>
      <c r="B137" s="8" t="s">
        <v>721</v>
      </c>
      <c r="C137" s="8" t="s">
        <v>722</v>
      </c>
      <c r="D137" s="8"/>
      <c r="E137" s="8"/>
      <c r="F137" s="9" t="s">
        <v>723</v>
      </c>
      <c r="G137" s="10" t="s">
        <v>724</v>
      </c>
      <c r="H137" s="10" t="s">
        <v>725</v>
      </c>
      <c r="I137" s="10"/>
    </row>
    <row r="138" spans="1:9" ht="14.25" customHeight="1" x14ac:dyDescent="0.25">
      <c r="A138" s="7"/>
      <c r="B138" s="8" t="s">
        <v>726</v>
      </c>
      <c r="C138" s="8" t="s">
        <v>727</v>
      </c>
      <c r="D138" s="8"/>
      <c r="E138" s="8"/>
      <c r="F138" s="9" t="s">
        <v>728</v>
      </c>
      <c r="G138" s="10" t="s">
        <v>729</v>
      </c>
      <c r="H138" s="10" t="s">
        <v>730</v>
      </c>
      <c r="I138" s="10"/>
    </row>
    <row r="139" spans="1:9" ht="14.25" customHeight="1" x14ac:dyDescent="0.25">
      <c r="A139" s="7" t="s">
        <v>731</v>
      </c>
      <c r="B139" s="8" t="s">
        <v>726</v>
      </c>
      <c r="C139" s="8" t="s">
        <v>732</v>
      </c>
      <c r="D139" s="8"/>
      <c r="E139" s="8"/>
      <c r="F139" s="9" t="s">
        <v>733</v>
      </c>
      <c r="G139" s="10" t="s">
        <v>734</v>
      </c>
      <c r="H139" s="10" t="s">
        <v>735</v>
      </c>
      <c r="I139" s="10"/>
    </row>
    <row r="140" spans="1:9" ht="14.25" customHeight="1" x14ac:dyDescent="0.25">
      <c r="A140" s="7" t="s">
        <v>736</v>
      </c>
      <c r="B140" s="8" t="s">
        <v>737</v>
      </c>
      <c r="C140" s="8" t="s">
        <v>738</v>
      </c>
      <c r="D140" s="8"/>
      <c r="E140" s="8"/>
      <c r="F140" s="9" t="s">
        <v>739</v>
      </c>
      <c r="G140" s="10" t="s">
        <v>740</v>
      </c>
      <c r="H140" s="10" t="s">
        <v>741</v>
      </c>
      <c r="I140" s="10"/>
    </row>
    <row r="141" spans="1:9" ht="14.25" customHeight="1" x14ac:dyDescent="0.25">
      <c r="A141" s="7" t="s">
        <v>742</v>
      </c>
      <c r="B141" s="8" t="s">
        <v>743</v>
      </c>
      <c r="C141" s="8" t="s">
        <v>744</v>
      </c>
      <c r="D141" s="8"/>
      <c r="E141" s="8"/>
      <c r="F141" s="9" t="s">
        <v>745</v>
      </c>
      <c r="G141" s="10" t="s">
        <v>746</v>
      </c>
      <c r="H141" s="10" t="s">
        <v>747</v>
      </c>
      <c r="I141" s="10"/>
    </row>
    <row r="142" spans="1:9" ht="14.25" customHeight="1" x14ac:dyDescent="0.25">
      <c r="A142" s="7" t="s">
        <v>748</v>
      </c>
      <c r="B142" s="8" t="s">
        <v>749</v>
      </c>
      <c r="C142" s="8" t="s">
        <v>750</v>
      </c>
      <c r="D142" s="8"/>
      <c r="E142" s="8"/>
      <c r="F142" s="9" t="s">
        <v>751</v>
      </c>
      <c r="G142" s="10" t="s">
        <v>752</v>
      </c>
      <c r="H142" s="10" t="s">
        <v>753</v>
      </c>
      <c r="I142" s="10"/>
    </row>
    <row r="143" spans="1:9" ht="14.25" customHeight="1" x14ac:dyDescent="0.25">
      <c r="A143" s="7"/>
      <c r="B143" s="8" t="s">
        <v>754</v>
      </c>
      <c r="C143" s="8" t="s">
        <v>755</v>
      </c>
      <c r="D143" s="8"/>
      <c r="E143" s="8"/>
      <c r="F143" s="9" t="s">
        <v>756</v>
      </c>
      <c r="G143" s="10" t="s">
        <v>757</v>
      </c>
      <c r="H143" s="10" t="s">
        <v>758</v>
      </c>
      <c r="I143" s="10"/>
    </row>
    <row r="144" spans="1:9" ht="14.25" customHeight="1" x14ac:dyDescent="0.25">
      <c r="A144" s="7" t="s">
        <v>759</v>
      </c>
      <c r="B144" s="8" t="s">
        <v>760</v>
      </c>
      <c r="C144" s="8" t="s">
        <v>761</v>
      </c>
      <c r="D144" s="8"/>
      <c r="E144" s="8"/>
      <c r="F144" s="9" t="s">
        <v>762</v>
      </c>
      <c r="G144" s="10" t="s">
        <v>763</v>
      </c>
      <c r="H144" s="10" t="s">
        <v>764</v>
      </c>
      <c r="I144" s="10"/>
    </row>
    <row r="145" spans="1:9" ht="14.25" customHeight="1" x14ac:dyDescent="0.25">
      <c r="A145" s="7"/>
      <c r="B145" s="8" t="s">
        <v>765</v>
      </c>
      <c r="C145" s="8" t="s">
        <v>766</v>
      </c>
      <c r="D145" s="8"/>
      <c r="E145" s="8"/>
      <c r="F145" s="9" t="s">
        <v>767</v>
      </c>
      <c r="G145" s="10" t="s">
        <v>768</v>
      </c>
      <c r="H145" s="10" t="s">
        <v>769</v>
      </c>
      <c r="I145" s="10"/>
    </row>
    <row r="146" spans="1:9" ht="14.25" customHeight="1" x14ac:dyDescent="0.25">
      <c r="A146" s="7" t="s">
        <v>770</v>
      </c>
      <c r="B146" s="8" t="s">
        <v>771</v>
      </c>
      <c r="C146" s="8" t="s">
        <v>772</v>
      </c>
      <c r="D146" s="8"/>
      <c r="E146" s="8"/>
      <c r="F146" s="9" t="s">
        <v>773</v>
      </c>
      <c r="G146" s="10" t="s">
        <v>774</v>
      </c>
      <c r="H146" s="10" t="s">
        <v>775</v>
      </c>
      <c r="I146" s="10"/>
    </row>
    <row r="147" spans="1:9" ht="14.25" customHeight="1" x14ac:dyDescent="0.25">
      <c r="A147" s="7" t="s">
        <v>776</v>
      </c>
      <c r="B147" s="8" t="s">
        <v>777</v>
      </c>
      <c r="C147" s="8" t="s">
        <v>778</v>
      </c>
      <c r="D147" s="8"/>
      <c r="E147" s="8"/>
      <c r="F147" s="9" t="s">
        <v>779</v>
      </c>
      <c r="G147" s="10" t="s">
        <v>780</v>
      </c>
      <c r="H147" s="10" t="s">
        <v>781</v>
      </c>
      <c r="I147" s="10"/>
    </row>
    <row r="148" spans="1:9" ht="14.25" customHeight="1" x14ac:dyDescent="0.25">
      <c r="A148" s="7" t="s">
        <v>782</v>
      </c>
      <c r="B148" s="8" t="s">
        <v>58</v>
      </c>
      <c r="C148" s="8" t="s">
        <v>783</v>
      </c>
      <c r="D148" s="8"/>
      <c r="E148" s="8"/>
      <c r="F148" s="9" t="s">
        <v>784</v>
      </c>
      <c r="G148" s="10" t="s">
        <v>785</v>
      </c>
      <c r="H148" s="10" t="s">
        <v>786</v>
      </c>
      <c r="I148" s="10"/>
    </row>
    <row r="149" spans="1:9" ht="14.25" customHeight="1" x14ac:dyDescent="0.25">
      <c r="A149" s="7"/>
      <c r="B149" s="8" t="s">
        <v>787</v>
      </c>
      <c r="C149" s="8" t="s">
        <v>788</v>
      </c>
      <c r="D149" s="8"/>
      <c r="E149" s="8"/>
      <c r="F149" s="9" t="s">
        <v>789</v>
      </c>
      <c r="G149" s="10" t="s">
        <v>790</v>
      </c>
      <c r="H149" s="10" t="s">
        <v>791</v>
      </c>
      <c r="I149" s="10"/>
    </row>
    <row r="150" spans="1:9" ht="14.25" customHeight="1" x14ac:dyDescent="0.25">
      <c r="A150" s="7" t="s">
        <v>792</v>
      </c>
      <c r="B150" s="8" t="s">
        <v>793</v>
      </c>
      <c r="C150" s="8" t="s">
        <v>794</v>
      </c>
      <c r="D150" s="8"/>
      <c r="E150" s="8"/>
      <c r="F150" s="9" t="s">
        <v>795</v>
      </c>
      <c r="G150" s="10" t="s">
        <v>796</v>
      </c>
      <c r="H150" s="10" t="s">
        <v>797</v>
      </c>
      <c r="I150" s="10"/>
    </row>
    <row r="151" spans="1:9" ht="14.25" customHeight="1" x14ac:dyDescent="0.25">
      <c r="A151" s="7" t="s">
        <v>798</v>
      </c>
      <c r="B151" s="8" t="s">
        <v>799</v>
      </c>
      <c r="C151" s="8" t="s">
        <v>800</v>
      </c>
      <c r="D151" s="8"/>
      <c r="E151" s="8"/>
      <c r="F151" s="9" t="s">
        <v>801</v>
      </c>
      <c r="G151" s="10" t="s">
        <v>802</v>
      </c>
      <c r="H151" s="10" t="s">
        <v>803</v>
      </c>
      <c r="I151" s="10"/>
    </row>
    <row r="152" spans="1:9" ht="14.25" customHeight="1" x14ac:dyDescent="0.25">
      <c r="A152" s="7" t="s">
        <v>804</v>
      </c>
      <c r="B152" s="8" t="s">
        <v>799</v>
      </c>
      <c r="C152" s="8" t="s">
        <v>805</v>
      </c>
      <c r="D152" s="8"/>
      <c r="E152" s="8"/>
      <c r="F152" s="9" t="s">
        <v>806</v>
      </c>
      <c r="G152" s="10" t="s">
        <v>807</v>
      </c>
      <c r="H152" s="10" t="s">
        <v>808</v>
      </c>
      <c r="I152" s="10"/>
    </row>
    <row r="153" spans="1:9" ht="14.25" customHeight="1" x14ac:dyDescent="0.25">
      <c r="A153" s="7"/>
      <c r="B153" s="8" t="s">
        <v>799</v>
      </c>
      <c r="C153" s="8" t="s">
        <v>809</v>
      </c>
      <c r="D153" s="8"/>
      <c r="E153" s="8"/>
      <c r="F153" s="9" t="s">
        <v>810</v>
      </c>
      <c r="G153" s="10" t="s">
        <v>811</v>
      </c>
      <c r="H153" s="10" t="s">
        <v>812</v>
      </c>
      <c r="I153" s="10"/>
    </row>
    <row r="154" spans="1:9" ht="14.25" customHeight="1" x14ac:dyDescent="0.25">
      <c r="A154" s="7" t="s">
        <v>813</v>
      </c>
      <c r="B154" s="8" t="s">
        <v>814</v>
      </c>
      <c r="C154" s="8" t="s">
        <v>815</v>
      </c>
      <c r="D154" s="8"/>
      <c r="E154" s="8"/>
      <c r="F154" s="9" t="s">
        <v>816</v>
      </c>
      <c r="G154" s="10" t="s">
        <v>817</v>
      </c>
      <c r="H154" s="10" t="s">
        <v>818</v>
      </c>
      <c r="I154" s="10"/>
    </row>
    <row r="155" spans="1:9" ht="14.25" customHeight="1" x14ac:dyDescent="0.25">
      <c r="A155" s="7" t="s">
        <v>819</v>
      </c>
      <c r="B155" s="8" t="s">
        <v>820</v>
      </c>
      <c r="C155" s="8" t="s">
        <v>821</v>
      </c>
      <c r="D155" s="8"/>
      <c r="E155" s="8"/>
      <c r="F155" s="9" t="s">
        <v>822</v>
      </c>
      <c r="G155" s="10" t="s">
        <v>823</v>
      </c>
      <c r="H155" s="10" t="s">
        <v>824</v>
      </c>
      <c r="I155" s="10"/>
    </row>
    <row r="156" spans="1:9" ht="14.25" customHeight="1" x14ac:dyDescent="0.25">
      <c r="A156" s="7" t="s">
        <v>825</v>
      </c>
      <c r="B156" s="8" t="s">
        <v>826</v>
      </c>
      <c r="C156" s="8" t="s">
        <v>827</v>
      </c>
      <c r="D156" s="8"/>
      <c r="E156" s="8"/>
      <c r="F156" s="9" t="s">
        <v>828</v>
      </c>
      <c r="G156" s="10" t="s">
        <v>829</v>
      </c>
      <c r="H156" s="10" t="s">
        <v>830</v>
      </c>
      <c r="I156" s="10"/>
    </row>
    <row r="157" spans="1:9" ht="14.25" customHeight="1" x14ac:dyDescent="0.25">
      <c r="A157" s="7" t="s">
        <v>831</v>
      </c>
      <c r="B157" s="8" t="s">
        <v>832</v>
      </c>
      <c r="C157" s="8" t="s">
        <v>833</v>
      </c>
      <c r="D157" s="8"/>
      <c r="E157" s="8"/>
      <c r="F157" s="9" t="s">
        <v>834</v>
      </c>
      <c r="G157" s="10" t="s">
        <v>835</v>
      </c>
      <c r="H157" s="10" t="s">
        <v>836</v>
      </c>
      <c r="I157" s="10"/>
    </row>
    <row r="158" spans="1:9" ht="14.25" customHeight="1" x14ac:dyDescent="0.25">
      <c r="A158" s="7" t="s">
        <v>837</v>
      </c>
      <c r="B158" s="8" t="s">
        <v>838</v>
      </c>
      <c r="C158" s="8" t="s">
        <v>670</v>
      </c>
      <c r="D158" s="8"/>
      <c r="E158" s="8"/>
      <c r="F158" s="9" t="s">
        <v>839</v>
      </c>
      <c r="G158" s="10" t="s">
        <v>840</v>
      </c>
      <c r="H158" s="10" t="s">
        <v>841</v>
      </c>
      <c r="I158" s="10"/>
    </row>
    <row r="159" spans="1:9" ht="14.25" customHeight="1" x14ac:dyDescent="0.25">
      <c r="A159" s="7"/>
      <c r="B159" s="8" t="s">
        <v>842</v>
      </c>
      <c r="C159" s="8" t="s">
        <v>843</v>
      </c>
      <c r="D159" s="8"/>
      <c r="E159" s="8"/>
      <c r="F159" s="9" t="s">
        <v>844</v>
      </c>
      <c r="G159" s="10" t="s">
        <v>845</v>
      </c>
      <c r="H159" s="10" t="s">
        <v>846</v>
      </c>
      <c r="I159" s="10"/>
    </row>
    <row r="160" spans="1:9" ht="14.25" customHeight="1" x14ac:dyDescent="0.25">
      <c r="A160" s="7"/>
      <c r="B160" s="8" t="s">
        <v>847</v>
      </c>
      <c r="C160" s="8" t="s">
        <v>848</v>
      </c>
      <c r="D160" s="8"/>
      <c r="E160" s="8"/>
      <c r="F160" s="9" t="s">
        <v>849</v>
      </c>
      <c r="G160" s="10" t="s">
        <v>850</v>
      </c>
      <c r="H160" s="10" t="s">
        <v>851</v>
      </c>
      <c r="I160" s="10"/>
    </row>
    <row r="161" spans="1:9" ht="14.25" customHeight="1" x14ac:dyDescent="0.25">
      <c r="A161" s="7" t="s">
        <v>852</v>
      </c>
      <c r="B161" s="8" t="s">
        <v>853</v>
      </c>
      <c r="C161" s="8" t="s">
        <v>854</v>
      </c>
      <c r="D161" s="8"/>
      <c r="E161" s="8"/>
      <c r="F161" s="9" t="s">
        <v>855</v>
      </c>
      <c r="G161" s="10" t="s">
        <v>856</v>
      </c>
      <c r="H161" s="10" t="s">
        <v>857</v>
      </c>
      <c r="I161" s="10"/>
    </row>
    <row r="162" spans="1:9" ht="14.25" customHeight="1" x14ac:dyDescent="0.25">
      <c r="A162" s="7" t="s">
        <v>858</v>
      </c>
      <c r="B162" s="8" t="s">
        <v>859</v>
      </c>
      <c r="C162" s="8" t="s">
        <v>860</v>
      </c>
      <c r="D162" s="8"/>
      <c r="E162" s="8"/>
      <c r="F162" s="9" t="s">
        <v>861</v>
      </c>
      <c r="G162" s="10" t="s">
        <v>862</v>
      </c>
      <c r="H162" s="10" t="s">
        <v>863</v>
      </c>
      <c r="I162" s="10"/>
    </row>
    <row r="163" spans="1:9" ht="14.25" customHeight="1" x14ac:dyDescent="0.25">
      <c r="A163" s="7" t="s">
        <v>864</v>
      </c>
      <c r="B163" s="8" t="s">
        <v>865</v>
      </c>
      <c r="C163" s="8" t="s">
        <v>866</v>
      </c>
      <c r="D163" s="8"/>
      <c r="E163" s="8"/>
      <c r="F163" s="9" t="s">
        <v>867</v>
      </c>
      <c r="G163" s="10" t="s">
        <v>868</v>
      </c>
      <c r="H163" s="10" t="s">
        <v>869</v>
      </c>
      <c r="I163" s="10"/>
    </row>
    <row r="164" spans="1:9" ht="14.25" customHeight="1" x14ac:dyDescent="0.25">
      <c r="A164" s="7" t="s">
        <v>870</v>
      </c>
      <c r="B164" s="8" t="s">
        <v>871</v>
      </c>
      <c r="C164" s="8" t="s">
        <v>872</v>
      </c>
      <c r="D164" s="8"/>
      <c r="E164" s="8"/>
      <c r="F164" s="9" t="s">
        <v>873</v>
      </c>
      <c r="G164" s="10" t="s">
        <v>874</v>
      </c>
      <c r="H164" s="10" t="s">
        <v>875</v>
      </c>
      <c r="I164" s="10"/>
    </row>
    <row r="165" spans="1:9" ht="14.25" customHeight="1" x14ac:dyDescent="0.25">
      <c r="A165" s="7" t="s">
        <v>876</v>
      </c>
      <c r="B165" s="8" t="s">
        <v>877</v>
      </c>
      <c r="C165" s="8" t="s">
        <v>878</v>
      </c>
      <c r="D165" s="8"/>
      <c r="E165" s="8"/>
      <c r="F165" s="9" t="s">
        <v>879</v>
      </c>
      <c r="G165" s="10" t="s">
        <v>880</v>
      </c>
      <c r="H165" s="10" t="s">
        <v>881</v>
      </c>
      <c r="I165" s="10"/>
    </row>
    <row r="166" spans="1:9" ht="14.25" customHeight="1" x14ac:dyDescent="0.25">
      <c r="A166" s="7" t="s">
        <v>882</v>
      </c>
      <c r="B166" s="8" t="s">
        <v>883</v>
      </c>
      <c r="C166" s="8" t="s">
        <v>884</v>
      </c>
      <c r="D166" s="8"/>
      <c r="E166" s="8"/>
      <c r="F166" s="9" t="s">
        <v>885</v>
      </c>
      <c r="G166" s="10" t="s">
        <v>886</v>
      </c>
      <c r="H166" s="10" t="s">
        <v>887</v>
      </c>
      <c r="I166" s="10"/>
    </row>
    <row r="167" spans="1:9" ht="14.25" customHeight="1" x14ac:dyDescent="0.25">
      <c r="A167" s="7" t="s">
        <v>888</v>
      </c>
      <c r="B167" s="8" t="s">
        <v>889</v>
      </c>
      <c r="C167" s="8" t="s">
        <v>890</v>
      </c>
      <c r="D167" s="8"/>
      <c r="E167" s="8"/>
      <c r="F167" s="9" t="s">
        <v>891</v>
      </c>
      <c r="G167" s="10" t="s">
        <v>892</v>
      </c>
      <c r="H167" s="10" t="s">
        <v>893</v>
      </c>
      <c r="I167" s="10"/>
    </row>
    <row r="168" spans="1:9" ht="14.25" customHeight="1" x14ac:dyDescent="0.25">
      <c r="A168" s="7" t="s">
        <v>894</v>
      </c>
      <c r="B168" s="8" t="s">
        <v>895</v>
      </c>
      <c r="C168" s="8" t="s">
        <v>896</v>
      </c>
      <c r="D168" s="8"/>
      <c r="E168" s="8"/>
      <c r="F168" s="9" t="s">
        <v>897</v>
      </c>
      <c r="G168" s="10" t="s">
        <v>898</v>
      </c>
      <c r="H168" s="10" t="s">
        <v>899</v>
      </c>
      <c r="I168" s="10"/>
    </row>
    <row r="169" spans="1:9" ht="14.25" customHeight="1" x14ac:dyDescent="0.25">
      <c r="A169" s="7"/>
      <c r="B169" s="8" t="s">
        <v>900</v>
      </c>
      <c r="C169" s="8" t="s">
        <v>901</v>
      </c>
      <c r="D169" s="8"/>
      <c r="E169" s="8"/>
      <c r="F169" s="9" t="s">
        <v>902</v>
      </c>
      <c r="G169" s="10" t="s">
        <v>903</v>
      </c>
      <c r="H169" s="10" t="s">
        <v>904</v>
      </c>
      <c r="I169" s="10"/>
    </row>
    <row r="170" spans="1:9" ht="14.25" customHeight="1" x14ac:dyDescent="0.25">
      <c r="A170" s="7"/>
      <c r="B170" s="8" t="s">
        <v>905</v>
      </c>
      <c r="C170" s="8" t="s">
        <v>906</v>
      </c>
      <c r="D170" s="8"/>
      <c r="E170" s="8"/>
      <c r="F170" s="9" t="s">
        <v>907</v>
      </c>
      <c r="G170" s="10" t="s">
        <v>908</v>
      </c>
      <c r="H170" s="10" t="s">
        <v>909</v>
      </c>
      <c r="I170" s="10"/>
    </row>
    <row r="171" spans="1:9" ht="14.25" customHeight="1" x14ac:dyDescent="0.25">
      <c r="A171" s="7"/>
      <c r="B171" s="8" t="s">
        <v>910</v>
      </c>
      <c r="C171" s="8" t="s">
        <v>911</v>
      </c>
      <c r="D171" s="8"/>
      <c r="E171" s="8"/>
      <c r="F171" s="9" t="s">
        <v>912</v>
      </c>
      <c r="G171" s="10" t="s">
        <v>913</v>
      </c>
      <c r="H171" s="10" t="s">
        <v>914</v>
      </c>
      <c r="I171" s="10"/>
    </row>
    <row r="172" spans="1:9" ht="14.25" customHeight="1" x14ac:dyDescent="0.25">
      <c r="A172" s="7" t="s">
        <v>915</v>
      </c>
      <c r="B172" s="8" t="s">
        <v>916</v>
      </c>
      <c r="C172" s="8" t="s">
        <v>917</v>
      </c>
      <c r="D172" s="8"/>
      <c r="E172" s="8"/>
      <c r="F172" s="9" t="s">
        <v>918</v>
      </c>
      <c r="G172" s="10" t="s">
        <v>919</v>
      </c>
      <c r="H172" s="10" t="s">
        <v>920</v>
      </c>
      <c r="I172" s="10"/>
    </row>
    <row r="173" spans="1:9" ht="14.25" customHeight="1" x14ac:dyDescent="0.25">
      <c r="A173" s="7" t="s">
        <v>921</v>
      </c>
      <c r="B173" s="8" t="s">
        <v>922</v>
      </c>
      <c r="C173" s="8" t="s">
        <v>923</v>
      </c>
      <c r="D173" s="8"/>
      <c r="E173" s="8"/>
      <c r="F173" s="9" t="s">
        <v>924</v>
      </c>
      <c r="G173" s="10" t="s">
        <v>925</v>
      </c>
      <c r="H173" s="10" t="s">
        <v>926</v>
      </c>
      <c r="I173" s="10"/>
    </row>
    <row r="174" spans="1:9" ht="14.25" customHeight="1" x14ac:dyDescent="0.25">
      <c r="A174" s="7"/>
      <c r="B174" s="8" t="s">
        <v>927</v>
      </c>
      <c r="C174" s="8" t="s">
        <v>928</v>
      </c>
      <c r="D174" s="8"/>
      <c r="E174" s="8"/>
      <c r="F174" s="9" t="s">
        <v>929</v>
      </c>
      <c r="G174" s="10" t="s">
        <v>930</v>
      </c>
      <c r="H174" s="10" t="s">
        <v>931</v>
      </c>
      <c r="I174" s="10"/>
    </row>
    <row r="175" spans="1:9" ht="14.25" customHeight="1" x14ac:dyDescent="0.25">
      <c r="A175" s="7" t="s">
        <v>932</v>
      </c>
      <c r="B175" s="8" t="s">
        <v>933</v>
      </c>
      <c r="C175" s="8" t="s">
        <v>934</v>
      </c>
      <c r="D175" s="8"/>
      <c r="E175" s="8"/>
      <c r="F175" s="9" t="s">
        <v>935</v>
      </c>
      <c r="G175" s="10" t="s">
        <v>936</v>
      </c>
      <c r="H175" s="10" t="s">
        <v>937</v>
      </c>
      <c r="I175" s="10"/>
    </row>
    <row r="176" spans="1:9" ht="14.25" customHeight="1" x14ac:dyDescent="0.25">
      <c r="A176" s="7" t="s">
        <v>938</v>
      </c>
      <c r="B176" s="8" t="s">
        <v>933</v>
      </c>
      <c r="C176" s="8" t="s">
        <v>939</v>
      </c>
      <c r="D176" s="8"/>
      <c r="E176" s="8"/>
      <c r="F176" s="9" t="s">
        <v>940</v>
      </c>
      <c r="G176" s="10" t="s">
        <v>941</v>
      </c>
      <c r="H176" s="10" t="s">
        <v>942</v>
      </c>
      <c r="I176" s="10"/>
    </row>
    <row r="177" spans="1:9" ht="14.25" customHeight="1" x14ac:dyDescent="0.25">
      <c r="A177" s="7" t="s">
        <v>943</v>
      </c>
      <c r="B177" s="8" t="s">
        <v>944</v>
      </c>
      <c r="C177" s="8" t="s">
        <v>945</v>
      </c>
      <c r="D177" s="8"/>
      <c r="E177" s="8"/>
      <c r="F177" s="9" t="s">
        <v>946</v>
      </c>
      <c r="G177" s="10" t="s">
        <v>947</v>
      </c>
      <c r="H177" s="10" t="s">
        <v>948</v>
      </c>
      <c r="I177" s="10"/>
    </row>
    <row r="178" spans="1:9" ht="14.25" customHeight="1" x14ac:dyDescent="0.25">
      <c r="A178" s="7" t="s">
        <v>949</v>
      </c>
      <c r="B178" s="8" t="s">
        <v>950</v>
      </c>
      <c r="C178" s="8" t="s">
        <v>951</v>
      </c>
      <c r="D178" s="8"/>
      <c r="E178" s="8"/>
      <c r="F178" s="9" t="s">
        <v>952</v>
      </c>
      <c r="G178" s="10" t="s">
        <v>953</v>
      </c>
      <c r="H178" s="10" t="s">
        <v>954</v>
      </c>
      <c r="I178" s="10"/>
    </row>
    <row r="179" spans="1:9" ht="14.25" customHeight="1" x14ac:dyDescent="0.25">
      <c r="A179" s="7" t="s">
        <v>955</v>
      </c>
      <c r="B179" s="8" t="s">
        <v>956</v>
      </c>
      <c r="C179" s="8" t="s">
        <v>957</v>
      </c>
      <c r="D179" s="8"/>
      <c r="E179" s="8"/>
      <c r="F179" s="9" t="s">
        <v>958</v>
      </c>
      <c r="G179" s="10" t="s">
        <v>959</v>
      </c>
      <c r="H179" s="10" t="s">
        <v>960</v>
      </c>
      <c r="I179" s="10"/>
    </row>
    <row r="180" spans="1:9" ht="14.25" customHeight="1" x14ac:dyDescent="0.25">
      <c r="A180" s="7"/>
      <c r="B180" s="8" t="s">
        <v>961</v>
      </c>
      <c r="C180" s="8" t="s">
        <v>962</v>
      </c>
      <c r="D180" s="8"/>
      <c r="E180" s="8"/>
      <c r="F180" s="9" t="s">
        <v>963</v>
      </c>
      <c r="G180" s="10" t="s">
        <v>964</v>
      </c>
      <c r="H180" s="10" t="s">
        <v>965</v>
      </c>
      <c r="I180" s="10"/>
    </row>
    <row r="181" spans="1:9" ht="14.25" customHeight="1" x14ac:dyDescent="0.25">
      <c r="A181" s="7"/>
      <c r="B181" s="8" t="s">
        <v>966</v>
      </c>
      <c r="C181" s="8" t="s">
        <v>967</v>
      </c>
      <c r="D181" s="8"/>
      <c r="E181" s="8"/>
      <c r="F181" s="9" t="s">
        <v>968</v>
      </c>
      <c r="G181" s="10" t="s">
        <v>969</v>
      </c>
      <c r="H181" s="10" t="s">
        <v>970</v>
      </c>
      <c r="I181" s="10"/>
    </row>
    <row r="182" spans="1:9" ht="14.25" customHeight="1" x14ac:dyDescent="0.25">
      <c r="A182" s="7" t="s">
        <v>971</v>
      </c>
      <c r="B182" s="8" t="s">
        <v>966</v>
      </c>
      <c r="C182" s="8" t="s">
        <v>972</v>
      </c>
      <c r="D182" s="8"/>
      <c r="E182" s="8"/>
      <c r="F182" s="9" t="s">
        <v>973</v>
      </c>
      <c r="G182" s="10" t="s">
        <v>974</v>
      </c>
      <c r="H182" s="10" t="s">
        <v>975</v>
      </c>
      <c r="I182" s="10"/>
    </row>
    <row r="183" spans="1:9" ht="14.25" customHeight="1" x14ac:dyDescent="0.25">
      <c r="A183" s="7"/>
      <c r="B183" s="8" t="s">
        <v>976</v>
      </c>
      <c r="C183" s="8" t="s">
        <v>977</v>
      </c>
      <c r="D183" s="8"/>
      <c r="E183" s="8"/>
      <c r="F183" s="9" t="s">
        <v>978</v>
      </c>
      <c r="G183" s="10" t="s">
        <v>979</v>
      </c>
      <c r="H183" s="10" t="s">
        <v>980</v>
      </c>
      <c r="I183" s="10"/>
    </row>
    <row r="184" spans="1:9" ht="14.25" customHeight="1" x14ac:dyDescent="0.25">
      <c r="A184" s="7" t="s">
        <v>981</v>
      </c>
      <c r="B184" s="8" t="s">
        <v>982</v>
      </c>
      <c r="C184" s="8" t="s">
        <v>983</v>
      </c>
      <c r="D184" s="8"/>
      <c r="E184" s="8"/>
      <c r="F184" s="9" t="s">
        <v>984</v>
      </c>
      <c r="G184" s="10" t="s">
        <v>985</v>
      </c>
      <c r="H184" s="10" t="s">
        <v>986</v>
      </c>
      <c r="I184" s="10"/>
    </row>
    <row r="185" spans="1:9" ht="14.25" customHeight="1" x14ac:dyDescent="0.25">
      <c r="A185" s="7"/>
      <c r="B185" s="8" t="s">
        <v>987</v>
      </c>
      <c r="C185" s="8" t="s">
        <v>988</v>
      </c>
      <c r="D185" s="8"/>
      <c r="E185" s="8"/>
      <c r="F185" s="9" t="s">
        <v>989</v>
      </c>
      <c r="G185" s="10" t="s">
        <v>990</v>
      </c>
      <c r="H185" s="10" t="s">
        <v>991</v>
      </c>
      <c r="I185" s="10"/>
    </row>
    <row r="186" spans="1:9" ht="14.25" customHeight="1" x14ac:dyDescent="0.25">
      <c r="A186" s="7" t="s">
        <v>992</v>
      </c>
      <c r="B186" s="8" t="s">
        <v>993</v>
      </c>
      <c r="C186" s="8" t="s">
        <v>994</v>
      </c>
      <c r="D186" s="8"/>
      <c r="E186" s="8"/>
      <c r="F186" s="9" t="s">
        <v>995</v>
      </c>
      <c r="G186" s="10" t="s">
        <v>996</v>
      </c>
      <c r="H186" s="10" t="s">
        <v>997</v>
      </c>
      <c r="I186" s="10"/>
    </row>
    <row r="187" spans="1:9" ht="14.25" customHeight="1" x14ac:dyDescent="0.25">
      <c r="A187" s="7" t="s">
        <v>998</v>
      </c>
      <c r="B187" s="8" t="s">
        <v>999</v>
      </c>
      <c r="C187" s="8" t="s">
        <v>1000</v>
      </c>
      <c r="D187" s="8"/>
      <c r="E187" s="8"/>
      <c r="F187" s="9" t="s">
        <v>1001</v>
      </c>
      <c r="G187" s="10" t="s">
        <v>1002</v>
      </c>
      <c r="H187" s="10" t="s">
        <v>1003</v>
      </c>
      <c r="I187" s="10"/>
    </row>
    <row r="188" spans="1:9" ht="14.25" customHeight="1" x14ac:dyDescent="0.25">
      <c r="A188" s="7"/>
      <c r="B188" s="8" t="s">
        <v>1004</v>
      </c>
      <c r="C188" s="8" t="s">
        <v>1005</v>
      </c>
      <c r="D188" s="8"/>
      <c r="E188" s="8"/>
      <c r="F188" s="9" t="s">
        <v>1006</v>
      </c>
      <c r="G188" s="10" t="s">
        <v>1007</v>
      </c>
      <c r="H188" s="10" t="s">
        <v>1008</v>
      </c>
      <c r="I188" s="10"/>
    </row>
    <row r="189" spans="1:9" ht="14.25" customHeight="1" x14ac:dyDescent="0.25">
      <c r="A189" s="7"/>
      <c r="B189" s="8" t="s">
        <v>1009</v>
      </c>
      <c r="C189" s="8" t="s">
        <v>1010</v>
      </c>
      <c r="D189" s="8"/>
      <c r="E189" s="8"/>
      <c r="F189" s="9" t="s">
        <v>1011</v>
      </c>
      <c r="G189" s="10" t="s">
        <v>1012</v>
      </c>
      <c r="H189" s="10" t="s">
        <v>1013</v>
      </c>
      <c r="I189" s="10"/>
    </row>
    <row r="190" spans="1:9" ht="14.25" customHeight="1" x14ac:dyDescent="0.25">
      <c r="A190" s="7" t="s">
        <v>1014</v>
      </c>
      <c r="B190" s="8" t="s">
        <v>1015</v>
      </c>
      <c r="C190" s="8" t="s">
        <v>1016</v>
      </c>
      <c r="D190" s="8"/>
      <c r="E190" s="8"/>
      <c r="F190" s="9" t="s">
        <v>1017</v>
      </c>
      <c r="G190" s="10" t="s">
        <v>1018</v>
      </c>
      <c r="H190" s="10" t="s">
        <v>1019</v>
      </c>
      <c r="I190" s="10"/>
    </row>
    <row r="191" spans="1:9" ht="14.25" customHeight="1" x14ac:dyDescent="0.25">
      <c r="A191" s="7" t="s">
        <v>1020</v>
      </c>
      <c r="B191" s="8" t="s">
        <v>1021</v>
      </c>
      <c r="C191" s="8" t="s">
        <v>1022</v>
      </c>
      <c r="D191" s="8"/>
      <c r="E191" s="8"/>
      <c r="F191" s="9" t="s">
        <v>1023</v>
      </c>
      <c r="G191" s="10" t="s">
        <v>1024</v>
      </c>
      <c r="H191" s="10" t="s">
        <v>1025</v>
      </c>
      <c r="I191" s="10"/>
    </row>
    <row r="192" spans="1:9" ht="14.25" customHeight="1" x14ac:dyDescent="0.25">
      <c r="A192" s="7" t="s">
        <v>1026</v>
      </c>
      <c r="B192" s="8" t="s">
        <v>1021</v>
      </c>
      <c r="C192" s="8" t="s">
        <v>1027</v>
      </c>
      <c r="D192" s="8"/>
      <c r="E192" s="8"/>
      <c r="F192" s="9" t="s">
        <v>1028</v>
      </c>
      <c r="G192" s="10" t="s">
        <v>1029</v>
      </c>
      <c r="H192" s="10" t="s">
        <v>1030</v>
      </c>
      <c r="I192" s="10"/>
    </row>
    <row r="193" spans="1:9" ht="14.25" customHeight="1" x14ac:dyDescent="0.25">
      <c r="A193" s="7" t="s">
        <v>1031</v>
      </c>
      <c r="B193" s="8" t="s">
        <v>1021</v>
      </c>
      <c r="C193" s="8" t="s">
        <v>1032</v>
      </c>
      <c r="D193" s="8"/>
      <c r="E193" s="8"/>
      <c r="F193" s="9" t="s">
        <v>1033</v>
      </c>
      <c r="G193" s="10" t="s">
        <v>1034</v>
      </c>
      <c r="H193" s="10" t="s">
        <v>1035</v>
      </c>
      <c r="I193" s="10"/>
    </row>
    <row r="194" spans="1:9" ht="14.25" customHeight="1" x14ac:dyDescent="0.25">
      <c r="A194" s="7"/>
      <c r="B194" s="8" t="s">
        <v>1036</v>
      </c>
      <c r="C194" s="8" t="s">
        <v>1037</v>
      </c>
      <c r="D194" s="8"/>
      <c r="E194" s="8"/>
      <c r="F194" s="9" t="s">
        <v>1038</v>
      </c>
      <c r="G194" s="10" t="s">
        <v>1039</v>
      </c>
      <c r="H194" s="10" t="s">
        <v>1040</v>
      </c>
      <c r="I194" s="10"/>
    </row>
    <row r="195" spans="1:9" ht="14.25" customHeight="1" x14ac:dyDescent="0.25">
      <c r="A195" s="7" t="s">
        <v>1041</v>
      </c>
      <c r="B195" s="8" t="s">
        <v>1042</v>
      </c>
      <c r="C195" s="8" t="s">
        <v>1043</v>
      </c>
      <c r="D195" s="8"/>
      <c r="E195" s="8"/>
      <c r="F195" s="9" t="s">
        <v>1044</v>
      </c>
      <c r="G195" s="10" t="s">
        <v>1045</v>
      </c>
      <c r="H195" s="10" t="s">
        <v>1046</v>
      </c>
      <c r="I195" s="10"/>
    </row>
    <row r="196" spans="1:9" ht="14.25" customHeight="1" x14ac:dyDescent="0.25">
      <c r="A196" s="7"/>
      <c r="B196" s="8" t="s">
        <v>1047</v>
      </c>
      <c r="C196" s="8" t="s">
        <v>1048</v>
      </c>
      <c r="D196" s="8"/>
      <c r="E196" s="8"/>
      <c r="F196" s="9" t="s">
        <v>1049</v>
      </c>
      <c r="G196" s="10" t="s">
        <v>1050</v>
      </c>
      <c r="H196" s="10" t="s">
        <v>1051</v>
      </c>
      <c r="I196" s="10"/>
    </row>
    <row r="197" spans="1:9" ht="14.25" customHeight="1" x14ac:dyDescent="0.25">
      <c r="A197" s="7" t="s">
        <v>1052</v>
      </c>
      <c r="B197" s="8" t="s">
        <v>1047</v>
      </c>
      <c r="C197" s="8" t="s">
        <v>1053</v>
      </c>
      <c r="D197" s="8"/>
      <c r="E197" s="8"/>
      <c r="F197" s="9" t="s">
        <v>1054</v>
      </c>
      <c r="G197" s="10" t="s">
        <v>1055</v>
      </c>
      <c r="H197" s="10" t="s">
        <v>1056</v>
      </c>
      <c r="I197" s="10"/>
    </row>
    <row r="198" spans="1:9" ht="14.25" customHeight="1" x14ac:dyDescent="0.25">
      <c r="A198" s="7" t="s">
        <v>1057</v>
      </c>
      <c r="B198" s="8" t="s">
        <v>1047</v>
      </c>
      <c r="C198" s="8" t="s">
        <v>1058</v>
      </c>
      <c r="D198" s="8"/>
      <c r="E198" s="8"/>
      <c r="F198" s="9" t="s">
        <v>1059</v>
      </c>
      <c r="G198" s="10" t="s">
        <v>1060</v>
      </c>
      <c r="H198" s="10" t="s">
        <v>1061</v>
      </c>
      <c r="I198" s="10"/>
    </row>
    <row r="199" spans="1:9" ht="14.25" customHeight="1" x14ac:dyDescent="0.25">
      <c r="A199" s="7"/>
      <c r="B199" s="8" t="s">
        <v>1047</v>
      </c>
      <c r="C199" s="8" t="s">
        <v>1027</v>
      </c>
      <c r="D199" s="8"/>
      <c r="E199" s="8"/>
      <c r="F199" s="9" t="s">
        <v>1062</v>
      </c>
      <c r="G199" s="10" t="s">
        <v>1063</v>
      </c>
      <c r="H199" s="10" t="s">
        <v>1064</v>
      </c>
      <c r="I199" s="10"/>
    </row>
    <row r="200" spans="1:9" ht="14.25" customHeight="1" x14ac:dyDescent="0.25">
      <c r="A200" s="7" t="s">
        <v>1065</v>
      </c>
      <c r="B200" s="8" t="s">
        <v>1047</v>
      </c>
      <c r="C200" s="8" t="s">
        <v>1066</v>
      </c>
      <c r="D200" s="8"/>
      <c r="E200" s="8"/>
      <c r="F200" s="9" t="s">
        <v>1067</v>
      </c>
      <c r="G200" s="10" t="s">
        <v>1068</v>
      </c>
      <c r="H200" s="10" t="s">
        <v>1069</v>
      </c>
      <c r="I200" s="10"/>
    </row>
    <row r="201" spans="1:9" ht="14.25" customHeight="1" x14ac:dyDescent="0.25">
      <c r="A201" s="7" t="s">
        <v>1070</v>
      </c>
      <c r="B201" s="8" t="s">
        <v>1071</v>
      </c>
      <c r="C201" s="8" t="s">
        <v>1072</v>
      </c>
      <c r="D201" s="8"/>
      <c r="E201" s="8"/>
      <c r="F201" s="9" t="s">
        <v>1073</v>
      </c>
      <c r="G201" s="10" t="s">
        <v>1074</v>
      </c>
      <c r="H201" s="10" t="s">
        <v>1075</v>
      </c>
      <c r="I201" s="10"/>
    </row>
    <row r="202" spans="1:9" ht="14.25" customHeight="1" x14ac:dyDescent="0.25">
      <c r="A202" s="7" t="s">
        <v>1076</v>
      </c>
      <c r="B202" s="8" t="s">
        <v>1077</v>
      </c>
      <c r="C202" s="8" t="s">
        <v>1078</v>
      </c>
      <c r="D202" s="8"/>
      <c r="E202" s="8"/>
      <c r="F202" s="9" t="s">
        <v>1079</v>
      </c>
      <c r="G202" s="10" t="s">
        <v>1080</v>
      </c>
      <c r="H202" s="10" t="s">
        <v>1081</v>
      </c>
      <c r="I202" s="10"/>
    </row>
    <row r="203" spans="1:9" ht="14.25" customHeight="1" x14ac:dyDescent="0.25">
      <c r="A203" s="7" t="s">
        <v>1082</v>
      </c>
      <c r="B203" s="8" t="s">
        <v>1083</v>
      </c>
      <c r="C203" s="8" t="s">
        <v>1084</v>
      </c>
      <c r="D203" s="8"/>
      <c r="E203" s="8"/>
      <c r="F203" s="9" t="s">
        <v>1085</v>
      </c>
      <c r="G203" s="10" t="s">
        <v>1086</v>
      </c>
      <c r="H203" s="10" t="s">
        <v>1087</v>
      </c>
      <c r="I203" s="10"/>
    </row>
    <row r="204" spans="1:9" ht="14.25" customHeight="1" x14ac:dyDescent="0.25">
      <c r="A204" s="7" t="s">
        <v>1088</v>
      </c>
      <c r="B204" s="8" t="s">
        <v>1089</v>
      </c>
      <c r="C204" s="8" t="s">
        <v>1090</v>
      </c>
      <c r="D204" s="8"/>
      <c r="E204" s="8"/>
      <c r="F204" s="9" t="s">
        <v>1091</v>
      </c>
      <c r="G204" s="10" t="s">
        <v>1092</v>
      </c>
      <c r="H204" s="10" t="s">
        <v>1093</v>
      </c>
      <c r="I204" s="10"/>
    </row>
    <row r="205" spans="1:9" ht="14.25" customHeight="1" x14ac:dyDescent="0.25">
      <c r="A205" s="7" t="s">
        <v>1094</v>
      </c>
      <c r="B205" s="8" t="s">
        <v>1095</v>
      </c>
      <c r="C205" s="8" t="s">
        <v>1096</v>
      </c>
      <c r="D205" s="8"/>
      <c r="E205" s="8"/>
      <c r="F205" s="9" t="s">
        <v>1097</v>
      </c>
      <c r="G205" s="10" t="s">
        <v>1098</v>
      </c>
      <c r="H205" s="10" t="s">
        <v>1099</v>
      </c>
      <c r="I205" s="10"/>
    </row>
    <row r="206" spans="1:9" ht="14.25" customHeight="1" x14ac:dyDescent="0.25">
      <c r="A206" s="7" t="s">
        <v>1100</v>
      </c>
      <c r="B206" s="8" t="s">
        <v>1101</v>
      </c>
      <c r="C206" s="8" t="s">
        <v>1102</v>
      </c>
      <c r="D206" s="8"/>
      <c r="E206" s="8"/>
      <c r="F206" s="9" t="s">
        <v>1103</v>
      </c>
      <c r="G206" s="10" t="s">
        <v>1104</v>
      </c>
      <c r="H206" s="10" t="s">
        <v>1105</v>
      </c>
      <c r="I206" s="10"/>
    </row>
    <row r="207" spans="1:9" ht="14.25" customHeight="1" x14ac:dyDescent="0.25">
      <c r="A207" s="7" t="s">
        <v>1106</v>
      </c>
      <c r="B207" s="8" t="s">
        <v>1107</v>
      </c>
      <c r="C207" s="8" t="s">
        <v>1108</v>
      </c>
      <c r="D207" s="8"/>
      <c r="E207" s="8"/>
      <c r="F207" s="9" t="s">
        <v>1109</v>
      </c>
      <c r="G207" s="10" t="s">
        <v>1110</v>
      </c>
      <c r="H207" s="10" t="s">
        <v>1111</v>
      </c>
      <c r="I207" s="10"/>
    </row>
    <row r="208" spans="1:9" ht="14.25" customHeight="1" x14ac:dyDescent="0.25">
      <c r="A208" s="7" t="s">
        <v>1112</v>
      </c>
      <c r="B208" s="8" t="s">
        <v>1113</v>
      </c>
      <c r="C208" s="8" t="s">
        <v>1114</v>
      </c>
      <c r="D208" s="8"/>
      <c r="E208" s="8"/>
      <c r="F208" s="9" t="s">
        <v>1115</v>
      </c>
      <c r="G208" s="10" t="s">
        <v>1116</v>
      </c>
      <c r="H208" s="10" t="s">
        <v>1117</v>
      </c>
      <c r="I208" s="10"/>
    </row>
    <row r="209" spans="1:9" ht="14.25" customHeight="1" x14ac:dyDescent="0.25">
      <c r="A209" s="7"/>
      <c r="B209" s="8" t="s">
        <v>1113</v>
      </c>
      <c r="C209" s="8" t="s">
        <v>1118</v>
      </c>
      <c r="D209" s="8"/>
      <c r="E209" s="8"/>
      <c r="F209" s="9" t="s">
        <v>1119</v>
      </c>
      <c r="G209" s="10" t="s">
        <v>1120</v>
      </c>
      <c r="H209" s="10" t="s">
        <v>1121</v>
      </c>
      <c r="I209" s="10"/>
    </row>
    <row r="210" spans="1:9" ht="14.25" customHeight="1" x14ac:dyDescent="0.25">
      <c r="A210" s="7" t="s">
        <v>1122</v>
      </c>
      <c r="B210" s="8" t="s">
        <v>1113</v>
      </c>
      <c r="C210" s="8" t="s">
        <v>1123</v>
      </c>
      <c r="D210" s="8"/>
      <c r="E210" s="8"/>
      <c r="F210" s="9" t="s">
        <v>1124</v>
      </c>
      <c r="G210" s="10" t="s">
        <v>1125</v>
      </c>
      <c r="H210" s="10" t="s">
        <v>1126</v>
      </c>
      <c r="I210" s="10"/>
    </row>
    <row r="211" spans="1:9" ht="14.25" customHeight="1" x14ac:dyDescent="0.25">
      <c r="A211" s="7" t="s">
        <v>1127</v>
      </c>
      <c r="B211" s="8" t="s">
        <v>1128</v>
      </c>
      <c r="C211" s="8" t="s">
        <v>1129</v>
      </c>
      <c r="D211" s="8"/>
      <c r="E211" s="8"/>
      <c r="F211" s="9" t="s">
        <v>1130</v>
      </c>
      <c r="G211" s="10" t="s">
        <v>1131</v>
      </c>
      <c r="H211" s="10" t="s">
        <v>1132</v>
      </c>
      <c r="I211" s="10"/>
    </row>
    <row r="212" spans="1:9" ht="14.25" customHeight="1" x14ac:dyDescent="0.25">
      <c r="A212" s="7"/>
      <c r="B212" s="8" t="s">
        <v>1133</v>
      </c>
      <c r="C212" s="8" t="s">
        <v>1134</v>
      </c>
      <c r="D212" s="8"/>
      <c r="E212" s="8"/>
      <c r="F212" s="9" t="s">
        <v>1135</v>
      </c>
      <c r="G212" s="10" t="s">
        <v>1136</v>
      </c>
      <c r="H212" s="10" t="s">
        <v>1137</v>
      </c>
      <c r="I212" s="10"/>
    </row>
    <row r="213" spans="1:9" ht="14.25" customHeight="1" x14ac:dyDescent="0.25">
      <c r="A213" s="7" t="s">
        <v>1138</v>
      </c>
      <c r="B213" s="8" t="s">
        <v>1139</v>
      </c>
      <c r="C213" s="8" t="s">
        <v>1140</v>
      </c>
      <c r="D213" s="8"/>
      <c r="E213" s="8"/>
      <c r="F213" s="9" t="s">
        <v>1141</v>
      </c>
      <c r="G213" s="10" t="s">
        <v>1142</v>
      </c>
      <c r="H213" s="10" t="s">
        <v>1143</v>
      </c>
      <c r="I213" s="10"/>
    </row>
    <row r="214" spans="1:9" ht="14.25" customHeight="1" x14ac:dyDescent="0.25">
      <c r="A214" s="7" t="s">
        <v>1144</v>
      </c>
      <c r="B214" s="8" t="s">
        <v>1145</v>
      </c>
      <c r="C214" s="8" t="s">
        <v>1146</v>
      </c>
      <c r="D214" s="8"/>
      <c r="E214" s="8"/>
      <c r="F214" s="9" t="s">
        <v>1147</v>
      </c>
      <c r="G214" s="10" t="s">
        <v>1148</v>
      </c>
      <c r="H214" s="10" t="s">
        <v>1149</v>
      </c>
      <c r="I214" s="10"/>
    </row>
    <row r="215" spans="1:9" ht="14.25" customHeight="1" x14ac:dyDescent="0.25">
      <c r="A215" s="7"/>
      <c r="B215" s="8" t="s">
        <v>1150</v>
      </c>
      <c r="C215" s="8" t="s">
        <v>1151</v>
      </c>
      <c r="D215" s="8"/>
      <c r="E215" s="8"/>
      <c r="F215" s="9" t="s">
        <v>1152</v>
      </c>
      <c r="G215" s="10" t="s">
        <v>1153</v>
      </c>
      <c r="H215" s="10" t="s">
        <v>1154</v>
      </c>
      <c r="I215" s="10"/>
    </row>
    <row r="216" spans="1:9" ht="14.25" customHeight="1" x14ac:dyDescent="0.25">
      <c r="A216" s="7"/>
      <c r="B216" s="8" t="s">
        <v>1155</v>
      </c>
      <c r="C216" s="8" t="s">
        <v>1156</v>
      </c>
      <c r="D216" s="8"/>
      <c r="E216" s="8"/>
      <c r="F216" s="9" t="s">
        <v>1157</v>
      </c>
      <c r="G216" s="10" t="s">
        <v>1158</v>
      </c>
      <c r="H216" s="10" t="s">
        <v>1159</v>
      </c>
      <c r="I216" s="10"/>
    </row>
    <row r="217" spans="1:9" ht="14.25" customHeight="1" x14ac:dyDescent="0.25">
      <c r="A217" s="7"/>
      <c r="B217" s="8" t="s">
        <v>1160</v>
      </c>
      <c r="C217" s="8" t="s">
        <v>1161</v>
      </c>
      <c r="D217" s="8"/>
      <c r="E217" s="8"/>
      <c r="F217" s="9" t="s">
        <v>1162</v>
      </c>
      <c r="G217" s="10" t="s">
        <v>1163</v>
      </c>
      <c r="H217" s="10" t="s">
        <v>1164</v>
      </c>
      <c r="I217" s="10"/>
    </row>
    <row r="218" spans="1:9" ht="14.25" customHeight="1" x14ac:dyDescent="0.25">
      <c r="A218" s="7" t="s">
        <v>1165</v>
      </c>
      <c r="B218" s="8" t="s">
        <v>1166</v>
      </c>
      <c r="C218" s="8" t="s">
        <v>1167</v>
      </c>
      <c r="D218" s="8"/>
      <c r="E218" s="8"/>
      <c r="F218" s="9" t="s">
        <v>1168</v>
      </c>
      <c r="G218" s="10" t="s">
        <v>1169</v>
      </c>
      <c r="H218" s="10" t="s">
        <v>1170</v>
      </c>
      <c r="I218" s="10"/>
    </row>
    <row r="219" spans="1:9" ht="14.25" customHeight="1" x14ac:dyDescent="0.25">
      <c r="A219" s="7" t="s">
        <v>1171</v>
      </c>
      <c r="B219" s="8" t="s">
        <v>1172</v>
      </c>
      <c r="C219" s="8" t="s">
        <v>1173</v>
      </c>
      <c r="D219" s="8"/>
      <c r="E219" s="8"/>
      <c r="F219" s="9" t="s">
        <v>1174</v>
      </c>
      <c r="G219" s="10" t="s">
        <v>1175</v>
      </c>
      <c r="H219" s="10" t="s">
        <v>1176</v>
      </c>
      <c r="I219" s="10"/>
    </row>
    <row r="220" spans="1:9" ht="14.25" customHeight="1" x14ac:dyDescent="0.25">
      <c r="A220" s="7"/>
      <c r="B220" s="8" t="s">
        <v>1177</v>
      </c>
      <c r="C220" s="8" t="s">
        <v>1178</v>
      </c>
      <c r="D220" s="8"/>
      <c r="E220" s="8"/>
      <c r="F220" s="9" t="s">
        <v>1179</v>
      </c>
      <c r="G220" s="10" t="s">
        <v>1180</v>
      </c>
      <c r="H220" s="10" t="s">
        <v>1181</v>
      </c>
      <c r="I220" s="10"/>
    </row>
    <row r="221" spans="1:9" ht="14.25" customHeight="1" x14ac:dyDescent="0.25">
      <c r="A221" s="7"/>
      <c r="B221" s="8" t="s">
        <v>1182</v>
      </c>
      <c r="C221" s="8" t="s">
        <v>1183</v>
      </c>
      <c r="D221" s="8"/>
      <c r="E221" s="8"/>
      <c r="F221" s="9" t="s">
        <v>1184</v>
      </c>
      <c r="G221" s="10" t="s">
        <v>1185</v>
      </c>
      <c r="H221" s="10" t="s">
        <v>1186</v>
      </c>
      <c r="I221" s="10"/>
    </row>
    <row r="222" spans="1:9" ht="14.25" customHeight="1" x14ac:dyDescent="0.25">
      <c r="A222" s="7" t="s">
        <v>1187</v>
      </c>
      <c r="B222" s="8" t="s">
        <v>1188</v>
      </c>
      <c r="C222" s="8" t="s">
        <v>1189</v>
      </c>
      <c r="D222" s="8"/>
      <c r="E222" s="8" t="s">
        <v>412</v>
      </c>
      <c r="F222" s="11" t="s">
        <v>1190</v>
      </c>
      <c r="G222" s="10" t="s">
        <v>1191</v>
      </c>
      <c r="H222" s="10" t="s">
        <v>61</v>
      </c>
      <c r="I222" s="10"/>
    </row>
    <row r="223" spans="1:9" ht="14.25" customHeight="1" x14ac:dyDescent="0.25">
      <c r="A223" s="7"/>
      <c r="B223" s="8" t="s">
        <v>1192</v>
      </c>
      <c r="C223" s="8" t="s">
        <v>1193</v>
      </c>
      <c r="D223" s="8"/>
      <c r="E223" s="8"/>
      <c r="F223" s="9" t="s">
        <v>1194</v>
      </c>
      <c r="G223" s="10" t="s">
        <v>1195</v>
      </c>
      <c r="H223" s="10" t="s">
        <v>1196</v>
      </c>
      <c r="I223" s="10"/>
    </row>
    <row r="224" spans="1:9" ht="14.25" customHeight="1" x14ac:dyDescent="0.25">
      <c r="A224" s="7" t="s">
        <v>1197</v>
      </c>
      <c r="B224" s="8" t="s">
        <v>1198</v>
      </c>
      <c r="C224" s="8" t="s">
        <v>1199</v>
      </c>
      <c r="D224" s="8"/>
      <c r="E224" s="8"/>
      <c r="F224" s="9" t="s">
        <v>1200</v>
      </c>
      <c r="G224" s="10" t="s">
        <v>1201</v>
      </c>
      <c r="H224" s="10" t="s">
        <v>1202</v>
      </c>
      <c r="I224" s="10"/>
    </row>
    <row r="225" spans="1:9" ht="14.25" customHeight="1" x14ac:dyDescent="0.25">
      <c r="A225" s="7" t="s">
        <v>1203</v>
      </c>
      <c r="B225" s="8" t="s">
        <v>1204</v>
      </c>
      <c r="C225" s="8" t="s">
        <v>1205</v>
      </c>
      <c r="D225" s="8"/>
      <c r="E225" s="8"/>
      <c r="F225" s="9" t="s">
        <v>1206</v>
      </c>
      <c r="G225" s="10" t="s">
        <v>1207</v>
      </c>
      <c r="H225" s="10" t="s">
        <v>1208</v>
      </c>
      <c r="I225" s="10"/>
    </row>
    <row r="226" spans="1:9" ht="14.25" customHeight="1" x14ac:dyDescent="0.25">
      <c r="A226" s="7" t="s">
        <v>1209</v>
      </c>
      <c r="B226" s="8" t="s">
        <v>1210</v>
      </c>
      <c r="C226" s="8" t="s">
        <v>1211</v>
      </c>
      <c r="D226" s="8"/>
      <c r="E226" s="8"/>
      <c r="F226" s="9" t="s">
        <v>1212</v>
      </c>
      <c r="G226" s="10" t="s">
        <v>1213</v>
      </c>
      <c r="H226" s="10" t="s">
        <v>1214</v>
      </c>
      <c r="I226" s="10"/>
    </row>
    <row r="227" spans="1:9" ht="14.25" customHeight="1" x14ac:dyDescent="0.25">
      <c r="A227" s="7" t="s">
        <v>1215</v>
      </c>
      <c r="B227" s="8" t="s">
        <v>1216</v>
      </c>
      <c r="C227" s="8" t="s">
        <v>1217</v>
      </c>
      <c r="D227" s="8"/>
      <c r="E227" s="8"/>
      <c r="F227" s="9" t="s">
        <v>1218</v>
      </c>
      <c r="G227" s="10" t="s">
        <v>1219</v>
      </c>
      <c r="H227" s="10" t="s">
        <v>1220</v>
      </c>
      <c r="I227" s="10"/>
    </row>
    <row r="228" spans="1:9" ht="14.25" customHeight="1" x14ac:dyDescent="0.25">
      <c r="A228" s="7" t="s">
        <v>1221</v>
      </c>
      <c r="B228" s="8" t="s">
        <v>1222</v>
      </c>
      <c r="C228" s="8" t="s">
        <v>1223</v>
      </c>
      <c r="D228" s="8"/>
      <c r="E228" s="8"/>
      <c r="F228" s="9" t="s">
        <v>1224</v>
      </c>
      <c r="G228" s="10" t="s">
        <v>1225</v>
      </c>
      <c r="H228" s="10" t="s">
        <v>1226</v>
      </c>
      <c r="I228" s="10"/>
    </row>
    <row r="229" spans="1:9" ht="14.25" customHeight="1" x14ac:dyDescent="0.25">
      <c r="A229" s="7" t="s">
        <v>1227</v>
      </c>
      <c r="B229" s="8" t="s">
        <v>1228</v>
      </c>
      <c r="C229" s="8" t="s">
        <v>1229</v>
      </c>
      <c r="D229" s="8"/>
      <c r="E229" s="8"/>
      <c r="F229" s="9" t="s">
        <v>1230</v>
      </c>
      <c r="G229" s="10" t="s">
        <v>1231</v>
      </c>
      <c r="H229" s="10" t="s">
        <v>1232</v>
      </c>
      <c r="I229" s="10"/>
    </row>
    <row r="230" spans="1:9" ht="14.25" customHeight="1" x14ac:dyDescent="0.25">
      <c r="A230" s="7"/>
      <c r="B230" s="8" t="s">
        <v>1228</v>
      </c>
      <c r="C230" s="8" t="s">
        <v>1233</v>
      </c>
      <c r="D230" s="8"/>
      <c r="E230" s="8"/>
      <c r="F230" s="9" t="s">
        <v>1234</v>
      </c>
      <c r="G230" s="10" t="s">
        <v>1235</v>
      </c>
      <c r="H230" s="10" t="s">
        <v>1236</v>
      </c>
      <c r="I230" s="10"/>
    </row>
    <row r="231" spans="1:9" ht="14.25" customHeight="1" x14ac:dyDescent="0.25">
      <c r="A231" s="7"/>
      <c r="B231" s="8" t="s">
        <v>1237</v>
      </c>
      <c r="C231" s="8" t="s">
        <v>1238</v>
      </c>
      <c r="D231" s="8"/>
      <c r="E231" s="8"/>
      <c r="F231" s="9" t="s">
        <v>1239</v>
      </c>
      <c r="G231" s="10" t="s">
        <v>1240</v>
      </c>
      <c r="H231" s="10" t="s">
        <v>1241</v>
      </c>
      <c r="I231" s="10"/>
    </row>
    <row r="232" spans="1:9" ht="14.25" customHeight="1" x14ac:dyDescent="0.25">
      <c r="A232" s="7" t="s">
        <v>1242</v>
      </c>
      <c r="B232" s="8" t="s">
        <v>1243</v>
      </c>
      <c r="C232" s="8" t="s">
        <v>150</v>
      </c>
      <c r="D232" s="8"/>
      <c r="E232" s="8"/>
      <c r="F232" s="9" t="s">
        <v>1244</v>
      </c>
      <c r="G232" s="10" t="s">
        <v>1245</v>
      </c>
      <c r="H232" s="10" t="s">
        <v>1246</v>
      </c>
      <c r="I232" s="10"/>
    </row>
    <row r="233" spans="1:9" ht="14.25" customHeight="1" x14ac:dyDescent="0.25">
      <c r="A233" s="7"/>
      <c r="B233" s="8" t="s">
        <v>1243</v>
      </c>
      <c r="C233" s="8" t="s">
        <v>1247</v>
      </c>
      <c r="D233" s="8"/>
      <c r="E233" s="8"/>
      <c r="F233" s="9" t="s">
        <v>1248</v>
      </c>
      <c r="G233" s="10" t="s">
        <v>1249</v>
      </c>
      <c r="H233" s="10" t="s">
        <v>1250</v>
      </c>
      <c r="I233" s="10"/>
    </row>
    <row r="234" spans="1:9" ht="14.25" customHeight="1" x14ac:dyDescent="0.25">
      <c r="A234" s="7" t="s">
        <v>1251</v>
      </c>
      <c r="B234" s="8" t="s">
        <v>1243</v>
      </c>
      <c r="C234" s="8" t="s">
        <v>1252</v>
      </c>
      <c r="D234" s="8"/>
      <c r="E234" s="8"/>
      <c r="F234" s="9" t="s">
        <v>1253</v>
      </c>
      <c r="G234" s="10" t="s">
        <v>1254</v>
      </c>
      <c r="H234" s="10" t="s">
        <v>1255</v>
      </c>
      <c r="I234" s="10"/>
    </row>
    <row r="235" spans="1:9" ht="14.25" customHeight="1" x14ac:dyDescent="0.25">
      <c r="A235" s="7" t="s">
        <v>1256</v>
      </c>
      <c r="B235" s="8" t="s">
        <v>1243</v>
      </c>
      <c r="C235" s="8" t="s">
        <v>1257</v>
      </c>
      <c r="D235" s="8"/>
      <c r="E235" s="8"/>
      <c r="F235" s="9" t="s">
        <v>1258</v>
      </c>
      <c r="G235" s="10" t="s">
        <v>1259</v>
      </c>
      <c r="H235" s="10" t="s">
        <v>1260</v>
      </c>
      <c r="I235" s="10"/>
    </row>
    <row r="236" spans="1:9" ht="14.25" customHeight="1" x14ac:dyDescent="0.25">
      <c r="A236" s="7"/>
      <c r="B236" s="8" t="s">
        <v>1261</v>
      </c>
      <c r="C236" s="8" t="s">
        <v>1262</v>
      </c>
      <c r="D236" s="8"/>
      <c r="E236" s="8"/>
      <c r="F236" s="9" t="s">
        <v>1263</v>
      </c>
      <c r="G236" s="10" t="s">
        <v>1264</v>
      </c>
      <c r="H236" s="10" t="s">
        <v>1265</v>
      </c>
      <c r="I236" s="10"/>
    </row>
    <row r="237" spans="1:9" ht="14.25" customHeight="1" x14ac:dyDescent="0.25">
      <c r="A237" s="7" t="s">
        <v>1266</v>
      </c>
      <c r="B237" s="8" t="s">
        <v>1267</v>
      </c>
      <c r="C237" s="8" t="s">
        <v>1268</v>
      </c>
      <c r="D237" s="8"/>
      <c r="E237" s="8"/>
      <c r="F237" s="9" t="s">
        <v>1269</v>
      </c>
      <c r="G237" s="10" t="s">
        <v>1270</v>
      </c>
      <c r="H237" s="10" t="s">
        <v>1271</v>
      </c>
      <c r="I237" s="10"/>
    </row>
    <row r="238" spans="1:9" ht="14.25" customHeight="1" x14ac:dyDescent="0.25">
      <c r="A238" s="7" t="s">
        <v>1272</v>
      </c>
      <c r="B238" s="8" t="s">
        <v>1273</v>
      </c>
      <c r="C238" s="8" t="s">
        <v>1274</v>
      </c>
      <c r="D238" s="8"/>
      <c r="E238" s="8"/>
      <c r="F238" s="9" t="s">
        <v>1275</v>
      </c>
      <c r="G238" s="10" t="s">
        <v>1276</v>
      </c>
      <c r="H238" s="10" t="s">
        <v>1277</v>
      </c>
      <c r="I238" s="10"/>
    </row>
    <row r="239" spans="1:9" ht="14.25" customHeight="1" x14ac:dyDescent="0.25">
      <c r="A239" s="7" t="s">
        <v>1278</v>
      </c>
      <c r="B239" s="8" t="s">
        <v>1279</v>
      </c>
      <c r="C239" s="8" t="s">
        <v>1280</v>
      </c>
      <c r="D239" s="8"/>
      <c r="E239" s="8"/>
      <c r="F239" s="9" t="s">
        <v>1281</v>
      </c>
      <c r="G239" s="10" t="s">
        <v>1282</v>
      </c>
      <c r="H239" s="10" t="s">
        <v>1283</v>
      </c>
      <c r="I239" s="10"/>
    </row>
    <row r="240" spans="1:9" ht="14.25" customHeight="1" x14ac:dyDescent="0.25">
      <c r="A240" s="7"/>
      <c r="B240" s="8" t="s">
        <v>1279</v>
      </c>
      <c r="C240" s="8" t="s">
        <v>1284</v>
      </c>
      <c r="D240" s="8"/>
      <c r="E240" s="8"/>
      <c r="F240" s="9" t="s">
        <v>1285</v>
      </c>
      <c r="G240" s="10" t="s">
        <v>1286</v>
      </c>
      <c r="H240" s="10" t="s">
        <v>1287</v>
      </c>
      <c r="I240" s="10"/>
    </row>
    <row r="241" spans="1:9" ht="14.25" customHeight="1" x14ac:dyDescent="0.25">
      <c r="A241" s="7"/>
      <c r="B241" s="8" t="s">
        <v>1279</v>
      </c>
      <c r="C241" s="8" t="s">
        <v>1288</v>
      </c>
      <c r="D241" s="8"/>
      <c r="E241" s="8"/>
      <c r="F241" s="9" t="s">
        <v>1289</v>
      </c>
      <c r="G241" s="10" t="s">
        <v>1290</v>
      </c>
      <c r="H241" s="10" t="s">
        <v>1291</v>
      </c>
      <c r="I241" s="10"/>
    </row>
    <row r="242" spans="1:9" ht="14.25" customHeight="1" x14ac:dyDescent="0.25">
      <c r="A242" s="7" t="s">
        <v>1292</v>
      </c>
      <c r="B242" s="8" t="s">
        <v>1279</v>
      </c>
      <c r="C242" s="8" t="s">
        <v>1293</v>
      </c>
      <c r="D242" s="8"/>
      <c r="E242" s="8"/>
      <c r="F242" s="9" t="s">
        <v>1294</v>
      </c>
      <c r="G242" s="10" t="s">
        <v>1295</v>
      </c>
      <c r="H242" s="10" t="s">
        <v>1296</v>
      </c>
      <c r="I242" s="10"/>
    </row>
    <row r="243" spans="1:9" ht="14.25" customHeight="1" x14ac:dyDescent="0.25">
      <c r="A243" s="7" t="s">
        <v>1297</v>
      </c>
      <c r="B243" s="8" t="s">
        <v>1279</v>
      </c>
      <c r="C243" s="8" t="s">
        <v>1298</v>
      </c>
      <c r="D243" s="8"/>
      <c r="E243" s="8"/>
      <c r="F243" s="9" t="s">
        <v>1299</v>
      </c>
      <c r="G243" s="10" t="s">
        <v>1300</v>
      </c>
      <c r="H243" s="10" t="s">
        <v>1301</v>
      </c>
      <c r="I243" s="10"/>
    </row>
    <row r="244" spans="1:9" ht="14.25" customHeight="1" x14ac:dyDescent="0.25">
      <c r="A244" s="7" t="s">
        <v>1302</v>
      </c>
      <c r="B244" s="8" t="s">
        <v>1303</v>
      </c>
      <c r="C244" s="8" t="s">
        <v>1304</v>
      </c>
      <c r="D244" s="8"/>
      <c r="E244" s="8"/>
      <c r="F244" s="9" t="s">
        <v>1305</v>
      </c>
      <c r="G244" s="10" t="s">
        <v>1306</v>
      </c>
      <c r="H244" s="10" t="s">
        <v>1307</v>
      </c>
      <c r="I244" s="10"/>
    </row>
    <row r="245" spans="1:9" ht="14.25" customHeight="1" x14ac:dyDescent="0.25">
      <c r="A245" s="7" t="s">
        <v>1308</v>
      </c>
      <c r="B245" s="8" t="s">
        <v>1309</v>
      </c>
      <c r="C245" s="8" t="s">
        <v>1310</v>
      </c>
      <c r="D245" s="8"/>
      <c r="E245" s="8"/>
      <c r="F245" s="9" t="s">
        <v>1311</v>
      </c>
      <c r="G245" s="10" t="s">
        <v>1312</v>
      </c>
      <c r="H245" s="10" t="s">
        <v>1313</v>
      </c>
      <c r="I245" s="10"/>
    </row>
    <row r="246" spans="1:9" ht="14.25" customHeight="1" x14ac:dyDescent="0.25">
      <c r="A246" s="7"/>
      <c r="B246" s="8" t="s">
        <v>1314</v>
      </c>
      <c r="C246" s="8" t="s">
        <v>1315</v>
      </c>
      <c r="D246" s="8"/>
      <c r="E246" s="8"/>
      <c r="F246" s="9" t="s">
        <v>1316</v>
      </c>
      <c r="G246" s="10" t="s">
        <v>1317</v>
      </c>
      <c r="H246" s="10" t="s">
        <v>1318</v>
      </c>
      <c r="I246" s="10"/>
    </row>
    <row r="247" spans="1:9" ht="14.25" customHeight="1" x14ac:dyDescent="0.25">
      <c r="A247" s="7" t="s">
        <v>1319</v>
      </c>
      <c r="B247" s="8" t="s">
        <v>1320</v>
      </c>
      <c r="C247" s="8" t="s">
        <v>1321</v>
      </c>
      <c r="D247" s="8"/>
      <c r="E247" s="8"/>
      <c r="F247" s="9" t="s">
        <v>1322</v>
      </c>
      <c r="G247" s="10" t="s">
        <v>1323</v>
      </c>
      <c r="H247" s="10" t="s">
        <v>1324</v>
      </c>
      <c r="I247" s="10"/>
    </row>
    <row r="248" spans="1:9" ht="14.25" customHeight="1" x14ac:dyDescent="0.25">
      <c r="A248" s="7" t="s">
        <v>1325</v>
      </c>
      <c r="B248" s="8" t="s">
        <v>1326</v>
      </c>
      <c r="C248" s="8" t="s">
        <v>1229</v>
      </c>
      <c r="D248" s="8"/>
      <c r="E248" s="8"/>
      <c r="F248" s="9" t="s">
        <v>1327</v>
      </c>
      <c r="G248" s="10" t="s">
        <v>1328</v>
      </c>
      <c r="H248" s="10" t="s">
        <v>1329</v>
      </c>
      <c r="I248" s="10"/>
    </row>
    <row r="249" spans="1:9" ht="14.25" customHeight="1" x14ac:dyDescent="0.25">
      <c r="A249" s="7"/>
      <c r="B249" s="8" t="s">
        <v>1330</v>
      </c>
      <c r="C249" s="8" t="s">
        <v>1331</v>
      </c>
      <c r="D249" s="8"/>
      <c r="E249" s="8"/>
      <c r="F249" s="9" t="s">
        <v>1332</v>
      </c>
      <c r="G249" s="10" t="s">
        <v>1333</v>
      </c>
      <c r="H249" s="10" t="s">
        <v>1334</v>
      </c>
      <c r="I249" s="10"/>
    </row>
    <row r="250" spans="1:9" ht="14.25" customHeight="1" x14ac:dyDescent="0.25">
      <c r="A250" s="7" t="s">
        <v>1335</v>
      </c>
      <c r="B250" s="8" t="s">
        <v>1336</v>
      </c>
      <c r="C250" s="8" t="s">
        <v>1337</v>
      </c>
      <c r="D250" s="8"/>
      <c r="E250" s="8"/>
      <c r="F250" s="9" t="s">
        <v>1338</v>
      </c>
      <c r="G250" s="10" t="s">
        <v>1339</v>
      </c>
      <c r="H250" s="10" t="s">
        <v>1340</v>
      </c>
      <c r="I250" s="10"/>
    </row>
    <row r="251" spans="1:9" ht="14.25" customHeight="1" x14ac:dyDescent="0.25">
      <c r="A251" s="7"/>
      <c r="B251" s="8" t="s">
        <v>1341</v>
      </c>
      <c r="C251" s="8" t="s">
        <v>1342</v>
      </c>
      <c r="D251" s="8"/>
      <c r="E251" s="8"/>
      <c r="F251" s="9" t="s">
        <v>1343</v>
      </c>
      <c r="G251" s="10" t="s">
        <v>1344</v>
      </c>
      <c r="H251" s="10" t="s">
        <v>1345</v>
      </c>
      <c r="I251" s="10"/>
    </row>
    <row r="252" spans="1:9" ht="14.25" customHeight="1" x14ac:dyDescent="0.25">
      <c r="A252" s="7"/>
      <c r="B252" s="8" t="s">
        <v>1346</v>
      </c>
      <c r="C252" s="8" t="s">
        <v>1347</v>
      </c>
      <c r="D252" s="8"/>
      <c r="E252" s="8"/>
      <c r="F252" s="9" t="s">
        <v>1348</v>
      </c>
      <c r="G252" s="10" t="s">
        <v>1349</v>
      </c>
      <c r="H252" s="10" t="s">
        <v>1350</v>
      </c>
      <c r="I252" s="10"/>
    </row>
    <row r="253" spans="1:9" ht="14.25" customHeight="1" x14ac:dyDescent="0.25">
      <c r="A253" s="7" t="s">
        <v>1351</v>
      </c>
      <c r="B253" s="8" t="s">
        <v>1352</v>
      </c>
      <c r="C253" s="8" t="s">
        <v>1353</v>
      </c>
      <c r="D253" s="8"/>
      <c r="E253" s="8"/>
      <c r="F253" s="9" t="s">
        <v>1354</v>
      </c>
      <c r="G253" s="10" t="s">
        <v>1355</v>
      </c>
      <c r="H253" s="10" t="s">
        <v>1356</v>
      </c>
      <c r="I253" s="10"/>
    </row>
    <row r="254" spans="1:9" ht="14.25" customHeight="1" x14ac:dyDescent="0.25">
      <c r="A254" s="7" t="s">
        <v>1357</v>
      </c>
      <c r="B254" s="8" t="s">
        <v>1352</v>
      </c>
      <c r="C254" s="8" t="s">
        <v>1358</v>
      </c>
      <c r="D254" s="8"/>
      <c r="E254" s="8" t="s">
        <v>1359</v>
      </c>
      <c r="F254" s="11" t="s">
        <v>1360</v>
      </c>
      <c r="G254" s="10" t="s">
        <v>1361</v>
      </c>
      <c r="H254" s="10" t="s">
        <v>1111</v>
      </c>
      <c r="I254" s="10"/>
    </row>
    <row r="255" spans="1:9" ht="14.25" customHeight="1" x14ac:dyDescent="0.25">
      <c r="A255" s="7" t="s">
        <v>1362</v>
      </c>
      <c r="B255" s="8" t="s">
        <v>1363</v>
      </c>
      <c r="C255" s="8" t="s">
        <v>1364</v>
      </c>
      <c r="D255" s="8"/>
      <c r="E255" s="8"/>
      <c r="F255" s="11" t="s">
        <v>1365</v>
      </c>
      <c r="G255" s="10" t="s">
        <v>1366</v>
      </c>
      <c r="H255" s="10" t="s">
        <v>1367</v>
      </c>
      <c r="I255" s="10"/>
    </row>
    <row r="256" spans="1:9" ht="14.25" customHeight="1" x14ac:dyDescent="0.25">
      <c r="A256" s="7" t="s">
        <v>1368</v>
      </c>
      <c r="B256" s="8" t="s">
        <v>1369</v>
      </c>
      <c r="C256" s="8" t="s">
        <v>1370</v>
      </c>
      <c r="D256" s="8"/>
      <c r="E256" s="8"/>
      <c r="F256" s="9" t="s">
        <v>1371</v>
      </c>
      <c r="G256" s="10" t="s">
        <v>1372</v>
      </c>
      <c r="H256" s="10" t="s">
        <v>1373</v>
      </c>
      <c r="I256" s="10"/>
    </row>
    <row r="257" spans="1:9" ht="14.25" customHeight="1" x14ac:dyDescent="0.25">
      <c r="A257" s="7" t="s">
        <v>1374</v>
      </c>
      <c r="B257" s="8" t="s">
        <v>1375</v>
      </c>
      <c r="C257" s="8" t="s">
        <v>1376</v>
      </c>
      <c r="D257" s="8"/>
      <c r="E257" s="8"/>
      <c r="F257" s="9" t="s">
        <v>1377</v>
      </c>
      <c r="G257" s="10" t="s">
        <v>1378</v>
      </c>
      <c r="H257" s="10" t="s">
        <v>1379</v>
      </c>
      <c r="I257" s="10"/>
    </row>
    <row r="258" spans="1:9" ht="14.25" customHeight="1" x14ac:dyDescent="0.25">
      <c r="A258" s="7" t="s">
        <v>1380</v>
      </c>
      <c r="B258" s="8" t="s">
        <v>1381</v>
      </c>
      <c r="C258" s="8" t="s">
        <v>1382</v>
      </c>
      <c r="D258" s="8"/>
      <c r="E258" s="8"/>
      <c r="F258" s="9" t="s">
        <v>1383</v>
      </c>
      <c r="G258" s="10" t="s">
        <v>1384</v>
      </c>
      <c r="H258" s="10" t="s">
        <v>1385</v>
      </c>
      <c r="I258" s="10"/>
    </row>
    <row r="259" spans="1:9" ht="14.25" customHeight="1" x14ac:dyDescent="0.25">
      <c r="A259" s="7" t="s">
        <v>1386</v>
      </c>
      <c r="B259" s="8" t="s">
        <v>1387</v>
      </c>
      <c r="C259" s="8" t="s">
        <v>1388</v>
      </c>
      <c r="D259" s="8"/>
      <c r="E259" s="8"/>
      <c r="F259" s="9" t="s">
        <v>1389</v>
      </c>
      <c r="G259" s="10" t="s">
        <v>1390</v>
      </c>
      <c r="H259" s="10" t="s">
        <v>1391</v>
      </c>
      <c r="I259" s="10"/>
    </row>
    <row r="260" spans="1:9" ht="14.25" customHeight="1" x14ac:dyDescent="0.25">
      <c r="A260" s="7" t="s">
        <v>1392</v>
      </c>
      <c r="B260" s="8" t="s">
        <v>1393</v>
      </c>
      <c r="C260" s="8" t="s">
        <v>1394</v>
      </c>
      <c r="D260" s="8"/>
      <c r="E260" s="8"/>
      <c r="F260" s="9" t="s">
        <v>1395</v>
      </c>
      <c r="G260" s="10" t="s">
        <v>1396</v>
      </c>
      <c r="H260" s="10" t="s">
        <v>1397</v>
      </c>
      <c r="I260" s="10"/>
    </row>
    <row r="261" spans="1:9" ht="14.25" customHeight="1" x14ac:dyDescent="0.25">
      <c r="A261" s="7"/>
      <c r="B261" s="8" t="s">
        <v>1398</v>
      </c>
      <c r="C261" s="8" t="s">
        <v>1257</v>
      </c>
      <c r="D261" s="8"/>
      <c r="E261" s="8"/>
      <c r="F261" s="9" t="s">
        <v>1399</v>
      </c>
      <c r="G261" s="10" t="s">
        <v>1400</v>
      </c>
      <c r="H261" s="10" t="s">
        <v>1401</v>
      </c>
      <c r="I261" s="10"/>
    </row>
    <row r="262" spans="1:9" ht="14.25" customHeight="1" x14ac:dyDescent="0.25">
      <c r="A262" s="7"/>
      <c r="B262" s="8" t="s">
        <v>1402</v>
      </c>
      <c r="C262" s="8" t="s">
        <v>1403</v>
      </c>
      <c r="D262" s="8"/>
      <c r="E262" s="8"/>
      <c r="F262" s="9" t="s">
        <v>1404</v>
      </c>
      <c r="G262" s="10" t="s">
        <v>1405</v>
      </c>
      <c r="H262" s="10" t="s">
        <v>1406</v>
      </c>
      <c r="I262" s="10"/>
    </row>
    <row r="263" spans="1:9" ht="14.25" customHeight="1" x14ac:dyDescent="0.25">
      <c r="A263" s="7" t="s">
        <v>1407</v>
      </c>
      <c r="B263" s="8" t="s">
        <v>1402</v>
      </c>
      <c r="C263" s="8" t="s">
        <v>1408</v>
      </c>
      <c r="D263" s="8"/>
      <c r="E263" s="8"/>
      <c r="F263" s="9" t="s">
        <v>1409</v>
      </c>
      <c r="G263" s="10" t="s">
        <v>1410</v>
      </c>
      <c r="H263" s="10" t="s">
        <v>1411</v>
      </c>
      <c r="I263" s="10"/>
    </row>
    <row r="264" spans="1:9" ht="14.25" customHeight="1" x14ac:dyDescent="0.25">
      <c r="A264" s="7" t="s">
        <v>1412</v>
      </c>
      <c r="B264" s="8" t="s">
        <v>1413</v>
      </c>
      <c r="C264" s="8" t="s">
        <v>1414</v>
      </c>
      <c r="D264" s="8"/>
      <c r="E264" s="8"/>
      <c r="F264" s="9" t="s">
        <v>1415</v>
      </c>
      <c r="G264" s="10" t="s">
        <v>1416</v>
      </c>
      <c r="H264" s="10" t="s">
        <v>1417</v>
      </c>
      <c r="I264" s="10"/>
    </row>
    <row r="265" spans="1:9" ht="14.25" customHeight="1" x14ac:dyDescent="0.25">
      <c r="A265" s="7" t="s">
        <v>1418</v>
      </c>
      <c r="B265" s="8" t="s">
        <v>1419</v>
      </c>
      <c r="C265" s="8" t="s">
        <v>1420</v>
      </c>
      <c r="D265" s="8"/>
      <c r="E265" s="8"/>
      <c r="F265" s="9" t="s">
        <v>1421</v>
      </c>
      <c r="G265" s="10" t="s">
        <v>1422</v>
      </c>
      <c r="H265" s="10" t="s">
        <v>1423</v>
      </c>
      <c r="I265" s="10"/>
    </row>
    <row r="266" spans="1:9" ht="14.25" customHeight="1" x14ac:dyDescent="0.25">
      <c r="A266" s="7" t="s">
        <v>1424</v>
      </c>
      <c r="B266" s="8" t="s">
        <v>1425</v>
      </c>
      <c r="C266" s="8" t="s">
        <v>1426</v>
      </c>
      <c r="D266" s="8"/>
      <c r="E266" s="8"/>
      <c r="F266" s="9" t="s">
        <v>1427</v>
      </c>
      <c r="G266" s="10" t="s">
        <v>1428</v>
      </c>
      <c r="H266" s="10" t="s">
        <v>1429</v>
      </c>
      <c r="I266" s="10"/>
    </row>
    <row r="267" spans="1:9" ht="14.25" customHeight="1" x14ac:dyDescent="0.25">
      <c r="A267" s="7" t="s">
        <v>1430</v>
      </c>
      <c r="B267" s="8" t="s">
        <v>1431</v>
      </c>
      <c r="C267" s="8" t="s">
        <v>1432</v>
      </c>
      <c r="D267" s="8"/>
      <c r="E267" s="8"/>
      <c r="F267" s="9" t="s">
        <v>1433</v>
      </c>
      <c r="G267" s="10" t="s">
        <v>1434</v>
      </c>
      <c r="H267" s="10" t="s">
        <v>1435</v>
      </c>
      <c r="I267" s="10"/>
    </row>
    <row r="268" spans="1:9" ht="14.25" customHeight="1" x14ac:dyDescent="0.25">
      <c r="A268" s="7" t="s">
        <v>1436</v>
      </c>
      <c r="B268" s="8" t="s">
        <v>1431</v>
      </c>
      <c r="C268" s="8" t="s">
        <v>1437</v>
      </c>
      <c r="D268" s="8"/>
      <c r="E268" s="8"/>
      <c r="F268" s="9" t="s">
        <v>1438</v>
      </c>
      <c r="G268" s="10" t="s">
        <v>1439</v>
      </c>
      <c r="H268" s="10" t="s">
        <v>1440</v>
      </c>
      <c r="I268" s="10"/>
    </row>
    <row r="269" spans="1:9" ht="14.25" customHeight="1" x14ac:dyDescent="0.25">
      <c r="A269" s="7" t="s">
        <v>1441</v>
      </c>
      <c r="B269" s="8" t="s">
        <v>1442</v>
      </c>
      <c r="C269" s="8" t="s">
        <v>1443</v>
      </c>
      <c r="D269" s="8"/>
      <c r="E269" s="8"/>
      <c r="F269" s="9" t="s">
        <v>1444</v>
      </c>
      <c r="G269" s="10" t="s">
        <v>1445</v>
      </c>
      <c r="H269" s="10" t="s">
        <v>1446</v>
      </c>
      <c r="I269" s="10"/>
    </row>
    <row r="270" spans="1:9" ht="14.25" customHeight="1" x14ac:dyDescent="0.25">
      <c r="A270" s="7" t="s">
        <v>1447</v>
      </c>
      <c r="B270" s="8" t="s">
        <v>1448</v>
      </c>
      <c r="C270" s="8" t="s">
        <v>1449</v>
      </c>
      <c r="D270" s="8"/>
      <c r="E270" s="8"/>
      <c r="F270" s="9" t="s">
        <v>1450</v>
      </c>
      <c r="G270" s="10" t="s">
        <v>1451</v>
      </c>
      <c r="H270" s="10" t="s">
        <v>1452</v>
      </c>
      <c r="I270" s="10"/>
    </row>
    <row r="271" spans="1:9" ht="14.25" customHeight="1" x14ac:dyDescent="0.25">
      <c r="A271" s="7" t="s">
        <v>1453</v>
      </c>
      <c r="B271" s="8" t="s">
        <v>1448</v>
      </c>
      <c r="C271" s="8" t="s">
        <v>1454</v>
      </c>
      <c r="D271" s="8"/>
      <c r="E271" s="8"/>
      <c r="F271" s="9" t="s">
        <v>1455</v>
      </c>
      <c r="G271" s="10" t="s">
        <v>1456</v>
      </c>
      <c r="H271" s="10" t="s">
        <v>1457</v>
      </c>
      <c r="I271" s="10"/>
    </row>
    <row r="272" spans="1:9" ht="14.25" customHeight="1" x14ac:dyDescent="0.25">
      <c r="A272" s="7"/>
      <c r="B272" s="8" t="s">
        <v>1458</v>
      </c>
      <c r="C272" s="8" t="s">
        <v>1459</v>
      </c>
      <c r="D272" s="8"/>
      <c r="E272" s="8"/>
      <c r="F272" s="9" t="s">
        <v>1460</v>
      </c>
      <c r="G272" s="10" t="s">
        <v>1461</v>
      </c>
      <c r="H272" s="10" t="s">
        <v>1462</v>
      </c>
      <c r="I272" s="10"/>
    </row>
    <row r="273" spans="1:9" ht="14.25" customHeight="1" x14ac:dyDescent="0.25">
      <c r="A273" s="7"/>
      <c r="B273" s="8" t="s">
        <v>1463</v>
      </c>
      <c r="C273" s="8" t="s">
        <v>1464</v>
      </c>
      <c r="D273" s="8"/>
      <c r="E273" s="8"/>
      <c r="F273" s="9" t="s">
        <v>1465</v>
      </c>
      <c r="G273" s="10" t="s">
        <v>1466</v>
      </c>
      <c r="H273" s="10" t="s">
        <v>1467</v>
      </c>
      <c r="I273" s="10"/>
    </row>
    <row r="274" spans="1:9" ht="14.25" customHeight="1" x14ac:dyDescent="0.25">
      <c r="A274" s="7" t="s">
        <v>1468</v>
      </c>
      <c r="B274" s="8" t="s">
        <v>1463</v>
      </c>
      <c r="C274" s="8" t="s">
        <v>1469</v>
      </c>
      <c r="D274" s="8"/>
      <c r="E274" s="8"/>
      <c r="F274" s="9" t="s">
        <v>1470</v>
      </c>
      <c r="G274" s="10" t="s">
        <v>1471</v>
      </c>
      <c r="H274" s="10" t="s">
        <v>1472</v>
      </c>
      <c r="I274" s="10"/>
    </row>
    <row r="275" spans="1:9" ht="14.25" customHeight="1" x14ac:dyDescent="0.25">
      <c r="A275" s="7"/>
      <c r="B275" s="8" t="s">
        <v>1473</v>
      </c>
      <c r="C275" s="8" t="s">
        <v>1474</v>
      </c>
      <c r="D275" s="8"/>
      <c r="E275" s="8"/>
      <c r="F275" s="9" t="s">
        <v>1475</v>
      </c>
      <c r="G275" s="10" t="s">
        <v>1476</v>
      </c>
      <c r="H275" s="10" t="s">
        <v>1477</v>
      </c>
      <c r="I275" s="10"/>
    </row>
    <row r="276" spans="1:9" ht="14.25" customHeight="1" x14ac:dyDescent="0.25">
      <c r="A276" s="7" t="s">
        <v>1478</v>
      </c>
      <c r="B276" s="8" t="s">
        <v>1479</v>
      </c>
      <c r="C276" s="8" t="s">
        <v>1480</v>
      </c>
      <c r="D276" s="8"/>
      <c r="E276" s="8"/>
      <c r="F276" s="9" t="s">
        <v>1481</v>
      </c>
      <c r="G276" s="10" t="s">
        <v>1482</v>
      </c>
      <c r="H276" s="10" t="s">
        <v>1483</v>
      </c>
      <c r="I276" s="10"/>
    </row>
    <row r="277" spans="1:9" ht="14.25" customHeight="1" x14ac:dyDescent="0.25">
      <c r="A277" s="7" t="s">
        <v>1484</v>
      </c>
      <c r="B277" s="8" t="s">
        <v>1479</v>
      </c>
      <c r="C277" s="8" t="s">
        <v>1485</v>
      </c>
      <c r="D277" s="8"/>
      <c r="E277" s="8"/>
      <c r="F277" s="9" t="s">
        <v>1486</v>
      </c>
      <c r="G277" s="10" t="s">
        <v>1487</v>
      </c>
      <c r="H277" s="10" t="s">
        <v>1488</v>
      </c>
      <c r="I277" s="10"/>
    </row>
    <row r="278" spans="1:9" ht="14.25" customHeight="1" x14ac:dyDescent="0.25">
      <c r="A278" s="7" t="s">
        <v>1489</v>
      </c>
      <c r="B278" s="8" t="s">
        <v>1490</v>
      </c>
      <c r="C278" s="8" t="s">
        <v>1491</v>
      </c>
      <c r="D278" s="8"/>
      <c r="E278" s="8"/>
      <c r="F278" s="9" t="s">
        <v>1492</v>
      </c>
      <c r="G278" s="10" t="s">
        <v>1493</v>
      </c>
      <c r="H278" s="10" t="s">
        <v>1494</v>
      </c>
      <c r="I278" s="10"/>
    </row>
    <row r="279" spans="1:9" ht="14.25" customHeight="1" x14ac:dyDescent="0.25">
      <c r="A279" s="7" t="s">
        <v>1495</v>
      </c>
      <c r="B279" s="8" t="s">
        <v>1490</v>
      </c>
      <c r="C279" s="8" t="s">
        <v>1496</v>
      </c>
      <c r="D279" s="8"/>
      <c r="E279" s="8"/>
      <c r="F279" s="9" t="s">
        <v>1497</v>
      </c>
      <c r="G279" s="10" t="s">
        <v>1498</v>
      </c>
      <c r="H279" s="10" t="s">
        <v>1499</v>
      </c>
      <c r="I279" s="10"/>
    </row>
    <row r="280" spans="1:9" ht="14.25" customHeight="1" x14ac:dyDescent="0.25">
      <c r="A280" s="7" t="s">
        <v>1500</v>
      </c>
      <c r="B280" s="8" t="s">
        <v>1501</v>
      </c>
      <c r="C280" s="8" t="s">
        <v>1502</v>
      </c>
      <c r="D280" s="8"/>
      <c r="E280" s="8"/>
      <c r="F280" s="9" t="s">
        <v>1503</v>
      </c>
      <c r="G280" s="10" t="s">
        <v>1504</v>
      </c>
      <c r="H280" s="10" t="s">
        <v>1505</v>
      </c>
      <c r="I280" s="10"/>
    </row>
    <row r="281" spans="1:9" ht="14.25" customHeight="1" x14ac:dyDescent="0.25">
      <c r="A281" s="7" t="s">
        <v>1506</v>
      </c>
      <c r="B281" s="8" t="s">
        <v>1507</v>
      </c>
      <c r="C281" s="8" t="s">
        <v>1508</v>
      </c>
      <c r="D281" s="8"/>
      <c r="E281" s="8"/>
      <c r="F281" s="9" t="s">
        <v>1509</v>
      </c>
      <c r="G281" s="10" t="s">
        <v>1510</v>
      </c>
      <c r="H281" s="10" t="s">
        <v>1511</v>
      </c>
      <c r="I281" s="10"/>
    </row>
    <row r="282" spans="1:9" ht="14.25" customHeight="1" x14ac:dyDescent="0.25">
      <c r="A282" s="7"/>
      <c r="B282" s="8" t="s">
        <v>1512</v>
      </c>
      <c r="C282" s="8" t="s">
        <v>1513</v>
      </c>
      <c r="D282" s="8"/>
      <c r="E282" s="8"/>
      <c r="F282" s="9" t="s">
        <v>1514</v>
      </c>
      <c r="G282" s="10" t="s">
        <v>1515</v>
      </c>
      <c r="H282" s="10" t="s">
        <v>1516</v>
      </c>
      <c r="I282" s="10"/>
    </row>
    <row r="283" spans="1:9" ht="14.25" customHeight="1" x14ac:dyDescent="0.25">
      <c r="A283" s="7" t="s">
        <v>1517</v>
      </c>
      <c r="B283" s="8" t="s">
        <v>1518</v>
      </c>
      <c r="C283" s="8" t="s">
        <v>1519</v>
      </c>
      <c r="D283" s="8"/>
      <c r="E283" s="8"/>
      <c r="F283" s="9" t="s">
        <v>1520</v>
      </c>
      <c r="G283" s="10" t="s">
        <v>1521</v>
      </c>
      <c r="H283" s="10" t="s">
        <v>1522</v>
      </c>
      <c r="I283" s="10"/>
    </row>
    <row r="284" spans="1:9" ht="14.25" customHeight="1" x14ac:dyDescent="0.25">
      <c r="A284" s="7" t="s">
        <v>1523</v>
      </c>
      <c r="B284" s="8" t="s">
        <v>1524</v>
      </c>
      <c r="C284" s="8" t="s">
        <v>1525</v>
      </c>
      <c r="D284" s="8"/>
      <c r="E284" s="8"/>
      <c r="F284" s="9" t="s">
        <v>1526</v>
      </c>
      <c r="G284" s="10" t="s">
        <v>1527</v>
      </c>
      <c r="H284" s="10" t="s">
        <v>1528</v>
      </c>
      <c r="I284" s="10"/>
    </row>
    <row r="285" spans="1:9" ht="14.25" customHeight="1" x14ac:dyDescent="0.25">
      <c r="A285" s="7"/>
      <c r="B285" s="8" t="s">
        <v>1529</v>
      </c>
      <c r="C285" s="8" t="s">
        <v>1530</v>
      </c>
      <c r="D285" s="8"/>
      <c r="E285" s="8"/>
      <c r="F285" s="9" t="s">
        <v>1531</v>
      </c>
      <c r="G285" s="10" t="s">
        <v>1532</v>
      </c>
      <c r="H285" s="10" t="s">
        <v>1533</v>
      </c>
      <c r="I285" s="10"/>
    </row>
    <row r="286" spans="1:9" ht="14.25" customHeight="1" x14ac:dyDescent="0.25">
      <c r="A286" s="7"/>
      <c r="B286" s="8" t="s">
        <v>1534</v>
      </c>
      <c r="C286" s="8" t="s">
        <v>1535</v>
      </c>
      <c r="D286" s="8"/>
      <c r="E286" s="8"/>
      <c r="F286" s="9" t="s">
        <v>1536</v>
      </c>
      <c r="G286" s="10" t="s">
        <v>1537</v>
      </c>
      <c r="H286" s="10" t="s">
        <v>1538</v>
      </c>
      <c r="I286" s="10"/>
    </row>
    <row r="287" spans="1:9" ht="14.25" customHeight="1" x14ac:dyDescent="0.25">
      <c r="A287" s="7" t="s">
        <v>1539</v>
      </c>
      <c r="B287" s="8" t="s">
        <v>1540</v>
      </c>
      <c r="C287" s="8" t="s">
        <v>1541</v>
      </c>
      <c r="D287" s="8"/>
      <c r="E287" s="8"/>
      <c r="F287" s="9" t="s">
        <v>1542</v>
      </c>
      <c r="G287" s="10" t="s">
        <v>1543</v>
      </c>
      <c r="H287" s="10" t="s">
        <v>1544</v>
      </c>
      <c r="I287" s="10"/>
    </row>
    <row r="288" spans="1:9" ht="14.25" customHeight="1" x14ac:dyDescent="0.25">
      <c r="A288" s="7"/>
      <c r="B288" s="8" t="s">
        <v>1545</v>
      </c>
      <c r="C288" s="8" t="s">
        <v>1546</v>
      </c>
      <c r="D288" s="8"/>
      <c r="E288" s="8"/>
      <c r="F288" s="9" t="s">
        <v>1547</v>
      </c>
      <c r="G288" s="10" t="s">
        <v>1548</v>
      </c>
      <c r="H288" s="10" t="s">
        <v>1549</v>
      </c>
      <c r="I288" s="10"/>
    </row>
    <row r="289" spans="1:9" ht="14.25" customHeight="1" x14ac:dyDescent="0.25">
      <c r="A289" s="7"/>
      <c r="B289" s="8" t="s">
        <v>1550</v>
      </c>
      <c r="C289" s="8" t="s">
        <v>1551</v>
      </c>
      <c r="D289" s="8"/>
      <c r="E289" s="8"/>
      <c r="F289" s="9" t="s">
        <v>1552</v>
      </c>
      <c r="G289" s="10" t="s">
        <v>1553</v>
      </c>
      <c r="H289" s="10" t="s">
        <v>1554</v>
      </c>
      <c r="I289" s="10"/>
    </row>
    <row r="290" spans="1:9" ht="14.25" customHeight="1" x14ac:dyDescent="0.25">
      <c r="A290" s="7"/>
      <c r="B290" s="8" t="s">
        <v>1555</v>
      </c>
      <c r="C290" s="8" t="s">
        <v>1556</v>
      </c>
      <c r="D290" s="8"/>
      <c r="E290" s="8"/>
      <c r="F290" s="9" t="s">
        <v>1557</v>
      </c>
      <c r="G290" s="10" t="s">
        <v>1558</v>
      </c>
      <c r="H290" s="10" t="s">
        <v>1559</v>
      </c>
      <c r="I290" s="10"/>
    </row>
    <row r="291" spans="1:9" ht="14.25" customHeight="1" x14ac:dyDescent="0.25">
      <c r="A291" s="7" t="s">
        <v>1560</v>
      </c>
      <c r="B291" s="8" t="s">
        <v>1561</v>
      </c>
      <c r="C291" s="8" t="s">
        <v>1562</v>
      </c>
      <c r="D291" s="8"/>
      <c r="E291" s="8"/>
      <c r="F291" s="9" t="s">
        <v>1563</v>
      </c>
      <c r="G291" s="10" t="s">
        <v>1564</v>
      </c>
      <c r="H291" s="10" t="s">
        <v>1565</v>
      </c>
      <c r="I291" s="10"/>
    </row>
    <row r="292" spans="1:9" ht="14.25" customHeight="1" x14ac:dyDescent="0.25">
      <c r="A292" s="7" t="s">
        <v>1566</v>
      </c>
      <c r="B292" s="8" t="s">
        <v>1567</v>
      </c>
      <c r="C292" s="8" t="s">
        <v>1568</v>
      </c>
      <c r="D292" s="8"/>
      <c r="E292" s="8"/>
      <c r="F292" s="9" t="s">
        <v>1569</v>
      </c>
      <c r="G292" s="10" t="s">
        <v>1570</v>
      </c>
      <c r="H292" s="10" t="s">
        <v>1571</v>
      </c>
      <c r="I292" s="10"/>
    </row>
    <row r="293" spans="1:9" ht="14.25" customHeight="1" x14ac:dyDescent="0.25">
      <c r="A293" s="7" t="s">
        <v>1572</v>
      </c>
      <c r="B293" s="8" t="s">
        <v>1573</v>
      </c>
      <c r="C293" s="8" t="s">
        <v>1574</v>
      </c>
      <c r="D293" s="8"/>
      <c r="E293" s="8"/>
      <c r="F293" s="9" t="s">
        <v>1575</v>
      </c>
      <c r="G293" s="10" t="s">
        <v>1576</v>
      </c>
      <c r="H293" s="10" t="s">
        <v>1577</v>
      </c>
      <c r="I293" s="10"/>
    </row>
    <row r="294" spans="1:9" ht="14.25" customHeight="1" x14ac:dyDescent="0.25">
      <c r="A294" s="7"/>
      <c r="B294" s="8" t="s">
        <v>1578</v>
      </c>
      <c r="C294" s="8" t="s">
        <v>1579</v>
      </c>
      <c r="D294" s="8"/>
      <c r="E294" s="8"/>
      <c r="F294" s="9" t="s">
        <v>1580</v>
      </c>
      <c r="G294" s="10" t="s">
        <v>1581</v>
      </c>
      <c r="H294" s="10" t="s">
        <v>1582</v>
      </c>
      <c r="I294" s="10"/>
    </row>
    <row r="295" spans="1:9" ht="14.25" customHeight="1" x14ac:dyDescent="0.25">
      <c r="A295" s="7" t="s">
        <v>1583</v>
      </c>
      <c r="B295" s="8" t="s">
        <v>1584</v>
      </c>
      <c r="C295" s="8" t="s">
        <v>1585</v>
      </c>
      <c r="D295" s="8"/>
      <c r="E295" s="8"/>
      <c r="F295" s="9" t="s">
        <v>1586</v>
      </c>
      <c r="G295" s="10" t="s">
        <v>1587</v>
      </c>
      <c r="H295" s="10" t="s">
        <v>1588</v>
      </c>
      <c r="I295" s="10"/>
    </row>
    <row r="296" spans="1:9" ht="14.25" customHeight="1" x14ac:dyDescent="0.25">
      <c r="A296" s="7" t="s">
        <v>1589</v>
      </c>
      <c r="B296" s="8" t="s">
        <v>1590</v>
      </c>
      <c r="C296" s="8" t="s">
        <v>1591</v>
      </c>
      <c r="D296" s="8"/>
      <c r="E296" s="8"/>
      <c r="F296" s="9" t="s">
        <v>1592</v>
      </c>
      <c r="G296" s="10" t="s">
        <v>1593</v>
      </c>
      <c r="H296" s="10" t="s">
        <v>1594</v>
      </c>
      <c r="I296" s="10"/>
    </row>
    <row r="297" spans="1:9" ht="14.25" customHeight="1" x14ac:dyDescent="0.25">
      <c r="A297" s="7" t="s">
        <v>1595</v>
      </c>
      <c r="B297" s="8" t="s">
        <v>1590</v>
      </c>
      <c r="C297" s="8" t="s">
        <v>1596</v>
      </c>
      <c r="D297" s="8" t="s">
        <v>411</v>
      </c>
      <c r="E297" s="8" t="s">
        <v>412</v>
      </c>
      <c r="F297" s="9" t="s">
        <v>1597</v>
      </c>
      <c r="G297" s="10" t="s">
        <v>1598</v>
      </c>
      <c r="H297" s="10" t="s">
        <v>1599</v>
      </c>
      <c r="I297" s="10"/>
    </row>
    <row r="298" spans="1:9" ht="14.25" customHeight="1" x14ac:dyDescent="0.25">
      <c r="A298" s="7" t="s">
        <v>1600</v>
      </c>
      <c r="B298" s="8" t="s">
        <v>1601</v>
      </c>
      <c r="C298" s="8" t="s">
        <v>1602</v>
      </c>
      <c r="D298" s="8"/>
      <c r="E298" s="8"/>
      <c r="F298" s="9" t="s">
        <v>1603</v>
      </c>
      <c r="G298" s="10" t="s">
        <v>1604</v>
      </c>
      <c r="H298" s="10" t="s">
        <v>1605</v>
      </c>
      <c r="I298" s="10"/>
    </row>
    <row r="299" spans="1:9" ht="14.25" customHeight="1" x14ac:dyDescent="0.25">
      <c r="A299" s="7" t="s">
        <v>1606</v>
      </c>
      <c r="B299" s="8" t="s">
        <v>1607</v>
      </c>
      <c r="C299" s="8" t="s">
        <v>1608</v>
      </c>
      <c r="D299" s="8"/>
      <c r="E299" s="8"/>
      <c r="F299" s="9" t="s">
        <v>1609</v>
      </c>
      <c r="G299" s="10" t="s">
        <v>1610</v>
      </c>
      <c r="H299" s="10" t="s">
        <v>1611</v>
      </c>
      <c r="I299" s="10"/>
    </row>
    <row r="300" spans="1:9" ht="14.25" customHeight="1" x14ac:dyDescent="0.25">
      <c r="A300" s="7"/>
      <c r="B300" s="8" t="s">
        <v>1612</v>
      </c>
      <c r="C300" s="8" t="s">
        <v>462</v>
      </c>
      <c r="D300" s="8"/>
      <c r="E300" s="8"/>
      <c r="F300" s="9" t="s">
        <v>1613</v>
      </c>
      <c r="G300" s="10" t="s">
        <v>1614</v>
      </c>
      <c r="H300" s="10" t="s">
        <v>1615</v>
      </c>
      <c r="I300" s="10"/>
    </row>
    <row r="301" spans="1:9" ht="14.25" customHeight="1" x14ac:dyDescent="0.25">
      <c r="A301" s="7" t="s">
        <v>1616</v>
      </c>
      <c r="B301" s="8" t="s">
        <v>1617</v>
      </c>
      <c r="C301" s="8" t="s">
        <v>1618</v>
      </c>
      <c r="D301" s="8"/>
      <c r="E301" s="8"/>
      <c r="F301" s="9" t="s">
        <v>1619</v>
      </c>
      <c r="G301" s="10" t="s">
        <v>1620</v>
      </c>
      <c r="H301" s="10" t="s">
        <v>1621</v>
      </c>
      <c r="I301" s="10"/>
    </row>
    <row r="302" spans="1:9" ht="14.25" customHeight="1" x14ac:dyDescent="0.25">
      <c r="A302" s="7" t="s">
        <v>1622</v>
      </c>
      <c r="B302" s="8" t="s">
        <v>1623</v>
      </c>
      <c r="C302" s="8" t="s">
        <v>1624</v>
      </c>
      <c r="D302" s="8"/>
      <c r="E302" s="8"/>
      <c r="F302" s="9" t="s">
        <v>1625</v>
      </c>
      <c r="G302" s="10" t="s">
        <v>1626</v>
      </c>
      <c r="H302" s="10" t="s">
        <v>1627</v>
      </c>
      <c r="I302" s="10"/>
    </row>
    <row r="303" spans="1:9" ht="14.25" customHeight="1" x14ac:dyDescent="0.25">
      <c r="A303" s="7" t="s">
        <v>1628</v>
      </c>
      <c r="B303" s="8" t="s">
        <v>1629</v>
      </c>
      <c r="C303" s="8" t="s">
        <v>1630</v>
      </c>
      <c r="D303" s="8"/>
      <c r="E303" s="8"/>
      <c r="F303" s="9" t="s">
        <v>1631</v>
      </c>
      <c r="G303" s="10" t="s">
        <v>1632</v>
      </c>
      <c r="H303" s="10" t="s">
        <v>1633</v>
      </c>
      <c r="I303" s="10"/>
    </row>
    <row r="304" spans="1:9" ht="14.25" customHeight="1" x14ac:dyDescent="0.25">
      <c r="A304" s="7" t="s">
        <v>1634</v>
      </c>
      <c r="B304" s="8" t="s">
        <v>1635</v>
      </c>
      <c r="C304" s="8" t="s">
        <v>1636</v>
      </c>
      <c r="D304" s="8"/>
      <c r="E304" s="8"/>
      <c r="F304" s="9" t="s">
        <v>1637</v>
      </c>
      <c r="G304" s="10" t="s">
        <v>1638</v>
      </c>
      <c r="H304" s="10" t="s">
        <v>1639</v>
      </c>
      <c r="I304" s="10"/>
    </row>
    <row r="305" spans="1:9" ht="14.25" customHeight="1" x14ac:dyDescent="0.25">
      <c r="A305" s="7" t="s">
        <v>1640</v>
      </c>
      <c r="B305" s="8" t="s">
        <v>1641</v>
      </c>
      <c r="C305" s="8" t="s">
        <v>79</v>
      </c>
      <c r="D305" s="8"/>
      <c r="E305" s="8"/>
      <c r="F305" s="9" t="s">
        <v>1642</v>
      </c>
      <c r="G305" s="10" t="s">
        <v>1643</v>
      </c>
      <c r="H305" s="10" t="s">
        <v>1644</v>
      </c>
      <c r="I305" s="10"/>
    </row>
    <row r="306" spans="1:9" ht="14.25" customHeight="1" x14ac:dyDescent="0.25">
      <c r="A306" s="7"/>
      <c r="B306" s="8" t="s">
        <v>1645</v>
      </c>
      <c r="C306" s="8" t="s">
        <v>1646</v>
      </c>
      <c r="D306" s="8"/>
      <c r="E306" s="8"/>
      <c r="F306" s="9" t="s">
        <v>1647</v>
      </c>
      <c r="G306" s="10" t="s">
        <v>1648</v>
      </c>
      <c r="H306" s="10" t="s">
        <v>1649</v>
      </c>
      <c r="I306" s="10"/>
    </row>
    <row r="307" spans="1:9" ht="14.25" customHeight="1" x14ac:dyDescent="0.25">
      <c r="A307" s="7" t="s">
        <v>1650</v>
      </c>
      <c r="B307" s="8" t="s">
        <v>1651</v>
      </c>
      <c r="C307" s="8" t="s">
        <v>1652</v>
      </c>
      <c r="D307" s="8"/>
      <c r="E307" s="8"/>
      <c r="F307" s="9" t="s">
        <v>1653</v>
      </c>
      <c r="G307" s="10" t="s">
        <v>1654</v>
      </c>
      <c r="H307" s="10" t="s">
        <v>1655</v>
      </c>
      <c r="I307" s="10"/>
    </row>
    <row r="308" spans="1:9" ht="14.25" customHeight="1" x14ac:dyDescent="0.25">
      <c r="A308" s="7"/>
      <c r="B308" s="8" t="s">
        <v>1651</v>
      </c>
      <c r="C308" s="8" t="s">
        <v>1656</v>
      </c>
      <c r="D308" s="8"/>
      <c r="E308" s="8"/>
      <c r="F308" s="9" t="s">
        <v>1657</v>
      </c>
      <c r="G308" s="10" t="s">
        <v>1658</v>
      </c>
      <c r="H308" s="10" t="s">
        <v>1659</v>
      </c>
      <c r="I308" s="10"/>
    </row>
    <row r="309" spans="1:9" ht="14.25" customHeight="1" x14ac:dyDescent="0.25">
      <c r="A309" s="7" t="s">
        <v>1660</v>
      </c>
      <c r="B309" s="8" t="s">
        <v>1651</v>
      </c>
      <c r="C309" s="8" t="s">
        <v>1661</v>
      </c>
      <c r="D309" s="8"/>
      <c r="E309" s="8"/>
      <c r="F309" s="9" t="s">
        <v>1662</v>
      </c>
      <c r="G309" s="10" t="s">
        <v>1663</v>
      </c>
      <c r="H309" s="10" t="s">
        <v>1664</v>
      </c>
      <c r="I309" s="10"/>
    </row>
    <row r="310" spans="1:9" ht="14.25" customHeight="1" x14ac:dyDescent="0.25">
      <c r="A310" s="7" t="s">
        <v>1665</v>
      </c>
      <c r="B310" s="8" t="s">
        <v>1651</v>
      </c>
      <c r="C310" s="8" t="s">
        <v>1666</v>
      </c>
      <c r="D310" s="8"/>
      <c r="E310" s="8"/>
      <c r="F310" s="9" t="s">
        <v>1667</v>
      </c>
      <c r="G310" s="10" t="s">
        <v>1668</v>
      </c>
      <c r="H310" s="10" t="s">
        <v>1669</v>
      </c>
      <c r="I310" s="10"/>
    </row>
    <row r="311" spans="1:9" ht="14.25" customHeight="1" x14ac:dyDescent="0.25">
      <c r="A311" s="7" t="s">
        <v>1670</v>
      </c>
      <c r="B311" s="8" t="s">
        <v>1651</v>
      </c>
      <c r="C311" s="8" t="s">
        <v>1671</v>
      </c>
      <c r="D311" s="8"/>
      <c r="E311" s="8"/>
      <c r="F311" s="9" t="s">
        <v>1672</v>
      </c>
      <c r="G311" s="10" t="s">
        <v>1673</v>
      </c>
      <c r="H311" s="10" t="s">
        <v>1674</v>
      </c>
      <c r="I311" s="10"/>
    </row>
    <row r="312" spans="1:9" ht="14.25" customHeight="1" x14ac:dyDescent="0.25">
      <c r="A312" s="7" t="s">
        <v>1675</v>
      </c>
      <c r="B312" s="8" t="s">
        <v>1676</v>
      </c>
      <c r="C312" s="8" t="s">
        <v>1677</v>
      </c>
      <c r="D312" s="8"/>
      <c r="E312" s="8"/>
      <c r="F312" s="9" t="s">
        <v>1678</v>
      </c>
      <c r="G312" s="10" t="s">
        <v>1679</v>
      </c>
      <c r="H312" s="10" t="s">
        <v>1680</v>
      </c>
      <c r="I312" s="10"/>
    </row>
    <row r="313" spans="1:9" ht="14.25" customHeight="1" x14ac:dyDescent="0.25">
      <c r="A313" s="7"/>
      <c r="B313" s="8" t="s">
        <v>1681</v>
      </c>
      <c r="C313" s="8" t="s">
        <v>1682</v>
      </c>
      <c r="D313" s="8"/>
      <c r="E313" s="8"/>
      <c r="F313" s="9" t="s">
        <v>1683</v>
      </c>
      <c r="G313" s="10" t="s">
        <v>1684</v>
      </c>
      <c r="H313" s="10" t="s">
        <v>1685</v>
      </c>
      <c r="I313" s="10"/>
    </row>
    <row r="314" spans="1:9" ht="14.25" customHeight="1" x14ac:dyDescent="0.25">
      <c r="A314" s="7" t="s">
        <v>1686</v>
      </c>
      <c r="B314" s="8" t="s">
        <v>1687</v>
      </c>
      <c r="C314" s="8" t="s">
        <v>1688</v>
      </c>
      <c r="D314" s="8"/>
      <c r="E314" s="8"/>
      <c r="F314" s="9" t="s">
        <v>1689</v>
      </c>
      <c r="G314" s="10" t="s">
        <v>1690</v>
      </c>
      <c r="H314" s="10" t="s">
        <v>1691</v>
      </c>
      <c r="I314" s="10"/>
    </row>
    <row r="315" spans="1:9" ht="14.25" customHeight="1" x14ac:dyDescent="0.25">
      <c r="A315" s="7" t="s">
        <v>1692</v>
      </c>
      <c r="B315" s="8" t="s">
        <v>1693</v>
      </c>
      <c r="C315" s="8" t="s">
        <v>1694</v>
      </c>
      <c r="D315" s="8"/>
      <c r="E315" s="8"/>
      <c r="F315" s="9" t="s">
        <v>1695</v>
      </c>
      <c r="G315" s="10" t="s">
        <v>1696</v>
      </c>
      <c r="H315" s="10" t="s">
        <v>1697</v>
      </c>
      <c r="I315" s="10"/>
    </row>
    <row r="316" spans="1:9" ht="14.25" customHeight="1" x14ac:dyDescent="0.25">
      <c r="A316" s="7" t="s">
        <v>1698</v>
      </c>
      <c r="B316" s="8" t="s">
        <v>1699</v>
      </c>
      <c r="C316" s="8" t="s">
        <v>1700</v>
      </c>
      <c r="D316" s="8"/>
      <c r="E316" s="8"/>
      <c r="F316" s="9" t="s">
        <v>1701</v>
      </c>
      <c r="G316" s="10" t="s">
        <v>1702</v>
      </c>
      <c r="H316" s="10" t="s">
        <v>1703</v>
      </c>
      <c r="I316" s="10"/>
    </row>
    <row r="317" spans="1:9" ht="14.25" customHeight="1" x14ac:dyDescent="0.25">
      <c r="A317" s="7" t="s">
        <v>1704</v>
      </c>
      <c r="B317" s="8" t="s">
        <v>1705</v>
      </c>
      <c r="C317" s="8" t="s">
        <v>1706</v>
      </c>
      <c r="D317" s="8"/>
      <c r="E317" s="8"/>
      <c r="F317" s="9" t="s">
        <v>1707</v>
      </c>
      <c r="G317" s="10" t="s">
        <v>1708</v>
      </c>
      <c r="H317" s="10" t="s">
        <v>1709</v>
      </c>
      <c r="I317" s="10"/>
    </row>
    <row r="318" spans="1:9" ht="14.25" customHeight="1" x14ac:dyDescent="0.25">
      <c r="A318" s="7" t="s">
        <v>1710</v>
      </c>
      <c r="B318" s="8" t="s">
        <v>1711</v>
      </c>
      <c r="C318" s="8" t="s">
        <v>1712</v>
      </c>
      <c r="D318" s="8"/>
      <c r="E318" s="8"/>
      <c r="F318" s="9" t="s">
        <v>1713</v>
      </c>
      <c r="G318" s="10" t="s">
        <v>1714</v>
      </c>
      <c r="H318" s="10" t="s">
        <v>1715</v>
      </c>
      <c r="I318" s="10"/>
    </row>
    <row r="319" spans="1:9" ht="14.25" customHeight="1" x14ac:dyDescent="0.25">
      <c r="A319" s="7" t="s">
        <v>1716</v>
      </c>
      <c r="B319" s="8" t="s">
        <v>1717</v>
      </c>
      <c r="C319" s="8" t="s">
        <v>1718</v>
      </c>
      <c r="D319" s="8"/>
      <c r="E319" s="8"/>
      <c r="F319" s="9" t="s">
        <v>1719</v>
      </c>
      <c r="G319" s="10" t="s">
        <v>1720</v>
      </c>
      <c r="H319" s="10" t="s">
        <v>1721</v>
      </c>
      <c r="I319" s="10"/>
    </row>
    <row r="320" spans="1:9" ht="14.25" customHeight="1" x14ac:dyDescent="0.25">
      <c r="A320" s="7"/>
      <c r="B320" s="8" t="s">
        <v>1717</v>
      </c>
      <c r="C320" s="8" t="s">
        <v>1722</v>
      </c>
      <c r="D320" s="8"/>
      <c r="E320" s="8"/>
      <c r="F320" s="9" t="s">
        <v>1723</v>
      </c>
      <c r="G320" s="10" t="s">
        <v>1724</v>
      </c>
      <c r="H320" s="10" t="s">
        <v>1725</v>
      </c>
      <c r="I320" s="10"/>
    </row>
    <row r="321" spans="1:9" ht="14.25" customHeight="1" x14ac:dyDescent="0.25">
      <c r="A321" s="7" t="s">
        <v>1726</v>
      </c>
      <c r="B321" s="8" t="s">
        <v>1727</v>
      </c>
      <c r="C321" s="8" t="s">
        <v>1728</v>
      </c>
      <c r="D321" s="8"/>
      <c r="E321" s="8"/>
      <c r="F321" s="9" t="s">
        <v>1729</v>
      </c>
      <c r="G321" s="10" t="s">
        <v>1730</v>
      </c>
      <c r="H321" s="10" t="s">
        <v>1731</v>
      </c>
      <c r="I321" s="10"/>
    </row>
    <row r="322" spans="1:9" ht="14.25" customHeight="1" x14ac:dyDescent="0.25">
      <c r="A322" s="7" t="s">
        <v>1732</v>
      </c>
      <c r="B322" s="8" t="s">
        <v>1733</v>
      </c>
      <c r="C322" s="8" t="s">
        <v>1734</v>
      </c>
      <c r="D322" s="8"/>
      <c r="E322" s="8"/>
      <c r="F322" s="9" t="s">
        <v>1735</v>
      </c>
      <c r="G322" s="10" t="s">
        <v>1736</v>
      </c>
      <c r="H322" s="10" t="s">
        <v>1737</v>
      </c>
      <c r="I322" s="10"/>
    </row>
    <row r="323" spans="1:9" ht="14.25" customHeight="1" x14ac:dyDescent="0.25">
      <c r="A323" s="7" t="s">
        <v>1738</v>
      </c>
      <c r="B323" s="8" t="s">
        <v>1733</v>
      </c>
      <c r="C323" s="8" t="s">
        <v>1739</v>
      </c>
      <c r="D323" s="8"/>
      <c r="E323" s="8"/>
      <c r="F323" s="9" t="s">
        <v>1740</v>
      </c>
      <c r="G323" s="10" t="s">
        <v>1741</v>
      </c>
      <c r="H323" s="10" t="s">
        <v>1742</v>
      </c>
      <c r="I323" s="10"/>
    </row>
    <row r="324" spans="1:9" ht="14.25" customHeight="1" x14ac:dyDescent="0.25">
      <c r="A324" s="7" t="s">
        <v>1743</v>
      </c>
      <c r="B324" s="8" t="s">
        <v>1744</v>
      </c>
      <c r="C324" s="8" t="s">
        <v>1745</v>
      </c>
      <c r="D324" s="8"/>
      <c r="E324" s="8"/>
      <c r="F324" s="9" t="s">
        <v>1746</v>
      </c>
      <c r="G324" s="10" t="s">
        <v>1747</v>
      </c>
      <c r="H324" s="10" t="s">
        <v>1748</v>
      </c>
      <c r="I324" s="10"/>
    </row>
    <row r="325" spans="1:9" ht="14.25" customHeight="1" x14ac:dyDescent="0.25">
      <c r="A325" s="7" t="s">
        <v>1749</v>
      </c>
      <c r="B325" s="8" t="s">
        <v>1744</v>
      </c>
      <c r="C325" s="8" t="s">
        <v>1750</v>
      </c>
      <c r="D325" s="8"/>
      <c r="E325" s="8"/>
      <c r="F325" s="9" t="s">
        <v>1751</v>
      </c>
      <c r="G325" s="10" t="s">
        <v>1752</v>
      </c>
      <c r="H325" s="10" t="s">
        <v>1753</v>
      </c>
      <c r="I325" s="10"/>
    </row>
    <row r="326" spans="1:9" ht="14.25" customHeight="1" x14ac:dyDescent="0.25">
      <c r="A326" s="7" t="s">
        <v>1754</v>
      </c>
      <c r="B326" s="8" t="s">
        <v>1755</v>
      </c>
      <c r="C326" s="8" t="s">
        <v>1756</v>
      </c>
      <c r="D326" s="8"/>
      <c r="E326" s="8"/>
      <c r="F326" s="9" t="s">
        <v>1757</v>
      </c>
      <c r="G326" s="10" t="s">
        <v>1758</v>
      </c>
      <c r="H326" s="10" t="s">
        <v>1759</v>
      </c>
      <c r="I326" s="10"/>
    </row>
    <row r="327" spans="1:9" ht="14.25" customHeight="1" x14ac:dyDescent="0.25">
      <c r="A327" s="7" t="s">
        <v>1760</v>
      </c>
      <c r="B327" s="8" t="s">
        <v>1761</v>
      </c>
      <c r="C327" s="8" t="s">
        <v>1762</v>
      </c>
      <c r="D327" s="8"/>
      <c r="E327" s="8"/>
      <c r="F327" s="9" t="s">
        <v>1763</v>
      </c>
      <c r="G327" s="10" t="s">
        <v>1764</v>
      </c>
      <c r="H327" s="10" t="s">
        <v>1765</v>
      </c>
      <c r="I327" s="10"/>
    </row>
    <row r="328" spans="1:9" ht="14.25" customHeight="1" x14ac:dyDescent="0.25">
      <c r="A328" s="7" t="s">
        <v>1766</v>
      </c>
      <c r="B328" s="8" t="s">
        <v>1767</v>
      </c>
      <c r="C328" s="8" t="s">
        <v>1768</v>
      </c>
      <c r="D328" s="8"/>
      <c r="E328" s="8"/>
      <c r="F328" s="9" t="s">
        <v>1769</v>
      </c>
      <c r="G328" s="10" t="s">
        <v>1770</v>
      </c>
      <c r="H328" s="10" t="s">
        <v>1771</v>
      </c>
      <c r="I328" s="10"/>
    </row>
    <row r="329" spans="1:9" ht="14.25" customHeight="1" x14ac:dyDescent="0.25">
      <c r="A329" s="7" t="s">
        <v>1772</v>
      </c>
      <c r="B329" s="8" t="s">
        <v>1773</v>
      </c>
      <c r="C329" s="8" t="s">
        <v>1774</v>
      </c>
      <c r="D329" s="8"/>
      <c r="E329" s="8"/>
      <c r="F329" s="9" t="s">
        <v>1775</v>
      </c>
      <c r="G329" s="10" t="s">
        <v>1776</v>
      </c>
      <c r="H329" s="10" t="s">
        <v>1777</v>
      </c>
      <c r="I329" s="10"/>
    </row>
    <row r="330" spans="1:9" ht="14.25" customHeight="1" x14ac:dyDescent="0.25">
      <c r="A330" s="7" t="s">
        <v>1778</v>
      </c>
      <c r="B330" s="8" t="s">
        <v>1779</v>
      </c>
      <c r="C330" s="8" t="s">
        <v>1780</v>
      </c>
      <c r="D330" s="8"/>
      <c r="E330" s="8"/>
      <c r="F330" s="9" t="s">
        <v>1781</v>
      </c>
      <c r="G330" s="10" t="s">
        <v>1782</v>
      </c>
      <c r="H330" s="10" t="s">
        <v>1783</v>
      </c>
      <c r="I330" s="10"/>
    </row>
    <row r="331" spans="1:9" ht="14.25" customHeight="1" x14ac:dyDescent="0.25">
      <c r="A331" s="7" t="s">
        <v>1784</v>
      </c>
      <c r="B331" s="8" t="s">
        <v>1785</v>
      </c>
      <c r="C331" s="8" t="s">
        <v>1786</v>
      </c>
      <c r="D331" s="8"/>
      <c r="E331" s="8"/>
      <c r="F331" s="9" t="s">
        <v>1787</v>
      </c>
      <c r="G331" s="10" t="s">
        <v>1788</v>
      </c>
      <c r="H331" s="10" t="s">
        <v>1789</v>
      </c>
      <c r="I331" s="10"/>
    </row>
    <row r="332" spans="1:9" ht="14.25" customHeight="1" x14ac:dyDescent="0.25">
      <c r="A332" s="7" t="s">
        <v>1790</v>
      </c>
      <c r="B332" s="8" t="s">
        <v>1791</v>
      </c>
      <c r="C332" s="8" t="s">
        <v>1792</v>
      </c>
      <c r="D332" s="8"/>
      <c r="E332" s="8"/>
      <c r="F332" s="9" t="s">
        <v>1793</v>
      </c>
      <c r="G332" s="10" t="s">
        <v>1794</v>
      </c>
      <c r="H332" s="10" t="s">
        <v>1795</v>
      </c>
      <c r="I332" s="10"/>
    </row>
    <row r="333" spans="1:9" ht="14.25" customHeight="1" x14ac:dyDescent="0.25">
      <c r="A333" s="7" t="s">
        <v>1796</v>
      </c>
      <c r="B333" s="8" t="s">
        <v>1797</v>
      </c>
      <c r="C333" s="8" t="s">
        <v>1798</v>
      </c>
      <c r="D333" s="8"/>
      <c r="E333" s="8"/>
      <c r="F333" s="9" t="s">
        <v>1799</v>
      </c>
      <c r="G333" s="10" t="s">
        <v>1800</v>
      </c>
      <c r="H333" s="10" t="s">
        <v>1801</v>
      </c>
      <c r="I333" s="10"/>
    </row>
    <row r="334" spans="1:9" ht="14.25" customHeight="1" x14ac:dyDescent="0.25">
      <c r="A334" s="7" t="s">
        <v>1802</v>
      </c>
      <c r="B334" s="8" t="s">
        <v>1803</v>
      </c>
      <c r="C334" s="8" t="s">
        <v>1804</v>
      </c>
      <c r="D334" s="8"/>
      <c r="E334" s="8"/>
      <c r="F334" s="9" t="s">
        <v>1805</v>
      </c>
      <c r="G334" s="10" t="s">
        <v>1806</v>
      </c>
      <c r="H334" s="10" t="s">
        <v>1807</v>
      </c>
      <c r="I334" s="10"/>
    </row>
    <row r="335" spans="1:9" ht="14.25" customHeight="1" x14ac:dyDescent="0.25">
      <c r="A335" s="7"/>
      <c r="B335" s="8" t="s">
        <v>1808</v>
      </c>
      <c r="C335" s="8" t="s">
        <v>1809</v>
      </c>
      <c r="D335" s="8"/>
      <c r="E335" s="8"/>
      <c r="F335" s="9" t="s">
        <v>1810</v>
      </c>
      <c r="G335" s="10" t="s">
        <v>1811</v>
      </c>
      <c r="H335" s="10" t="s">
        <v>1812</v>
      </c>
      <c r="I335" s="10"/>
    </row>
    <row r="336" spans="1:9" ht="14.25" customHeight="1" x14ac:dyDescent="0.25">
      <c r="A336" s="7" t="s">
        <v>1813</v>
      </c>
      <c r="B336" s="8" t="s">
        <v>1808</v>
      </c>
      <c r="C336" s="8" t="s">
        <v>1814</v>
      </c>
      <c r="D336" s="8"/>
      <c r="E336" s="8"/>
      <c r="F336" s="9" t="s">
        <v>1815</v>
      </c>
      <c r="G336" s="10" t="s">
        <v>1816</v>
      </c>
      <c r="H336" s="10" t="s">
        <v>1817</v>
      </c>
      <c r="I336" s="10"/>
    </row>
    <row r="337" spans="1:9" ht="14.25" customHeight="1" x14ac:dyDescent="0.25">
      <c r="A337" s="7"/>
      <c r="B337" s="8" t="s">
        <v>1808</v>
      </c>
      <c r="C337" s="8" t="s">
        <v>150</v>
      </c>
      <c r="D337" s="8"/>
      <c r="E337" s="8"/>
      <c r="F337" s="9" t="s">
        <v>1818</v>
      </c>
      <c r="G337" s="10" t="s">
        <v>1819</v>
      </c>
      <c r="H337" s="10" t="s">
        <v>1820</v>
      </c>
      <c r="I337" s="10"/>
    </row>
    <row r="338" spans="1:9" ht="14.25" customHeight="1" x14ac:dyDescent="0.25">
      <c r="A338" s="7"/>
      <c r="B338" s="8" t="s">
        <v>1821</v>
      </c>
      <c r="C338" s="8" t="s">
        <v>1822</v>
      </c>
      <c r="D338" s="8"/>
      <c r="E338" s="8"/>
      <c r="F338" s="9" t="s">
        <v>1823</v>
      </c>
      <c r="G338" s="10" t="s">
        <v>1824</v>
      </c>
      <c r="H338" s="10" t="s">
        <v>1825</v>
      </c>
      <c r="I338" s="10"/>
    </row>
    <row r="339" spans="1:9" ht="14.25" customHeight="1" x14ac:dyDescent="0.25">
      <c r="A339" s="7"/>
      <c r="B339" s="8" t="s">
        <v>1826</v>
      </c>
      <c r="C339" s="8" t="s">
        <v>1827</v>
      </c>
      <c r="D339" s="8"/>
      <c r="E339" s="8"/>
      <c r="F339" s="9" t="s">
        <v>1828</v>
      </c>
      <c r="G339" s="10" t="s">
        <v>1829</v>
      </c>
      <c r="H339" s="10" t="s">
        <v>1830</v>
      </c>
      <c r="I339" s="10"/>
    </row>
    <row r="340" spans="1:9" ht="14.25" customHeight="1" x14ac:dyDescent="0.25">
      <c r="A340" s="7" t="s">
        <v>1831</v>
      </c>
      <c r="B340" s="8" t="s">
        <v>1826</v>
      </c>
      <c r="C340" s="8" t="s">
        <v>236</v>
      </c>
      <c r="D340" s="8"/>
      <c r="E340" s="8"/>
      <c r="F340" s="9" t="s">
        <v>1832</v>
      </c>
      <c r="G340" s="10" t="s">
        <v>1833</v>
      </c>
      <c r="H340" s="10" t="s">
        <v>1834</v>
      </c>
      <c r="I340" s="10"/>
    </row>
    <row r="341" spans="1:9" ht="14.25" customHeight="1" x14ac:dyDescent="0.25">
      <c r="A341" s="7"/>
      <c r="B341" s="8" t="s">
        <v>1835</v>
      </c>
      <c r="C341" s="8" t="s">
        <v>1836</v>
      </c>
      <c r="D341" s="8"/>
      <c r="E341" s="8"/>
      <c r="F341" s="9" t="s">
        <v>1837</v>
      </c>
      <c r="G341" s="10" t="s">
        <v>1838</v>
      </c>
      <c r="H341" s="10" t="s">
        <v>1839</v>
      </c>
      <c r="I341" s="10"/>
    </row>
    <row r="342" spans="1:9" ht="14.25" customHeight="1" x14ac:dyDescent="0.25">
      <c r="A342" s="7" t="s">
        <v>1840</v>
      </c>
      <c r="B342" s="8" t="s">
        <v>1841</v>
      </c>
      <c r="C342" s="8" t="s">
        <v>1842</v>
      </c>
      <c r="D342" s="8"/>
      <c r="E342" s="8"/>
      <c r="F342" s="9" t="s">
        <v>1843</v>
      </c>
      <c r="G342" s="10" t="s">
        <v>1844</v>
      </c>
      <c r="H342" s="10" t="s">
        <v>1845</v>
      </c>
      <c r="I342" s="10"/>
    </row>
    <row r="343" spans="1:9" ht="14.25" customHeight="1" x14ac:dyDescent="0.25">
      <c r="A343" s="7"/>
      <c r="B343" s="8" t="s">
        <v>1846</v>
      </c>
      <c r="C343" s="8" t="s">
        <v>1847</v>
      </c>
      <c r="D343" s="8"/>
      <c r="E343" s="8"/>
      <c r="F343" s="9" t="s">
        <v>1848</v>
      </c>
      <c r="G343" s="10" t="s">
        <v>1849</v>
      </c>
      <c r="H343" s="10" t="s">
        <v>1850</v>
      </c>
      <c r="I343" s="10"/>
    </row>
    <row r="344" spans="1:9" ht="14.25" customHeight="1" x14ac:dyDescent="0.25">
      <c r="A344" s="7"/>
      <c r="B344" s="8" t="s">
        <v>1851</v>
      </c>
      <c r="C344" s="8" t="s">
        <v>1403</v>
      </c>
      <c r="D344" s="8"/>
      <c r="E344" s="8"/>
      <c r="F344" s="9" t="s">
        <v>1852</v>
      </c>
      <c r="G344" s="10" t="s">
        <v>1853</v>
      </c>
      <c r="H344" s="10" t="s">
        <v>1854</v>
      </c>
      <c r="I344" s="10"/>
    </row>
    <row r="345" spans="1:9" ht="14.25" customHeight="1" x14ac:dyDescent="0.25">
      <c r="A345" s="7" t="s">
        <v>1855</v>
      </c>
      <c r="B345" s="8" t="s">
        <v>1856</v>
      </c>
      <c r="C345" s="8" t="s">
        <v>1857</v>
      </c>
      <c r="D345" s="8"/>
      <c r="E345" s="8"/>
      <c r="F345" s="9" t="s">
        <v>1858</v>
      </c>
      <c r="G345" s="10" t="s">
        <v>1859</v>
      </c>
      <c r="H345" s="10" t="s">
        <v>1860</v>
      </c>
      <c r="I345" s="10"/>
    </row>
    <row r="346" spans="1:9" ht="14.25" customHeight="1" x14ac:dyDescent="0.25">
      <c r="A346" s="7"/>
      <c r="B346" s="8" t="s">
        <v>1861</v>
      </c>
      <c r="C346" s="8" t="s">
        <v>1134</v>
      </c>
      <c r="D346" s="8"/>
      <c r="E346" s="8"/>
      <c r="F346" s="9" t="s">
        <v>1862</v>
      </c>
      <c r="G346" s="10" t="s">
        <v>1863</v>
      </c>
      <c r="H346" s="10" t="s">
        <v>1864</v>
      </c>
      <c r="I346" s="10"/>
    </row>
    <row r="347" spans="1:9" ht="14.25" customHeight="1" x14ac:dyDescent="0.25">
      <c r="A347" s="7" t="s">
        <v>1865</v>
      </c>
      <c r="B347" s="8" t="s">
        <v>1866</v>
      </c>
      <c r="C347" s="8" t="s">
        <v>1867</v>
      </c>
      <c r="D347" s="8"/>
      <c r="E347" s="8"/>
      <c r="F347" s="9" t="s">
        <v>1868</v>
      </c>
      <c r="G347" s="10" t="s">
        <v>1869</v>
      </c>
      <c r="H347" s="10" t="s">
        <v>1870</v>
      </c>
      <c r="I347" s="10"/>
    </row>
    <row r="348" spans="1:9" ht="14.25" customHeight="1" x14ac:dyDescent="0.25">
      <c r="A348" s="7"/>
      <c r="B348" s="8" t="s">
        <v>1866</v>
      </c>
      <c r="C348" s="8" t="s">
        <v>1871</v>
      </c>
      <c r="D348" s="8"/>
      <c r="E348" s="8"/>
      <c r="F348" s="9" t="s">
        <v>1872</v>
      </c>
      <c r="G348" s="10" t="s">
        <v>1873</v>
      </c>
      <c r="H348" s="10" t="s">
        <v>1874</v>
      </c>
      <c r="I348" s="10"/>
    </row>
    <row r="349" spans="1:9" ht="14.25" customHeight="1" x14ac:dyDescent="0.25">
      <c r="A349" s="7" t="s">
        <v>1875</v>
      </c>
      <c r="B349" s="8" t="s">
        <v>1876</v>
      </c>
      <c r="C349" s="8" t="s">
        <v>1877</v>
      </c>
      <c r="D349" s="8"/>
      <c r="E349" s="8"/>
      <c r="F349" s="9" t="s">
        <v>1878</v>
      </c>
      <c r="G349" s="10" t="s">
        <v>1879</v>
      </c>
      <c r="H349" s="10" t="s">
        <v>1880</v>
      </c>
      <c r="I349" s="10"/>
    </row>
    <row r="350" spans="1:9" ht="14.25" customHeight="1" x14ac:dyDescent="0.25">
      <c r="A350" s="7"/>
      <c r="B350" s="8" t="s">
        <v>1876</v>
      </c>
      <c r="C350" s="8" t="s">
        <v>1881</v>
      </c>
      <c r="D350" s="8"/>
      <c r="E350" s="8"/>
      <c r="F350" s="9" t="s">
        <v>1882</v>
      </c>
      <c r="G350" s="10" t="s">
        <v>1883</v>
      </c>
      <c r="H350" s="10" t="s">
        <v>1884</v>
      </c>
      <c r="I350" s="10"/>
    </row>
    <row r="351" spans="1:9" ht="14.25" customHeight="1" x14ac:dyDescent="0.25">
      <c r="A351" s="7" t="s">
        <v>1885</v>
      </c>
      <c r="B351" s="8" t="s">
        <v>1072</v>
      </c>
      <c r="C351" s="8" t="s">
        <v>1886</v>
      </c>
      <c r="D351" s="8"/>
      <c r="E351" s="8"/>
      <c r="F351" s="9" t="s">
        <v>1887</v>
      </c>
      <c r="G351" s="10" t="s">
        <v>1888</v>
      </c>
      <c r="H351" s="10" t="s">
        <v>1889</v>
      </c>
      <c r="I351" s="10"/>
    </row>
    <row r="352" spans="1:9" ht="14.25" customHeight="1" x14ac:dyDescent="0.25">
      <c r="A352" s="7" t="s">
        <v>1890</v>
      </c>
      <c r="B352" s="8" t="s">
        <v>1072</v>
      </c>
      <c r="C352" s="8" t="s">
        <v>1891</v>
      </c>
      <c r="D352" s="8"/>
      <c r="E352" s="8"/>
      <c r="F352" s="9" t="s">
        <v>1892</v>
      </c>
      <c r="G352" s="10" t="s">
        <v>1893</v>
      </c>
      <c r="H352" s="10" t="s">
        <v>1894</v>
      </c>
      <c r="I352" s="10"/>
    </row>
    <row r="353" spans="1:9" ht="14.25" customHeight="1" x14ac:dyDescent="0.25">
      <c r="A353" s="7" t="s">
        <v>1895</v>
      </c>
      <c r="B353" s="8" t="s">
        <v>1072</v>
      </c>
      <c r="C353" s="8" t="s">
        <v>1896</v>
      </c>
      <c r="D353" s="8"/>
      <c r="E353" s="8"/>
      <c r="F353" s="9" t="s">
        <v>1897</v>
      </c>
      <c r="G353" s="10" t="s">
        <v>1898</v>
      </c>
      <c r="H353" s="10" t="s">
        <v>1899</v>
      </c>
      <c r="I353" s="10"/>
    </row>
    <row r="354" spans="1:9" ht="14.25" customHeight="1" x14ac:dyDescent="0.25">
      <c r="A354" s="7" t="s">
        <v>1900</v>
      </c>
      <c r="B354" s="8" t="s">
        <v>1901</v>
      </c>
      <c r="C354" s="8" t="s">
        <v>1902</v>
      </c>
      <c r="D354" s="8"/>
      <c r="E354" s="8"/>
      <c r="F354" s="9" t="s">
        <v>1903</v>
      </c>
      <c r="G354" s="10" t="s">
        <v>1904</v>
      </c>
      <c r="H354" s="10" t="s">
        <v>1905</v>
      </c>
      <c r="I354" s="10"/>
    </row>
    <row r="355" spans="1:9" ht="14.25" customHeight="1" x14ac:dyDescent="0.25">
      <c r="A355" s="7" t="s">
        <v>1906</v>
      </c>
      <c r="B355" s="8" t="s">
        <v>1907</v>
      </c>
      <c r="C355" s="8" t="s">
        <v>1908</v>
      </c>
      <c r="D355" s="8"/>
      <c r="E355" s="8"/>
      <c r="F355" s="9" t="s">
        <v>1909</v>
      </c>
      <c r="G355" s="10" t="s">
        <v>1910</v>
      </c>
      <c r="H355" s="10" t="s">
        <v>1911</v>
      </c>
      <c r="I355" s="10"/>
    </row>
    <row r="356" spans="1:9" ht="14.25" customHeight="1" x14ac:dyDescent="0.25">
      <c r="A356" s="7"/>
      <c r="B356" s="8" t="s">
        <v>1912</v>
      </c>
      <c r="C356" s="8" t="s">
        <v>1913</v>
      </c>
      <c r="D356" s="8"/>
      <c r="E356" s="8"/>
      <c r="F356" s="9" t="s">
        <v>1914</v>
      </c>
      <c r="G356" s="10" t="s">
        <v>1915</v>
      </c>
      <c r="H356" s="10" t="s">
        <v>1916</v>
      </c>
      <c r="I356" s="10"/>
    </row>
    <row r="357" spans="1:9" ht="14.25" customHeight="1" x14ac:dyDescent="0.25">
      <c r="A357" s="7" t="s">
        <v>1917</v>
      </c>
      <c r="B357" s="8" t="s">
        <v>1918</v>
      </c>
      <c r="C357" s="8" t="s">
        <v>1919</v>
      </c>
      <c r="D357" s="8"/>
      <c r="E357" s="8"/>
      <c r="F357" s="9" t="s">
        <v>1920</v>
      </c>
      <c r="G357" s="10" t="s">
        <v>1921</v>
      </c>
      <c r="H357" s="10" t="s">
        <v>1922</v>
      </c>
      <c r="I357" s="10"/>
    </row>
    <row r="358" spans="1:9" ht="14.25" customHeight="1" x14ac:dyDescent="0.25">
      <c r="A358" s="7" t="s">
        <v>1923</v>
      </c>
      <c r="B358" s="8" t="s">
        <v>1912</v>
      </c>
      <c r="C358" s="8" t="s">
        <v>231</v>
      </c>
      <c r="D358" s="8"/>
      <c r="E358" s="8"/>
      <c r="F358" s="9" t="s">
        <v>1924</v>
      </c>
      <c r="G358" s="10" t="s">
        <v>1925</v>
      </c>
      <c r="H358" s="10" t="s">
        <v>1926</v>
      </c>
      <c r="I358" s="10"/>
    </row>
    <row r="359" spans="1:9" ht="14.25" customHeight="1" x14ac:dyDescent="0.25">
      <c r="A359" s="7" t="s">
        <v>1927</v>
      </c>
      <c r="B359" s="8" t="s">
        <v>1912</v>
      </c>
      <c r="C359" s="8" t="s">
        <v>1928</v>
      </c>
      <c r="D359" s="8"/>
      <c r="E359" s="8"/>
      <c r="F359" s="9" t="s">
        <v>1929</v>
      </c>
      <c r="G359" s="10" t="s">
        <v>1930</v>
      </c>
      <c r="H359" s="10" t="s">
        <v>1931</v>
      </c>
      <c r="I359" s="10"/>
    </row>
    <row r="360" spans="1:9" ht="14.25" customHeight="1" x14ac:dyDescent="0.25">
      <c r="A360" s="7" t="s">
        <v>1932</v>
      </c>
      <c r="B360" s="8" t="s">
        <v>1912</v>
      </c>
      <c r="C360" s="8" t="s">
        <v>1933</v>
      </c>
      <c r="D360" s="8"/>
      <c r="E360" s="8"/>
      <c r="F360" s="9" t="s">
        <v>1934</v>
      </c>
      <c r="G360" s="10" t="s">
        <v>1935</v>
      </c>
      <c r="H360" s="10" t="s">
        <v>1936</v>
      </c>
      <c r="I360" s="10"/>
    </row>
    <row r="361" spans="1:9" ht="14.25" customHeight="1" x14ac:dyDescent="0.25">
      <c r="A361" s="7" t="s">
        <v>1937</v>
      </c>
      <c r="B361" s="8" t="s">
        <v>1938</v>
      </c>
      <c r="C361" s="8" t="s">
        <v>1939</v>
      </c>
      <c r="D361" s="8"/>
      <c r="E361" s="8"/>
      <c r="F361" s="9" t="s">
        <v>1940</v>
      </c>
      <c r="G361" s="10" t="s">
        <v>1941</v>
      </c>
      <c r="H361" s="10" t="s">
        <v>1942</v>
      </c>
      <c r="I361" s="10"/>
    </row>
    <row r="362" spans="1:9" ht="14.25" customHeight="1" x14ac:dyDescent="0.25">
      <c r="A362" s="7" t="s">
        <v>1943</v>
      </c>
      <c r="B362" s="8" t="s">
        <v>349</v>
      </c>
      <c r="C362" s="8" t="s">
        <v>1944</v>
      </c>
      <c r="D362" s="8"/>
      <c r="E362" s="8"/>
      <c r="F362" s="9" t="s">
        <v>1945</v>
      </c>
      <c r="G362" s="10" t="s">
        <v>1946</v>
      </c>
      <c r="H362" s="10" t="s">
        <v>1947</v>
      </c>
      <c r="I362" s="10"/>
    </row>
    <row r="363" spans="1:9" ht="14.25" customHeight="1" x14ac:dyDescent="0.25">
      <c r="A363" s="7" t="s">
        <v>1948</v>
      </c>
      <c r="B363" s="8" t="s">
        <v>349</v>
      </c>
      <c r="C363" s="8" t="s">
        <v>1949</v>
      </c>
      <c r="D363" s="8"/>
      <c r="E363" s="8"/>
      <c r="F363" s="9" t="s">
        <v>1950</v>
      </c>
      <c r="G363" s="10" t="s">
        <v>1951</v>
      </c>
      <c r="H363" s="10" t="s">
        <v>1952</v>
      </c>
      <c r="I363" s="10"/>
    </row>
    <row r="364" spans="1:9" ht="14.25" customHeight="1" x14ac:dyDescent="0.25">
      <c r="A364" s="7" t="s">
        <v>1953</v>
      </c>
      <c r="B364" s="8" t="s">
        <v>349</v>
      </c>
      <c r="C364" s="8" t="s">
        <v>1954</v>
      </c>
      <c r="D364" s="8"/>
      <c r="E364" s="8"/>
      <c r="F364" s="9" t="s">
        <v>1955</v>
      </c>
      <c r="G364" s="10" t="s">
        <v>1956</v>
      </c>
      <c r="H364" s="10" t="s">
        <v>1957</v>
      </c>
      <c r="I364" s="10"/>
    </row>
    <row r="365" spans="1:9" ht="14.25" customHeight="1" x14ac:dyDescent="0.25">
      <c r="A365" s="7" t="s">
        <v>1958</v>
      </c>
      <c r="B365" s="8" t="s">
        <v>349</v>
      </c>
      <c r="C365" s="8" t="s">
        <v>1959</v>
      </c>
      <c r="D365" s="8"/>
      <c r="E365" s="8"/>
      <c r="F365" s="9" t="s">
        <v>1960</v>
      </c>
      <c r="G365" s="10" t="s">
        <v>1961</v>
      </c>
      <c r="H365" s="10" t="s">
        <v>1962</v>
      </c>
      <c r="I365" s="10"/>
    </row>
    <row r="366" spans="1:9" ht="14.25" customHeight="1" x14ac:dyDescent="0.25">
      <c r="A366" s="7" t="s">
        <v>1963</v>
      </c>
      <c r="B366" s="8" t="s">
        <v>1964</v>
      </c>
      <c r="C366" s="8" t="s">
        <v>1965</v>
      </c>
      <c r="D366" s="8"/>
      <c r="E366" s="8"/>
      <c r="F366" s="9" t="s">
        <v>1966</v>
      </c>
      <c r="G366" s="10" t="s">
        <v>1967</v>
      </c>
      <c r="H366" s="10" t="s">
        <v>1968</v>
      </c>
      <c r="I366" s="10"/>
    </row>
    <row r="367" spans="1:9" ht="14.25" customHeight="1" x14ac:dyDescent="0.25">
      <c r="A367" s="7" t="s">
        <v>1969</v>
      </c>
      <c r="B367" s="8" t="s">
        <v>1970</v>
      </c>
      <c r="C367" s="8" t="s">
        <v>1971</v>
      </c>
      <c r="D367" s="8"/>
      <c r="E367" s="8"/>
      <c r="F367" s="9" t="s">
        <v>1972</v>
      </c>
      <c r="G367" s="10" t="s">
        <v>1973</v>
      </c>
      <c r="H367" s="10" t="s">
        <v>1974</v>
      </c>
      <c r="I367" s="10"/>
    </row>
    <row r="368" spans="1:9" ht="14.25" customHeight="1" x14ac:dyDescent="0.25">
      <c r="A368" s="7" t="s">
        <v>1975</v>
      </c>
      <c r="B368" s="8" t="s">
        <v>1964</v>
      </c>
      <c r="C368" s="8" t="s">
        <v>1976</v>
      </c>
      <c r="D368" s="8"/>
      <c r="E368" s="8"/>
      <c r="F368" s="9" t="s">
        <v>1977</v>
      </c>
      <c r="G368" s="10" t="s">
        <v>1978</v>
      </c>
      <c r="H368" s="10" t="s">
        <v>1979</v>
      </c>
      <c r="I368" s="10"/>
    </row>
    <row r="369" spans="1:9" ht="14.25" customHeight="1" x14ac:dyDescent="0.25">
      <c r="A369" s="7" t="s">
        <v>1980</v>
      </c>
      <c r="B369" s="8" t="s">
        <v>1981</v>
      </c>
      <c r="C369" s="8" t="s">
        <v>1982</v>
      </c>
      <c r="D369" s="8"/>
      <c r="E369" s="8"/>
      <c r="F369" s="9" t="s">
        <v>1983</v>
      </c>
      <c r="G369" s="10" t="s">
        <v>1984</v>
      </c>
      <c r="H369" s="10" t="s">
        <v>1985</v>
      </c>
      <c r="I369" s="10"/>
    </row>
    <row r="370" spans="1:9" ht="14.25" customHeight="1" x14ac:dyDescent="0.25">
      <c r="A370" s="7" t="s">
        <v>1986</v>
      </c>
      <c r="B370" s="8" t="s">
        <v>1987</v>
      </c>
      <c r="C370" s="8" t="s">
        <v>1988</v>
      </c>
      <c r="D370" s="8"/>
      <c r="E370" s="8"/>
      <c r="F370" s="9" t="s">
        <v>1989</v>
      </c>
      <c r="G370" s="10" t="s">
        <v>1990</v>
      </c>
      <c r="H370" s="10" t="s">
        <v>1991</v>
      </c>
      <c r="I370" s="10"/>
    </row>
    <row r="371" spans="1:9" ht="14.25" customHeight="1" x14ac:dyDescent="0.25">
      <c r="A371" s="7"/>
      <c r="B371" s="8" t="s">
        <v>1981</v>
      </c>
      <c r="C371" s="8" t="s">
        <v>276</v>
      </c>
      <c r="D371" s="8"/>
      <c r="E371" s="8"/>
      <c r="F371" s="9" t="s">
        <v>1992</v>
      </c>
      <c r="G371" s="10" t="s">
        <v>1993</v>
      </c>
      <c r="H371" s="10" t="s">
        <v>1994</v>
      </c>
      <c r="I371" s="10"/>
    </row>
    <row r="372" spans="1:9" ht="14.25" customHeight="1" x14ac:dyDescent="0.25">
      <c r="A372" s="7"/>
      <c r="B372" s="8" t="s">
        <v>1981</v>
      </c>
      <c r="C372" s="8" t="s">
        <v>1995</v>
      </c>
      <c r="D372" s="8"/>
      <c r="E372" s="8"/>
      <c r="F372" s="9" t="s">
        <v>1996</v>
      </c>
      <c r="G372" s="10" t="s">
        <v>1997</v>
      </c>
      <c r="H372" s="10" t="s">
        <v>1998</v>
      </c>
      <c r="I372" s="10"/>
    </row>
    <row r="373" spans="1:9" ht="14.25" customHeight="1" x14ac:dyDescent="0.25">
      <c r="A373" s="7" t="s">
        <v>1999</v>
      </c>
      <c r="B373" s="8" t="s">
        <v>2000</v>
      </c>
      <c r="C373" s="8" t="s">
        <v>2001</v>
      </c>
      <c r="D373" s="8"/>
      <c r="E373" s="8"/>
      <c r="F373" s="9" t="s">
        <v>2002</v>
      </c>
      <c r="G373" s="10" t="s">
        <v>2003</v>
      </c>
      <c r="H373" s="10" t="s">
        <v>2004</v>
      </c>
      <c r="I373" s="10"/>
    </row>
    <row r="374" spans="1:9" ht="14.25" customHeight="1" x14ac:dyDescent="0.25">
      <c r="A374" s="7" t="s">
        <v>2005</v>
      </c>
      <c r="B374" s="8" t="s">
        <v>2006</v>
      </c>
      <c r="C374" s="8" t="s">
        <v>2007</v>
      </c>
      <c r="D374" s="8"/>
      <c r="E374" s="8"/>
      <c r="F374" s="9" t="s">
        <v>2008</v>
      </c>
      <c r="G374" s="10" t="s">
        <v>2009</v>
      </c>
      <c r="H374" s="10" t="s">
        <v>2010</v>
      </c>
      <c r="I374" s="10"/>
    </row>
    <row r="375" spans="1:9" ht="14.25" customHeight="1" x14ac:dyDescent="0.25">
      <c r="A375" s="7" t="s">
        <v>2011</v>
      </c>
      <c r="B375" s="8" t="s">
        <v>2006</v>
      </c>
      <c r="C375" s="8" t="s">
        <v>2012</v>
      </c>
      <c r="D375" s="8"/>
      <c r="E375" s="8"/>
      <c r="F375" s="9" t="s">
        <v>2013</v>
      </c>
      <c r="G375" s="10" t="s">
        <v>2014</v>
      </c>
      <c r="H375" s="10" t="s">
        <v>2015</v>
      </c>
      <c r="I375" s="10"/>
    </row>
    <row r="376" spans="1:9" ht="14.25" customHeight="1" x14ac:dyDescent="0.25">
      <c r="A376" s="7" t="s">
        <v>2016</v>
      </c>
      <c r="B376" s="8" t="s">
        <v>2017</v>
      </c>
      <c r="C376" s="8" t="s">
        <v>2018</v>
      </c>
      <c r="D376" s="8"/>
      <c r="E376" s="8"/>
      <c r="F376" s="9" t="s">
        <v>2019</v>
      </c>
      <c r="G376" s="10" t="s">
        <v>2020</v>
      </c>
      <c r="H376" s="10" t="s">
        <v>2021</v>
      </c>
      <c r="I376" s="10"/>
    </row>
    <row r="377" spans="1:9" ht="14.25" customHeight="1" x14ac:dyDescent="0.25">
      <c r="A377" s="7" t="s">
        <v>2022</v>
      </c>
      <c r="B377" s="8" t="s">
        <v>2023</v>
      </c>
      <c r="C377" s="8" t="s">
        <v>2024</v>
      </c>
      <c r="D377" s="8"/>
      <c r="E377" s="8"/>
      <c r="F377" s="9" t="s">
        <v>2025</v>
      </c>
      <c r="G377" s="10" t="s">
        <v>2026</v>
      </c>
      <c r="H377" s="10" t="s">
        <v>2027</v>
      </c>
      <c r="I377" s="10"/>
    </row>
    <row r="378" spans="1:9" ht="14.25" customHeight="1" x14ac:dyDescent="0.25">
      <c r="A378" s="7" t="s">
        <v>2028</v>
      </c>
      <c r="B378" s="8" t="s">
        <v>2029</v>
      </c>
      <c r="C378" s="8" t="s">
        <v>2030</v>
      </c>
      <c r="D378" s="8"/>
      <c r="E378" s="8"/>
      <c r="F378" s="9" t="s">
        <v>2031</v>
      </c>
      <c r="G378" s="10" t="s">
        <v>2032</v>
      </c>
      <c r="H378" s="10" t="s">
        <v>2033</v>
      </c>
      <c r="I378" s="10"/>
    </row>
    <row r="379" spans="1:9" ht="14.25" customHeight="1" x14ac:dyDescent="0.25">
      <c r="A379" s="7" t="s">
        <v>2034</v>
      </c>
      <c r="B379" s="8" t="s">
        <v>2035</v>
      </c>
      <c r="C379" s="8" t="s">
        <v>2036</v>
      </c>
      <c r="D379" s="8"/>
      <c r="E379" s="8"/>
      <c r="F379" s="9" t="s">
        <v>2037</v>
      </c>
      <c r="G379" s="10" t="s">
        <v>2038</v>
      </c>
      <c r="H379" s="10" t="s">
        <v>2039</v>
      </c>
      <c r="I379" s="10"/>
    </row>
    <row r="380" spans="1:9" ht="14.25" customHeight="1" x14ac:dyDescent="0.25">
      <c r="A380" s="7" t="s">
        <v>2040</v>
      </c>
      <c r="B380" s="8" t="s">
        <v>602</v>
      </c>
      <c r="C380" s="8" t="s">
        <v>2041</v>
      </c>
      <c r="D380" s="8"/>
      <c r="E380" s="8"/>
      <c r="F380" s="9" t="s">
        <v>2042</v>
      </c>
      <c r="G380" s="10" t="s">
        <v>2043</v>
      </c>
      <c r="H380" s="10" t="s">
        <v>2044</v>
      </c>
      <c r="I380" s="10"/>
    </row>
    <row r="381" spans="1:9" ht="14.25" customHeight="1" x14ac:dyDescent="0.25">
      <c r="A381" s="7" t="s">
        <v>2045</v>
      </c>
      <c r="B381" s="8" t="s">
        <v>602</v>
      </c>
      <c r="C381" s="8" t="s">
        <v>2046</v>
      </c>
      <c r="D381" s="8"/>
      <c r="E381" s="8"/>
      <c r="F381" s="9" t="s">
        <v>2047</v>
      </c>
      <c r="G381" s="10" t="s">
        <v>2048</v>
      </c>
      <c r="H381" s="10" t="s">
        <v>2049</v>
      </c>
      <c r="I381" s="10"/>
    </row>
    <row r="382" spans="1:9" ht="14.25" customHeight="1" x14ac:dyDescent="0.25">
      <c r="A382" s="7" t="s">
        <v>2050</v>
      </c>
      <c r="B382" s="8" t="s">
        <v>2051</v>
      </c>
      <c r="C382" s="8" t="s">
        <v>2052</v>
      </c>
      <c r="D382" s="8"/>
      <c r="E382" s="8"/>
      <c r="F382" s="9" t="s">
        <v>2053</v>
      </c>
      <c r="G382" s="10" t="s">
        <v>2054</v>
      </c>
      <c r="H382" s="10" t="s">
        <v>2055</v>
      </c>
      <c r="I382" s="10"/>
    </row>
    <row r="383" spans="1:9" ht="14.25" customHeight="1" x14ac:dyDescent="0.25">
      <c r="A383" s="7"/>
      <c r="B383" s="8" t="s">
        <v>602</v>
      </c>
      <c r="C383" s="8" t="s">
        <v>2056</v>
      </c>
      <c r="D383" s="8"/>
      <c r="E383" s="8"/>
      <c r="F383" s="9" t="s">
        <v>2057</v>
      </c>
      <c r="G383" s="10" t="s">
        <v>2058</v>
      </c>
      <c r="H383" s="10" t="s">
        <v>2059</v>
      </c>
      <c r="I383" s="10"/>
    </row>
    <row r="384" spans="1:9" ht="14.25" customHeight="1" x14ac:dyDescent="0.25">
      <c r="A384" s="7" t="s">
        <v>2060</v>
      </c>
      <c r="B384" s="8" t="s">
        <v>602</v>
      </c>
      <c r="C384" s="8" t="s">
        <v>2061</v>
      </c>
      <c r="D384" s="8"/>
      <c r="E384" s="8"/>
      <c r="F384" s="9" t="s">
        <v>2062</v>
      </c>
      <c r="G384" s="10" t="s">
        <v>2063</v>
      </c>
      <c r="H384" s="10" t="s">
        <v>2064</v>
      </c>
      <c r="I384" s="10"/>
    </row>
    <row r="385" spans="1:9" ht="14.25" customHeight="1" x14ac:dyDescent="0.25">
      <c r="A385" s="7"/>
      <c r="B385" s="8" t="s">
        <v>2065</v>
      </c>
      <c r="C385" s="8" t="s">
        <v>2066</v>
      </c>
      <c r="D385" s="8"/>
      <c r="E385" s="8"/>
      <c r="F385" s="9" t="s">
        <v>2067</v>
      </c>
      <c r="G385" s="10" t="s">
        <v>2068</v>
      </c>
      <c r="H385" s="10" t="s">
        <v>2069</v>
      </c>
      <c r="I385" s="10"/>
    </row>
    <row r="386" spans="1:9" ht="14.25" customHeight="1" x14ac:dyDescent="0.25">
      <c r="A386" s="7"/>
      <c r="B386" s="8" t="s">
        <v>2070</v>
      </c>
      <c r="C386" s="8" t="s">
        <v>2071</v>
      </c>
      <c r="D386" s="8"/>
      <c r="E386" s="8"/>
      <c r="F386" s="9" t="s">
        <v>2072</v>
      </c>
      <c r="G386" s="10" t="s">
        <v>2073</v>
      </c>
      <c r="H386" s="10" t="s">
        <v>2074</v>
      </c>
      <c r="I386" s="10"/>
    </row>
    <row r="387" spans="1:9" ht="14.25" customHeight="1" x14ac:dyDescent="0.25">
      <c r="A387" s="7" t="s">
        <v>2075</v>
      </c>
      <c r="B387" s="8" t="s">
        <v>2070</v>
      </c>
      <c r="C387" s="8" t="s">
        <v>2076</v>
      </c>
      <c r="D387" s="8"/>
      <c r="E387" s="8"/>
      <c r="F387" s="9" t="s">
        <v>2077</v>
      </c>
      <c r="G387" s="10" t="s">
        <v>2078</v>
      </c>
      <c r="H387" s="10" t="s">
        <v>2079</v>
      </c>
      <c r="I387" s="10"/>
    </row>
    <row r="388" spans="1:9" ht="14.25" customHeight="1" x14ac:dyDescent="0.25">
      <c r="A388" s="7" t="s">
        <v>2080</v>
      </c>
      <c r="B388" s="8" t="s">
        <v>2070</v>
      </c>
      <c r="C388" s="8" t="s">
        <v>2081</v>
      </c>
      <c r="D388" s="8"/>
      <c r="E388" s="8"/>
      <c r="F388" s="9" t="s">
        <v>2082</v>
      </c>
      <c r="G388" s="10" t="s">
        <v>2083</v>
      </c>
      <c r="H388" s="10" t="s">
        <v>2084</v>
      </c>
      <c r="I388" s="10"/>
    </row>
    <row r="389" spans="1:9" ht="14.25" customHeight="1" x14ac:dyDescent="0.25">
      <c r="A389" s="7"/>
      <c r="B389" s="8" t="s">
        <v>2070</v>
      </c>
      <c r="C389" s="8" t="s">
        <v>2085</v>
      </c>
      <c r="D389" s="8"/>
      <c r="E389" s="8"/>
      <c r="F389" s="9" t="s">
        <v>2086</v>
      </c>
      <c r="G389" s="10" t="s">
        <v>2087</v>
      </c>
      <c r="H389" s="10" t="s">
        <v>2088</v>
      </c>
      <c r="I389" s="10"/>
    </row>
    <row r="390" spans="1:9" ht="14.25" customHeight="1" x14ac:dyDescent="0.25">
      <c r="A390" s="7" t="s">
        <v>2089</v>
      </c>
      <c r="B390" s="8" t="s">
        <v>2090</v>
      </c>
      <c r="C390" s="8" t="s">
        <v>2091</v>
      </c>
      <c r="D390" s="8"/>
      <c r="E390" s="8"/>
      <c r="F390" s="9" t="s">
        <v>2092</v>
      </c>
      <c r="G390" s="10" t="s">
        <v>2093</v>
      </c>
      <c r="H390" s="10" t="s">
        <v>2094</v>
      </c>
      <c r="I390" s="10"/>
    </row>
    <row r="391" spans="1:9" ht="14.25" customHeight="1" x14ac:dyDescent="0.25">
      <c r="A391" s="7"/>
      <c r="B391" s="8" t="s">
        <v>2090</v>
      </c>
      <c r="C391" s="8" t="s">
        <v>2095</v>
      </c>
      <c r="D391" s="8"/>
      <c r="E391" s="8"/>
      <c r="F391" s="9" t="s">
        <v>2096</v>
      </c>
      <c r="G391" s="10" t="s">
        <v>2097</v>
      </c>
      <c r="H391" s="10" t="s">
        <v>2098</v>
      </c>
      <c r="I391" s="10"/>
    </row>
    <row r="392" spans="1:9" ht="14.25" customHeight="1" x14ac:dyDescent="0.25">
      <c r="A392" s="7" t="s">
        <v>2099</v>
      </c>
      <c r="B392" s="8" t="s">
        <v>2100</v>
      </c>
      <c r="C392" s="8" t="s">
        <v>2101</v>
      </c>
      <c r="D392" s="8"/>
      <c r="E392" s="8"/>
      <c r="F392" s="9" t="s">
        <v>2102</v>
      </c>
      <c r="G392" s="10" t="s">
        <v>2103</v>
      </c>
      <c r="H392" s="10" t="s">
        <v>2104</v>
      </c>
      <c r="I392" s="10"/>
    </row>
    <row r="393" spans="1:9" ht="14.25" customHeight="1" x14ac:dyDescent="0.25">
      <c r="A393" s="7"/>
      <c r="B393" s="8" t="s">
        <v>2105</v>
      </c>
      <c r="C393" s="8" t="s">
        <v>2106</v>
      </c>
      <c r="D393" s="8"/>
      <c r="E393" s="8"/>
      <c r="F393" s="9" t="s">
        <v>2107</v>
      </c>
      <c r="G393" s="10" t="s">
        <v>2108</v>
      </c>
      <c r="H393" s="10" t="s">
        <v>2109</v>
      </c>
      <c r="I393" s="10"/>
    </row>
    <row r="394" spans="1:9" ht="14.25" customHeight="1" x14ac:dyDescent="0.25">
      <c r="A394" s="7" t="s">
        <v>2110</v>
      </c>
      <c r="B394" s="8" t="s">
        <v>2105</v>
      </c>
      <c r="C394" s="8" t="s">
        <v>2111</v>
      </c>
      <c r="D394" s="8"/>
      <c r="E394" s="8"/>
      <c r="F394" s="9" t="s">
        <v>2112</v>
      </c>
      <c r="G394" s="10" t="s">
        <v>2113</v>
      </c>
      <c r="H394" s="10" t="s">
        <v>2114</v>
      </c>
      <c r="I394" s="10"/>
    </row>
    <row r="395" spans="1:9" ht="14.25" customHeight="1" x14ac:dyDescent="0.25">
      <c r="A395" s="7"/>
      <c r="B395" s="8" t="s">
        <v>2105</v>
      </c>
      <c r="C395" s="8" t="s">
        <v>2115</v>
      </c>
      <c r="D395" s="8"/>
      <c r="E395" s="8"/>
      <c r="F395" s="9" t="s">
        <v>2116</v>
      </c>
      <c r="G395" s="10" t="s">
        <v>2117</v>
      </c>
      <c r="H395" s="10" t="s">
        <v>2118</v>
      </c>
      <c r="I395" s="10"/>
    </row>
    <row r="396" spans="1:9" ht="14.25" customHeight="1" x14ac:dyDescent="0.25">
      <c r="A396" s="7" t="s">
        <v>2119</v>
      </c>
      <c r="B396" s="8" t="s">
        <v>2105</v>
      </c>
      <c r="C396" s="8" t="s">
        <v>2120</v>
      </c>
      <c r="D396" s="8"/>
      <c r="E396" s="8"/>
      <c r="F396" s="9" t="s">
        <v>2121</v>
      </c>
      <c r="G396" s="10" t="s">
        <v>2122</v>
      </c>
      <c r="H396" s="10" t="s">
        <v>2123</v>
      </c>
      <c r="I396" s="10"/>
    </row>
    <row r="397" spans="1:9" ht="14.25" customHeight="1" x14ac:dyDescent="0.25">
      <c r="A397" s="7" t="s">
        <v>2124</v>
      </c>
      <c r="B397" s="8" t="s">
        <v>2105</v>
      </c>
      <c r="C397" s="8" t="s">
        <v>2125</v>
      </c>
      <c r="D397" s="8"/>
      <c r="E397" s="8"/>
      <c r="F397" s="9" t="s">
        <v>2126</v>
      </c>
      <c r="G397" s="10" t="s">
        <v>2127</v>
      </c>
      <c r="H397" s="10" t="s">
        <v>2128</v>
      </c>
      <c r="I397" s="10"/>
    </row>
    <row r="398" spans="1:9" ht="14.25" customHeight="1" x14ac:dyDescent="0.25">
      <c r="A398" s="7"/>
      <c r="B398" s="8" t="s">
        <v>2105</v>
      </c>
      <c r="C398" s="8" t="s">
        <v>2129</v>
      </c>
      <c r="D398" s="8"/>
      <c r="E398" s="8"/>
      <c r="F398" s="9" t="s">
        <v>2130</v>
      </c>
      <c r="G398" s="10" t="s">
        <v>2131</v>
      </c>
      <c r="H398" s="10" t="s">
        <v>2132</v>
      </c>
      <c r="I398" s="10"/>
    </row>
    <row r="399" spans="1:9" ht="14.25" customHeight="1" x14ac:dyDescent="0.25">
      <c r="A399" s="7" t="s">
        <v>2133</v>
      </c>
      <c r="B399" s="8" t="s">
        <v>2105</v>
      </c>
      <c r="C399" s="8" t="s">
        <v>2134</v>
      </c>
      <c r="D399" s="8"/>
      <c r="E399" s="8"/>
      <c r="F399" s="9" t="s">
        <v>2135</v>
      </c>
      <c r="G399" s="10" t="s">
        <v>2136</v>
      </c>
      <c r="H399" s="10" t="s">
        <v>2137</v>
      </c>
      <c r="I399" s="10"/>
    </row>
    <row r="400" spans="1:9" ht="14.25" customHeight="1" x14ac:dyDescent="0.25">
      <c r="A400" s="7" t="s">
        <v>2138</v>
      </c>
      <c r="B400" s="8" t="s">
        <v>2139</v>
      </c>
      <c r="C400" s="8" t="s">
        <v>2140</v>
      </c>
      <c r="D400" s="8"/>
      <c r="E400" s="8"/>
      <c r="F400" s="9" t="s">
        <v>2141</v>
      </c>
      <c r="G400" s="10" t="s">
        <v>2142</v>
      </c>
      <c r="H400" s="10" t="s">
        <v>2143</v>
      </c>
      <c r="I400" s="10"/>
    </row>
    <row r="401" spans="1:9" ht="14.25" customHeight="1" x14ac:dyDescent="0.25">
      <c r="A401" s="7"/>
      <c r="B401" s="8" t="s">
        <v>2144</v>
      </c>
      <c r="C401" s="8" t="s">
        <v>2145</v>
      </c>
      <c r="D401" s="8"/>
      <c r="E401" s="8"/>
      <c r="F401" s="9" t="s">
        <v>2146</v>
      </c>
      <c r="G401" s="10" t="s">
        <v>2147</v>
      </c>
      <c r="H401" s="10" t="s">
        <v>2148</v>
      </c>
      <c r="I401" s="10"/>
    </row>
    <row r="402" spans="1:9" ht="14.25" customHeight="1" x14ac:dyDescent="0.25">
      <c r="A402" s="7" t="s">
        <v>2149</v>
      </c>
      <c r="B402" s="8" t="s">
        <v>2150</v>
      </c>
      <c r="C402" s="8" t="s">
        <v>2151</v>
      </c>
      <c r="D402" s="8"/>
      <c r="E402" s="8"/>
      <c r="F402" s="9" t="s">
        <v>2152</v>
      </c>
      <c r="G402" s="10" t="s">
        <v>2153</v>
      </c>
      <c r="H402" s="10" t="s">
        <v>2154</v>
      </c>
      <c r="I402" s="10"/>
    </row>
    <row r="403" spans="1:9" ht="14.25" customHeight="1" x14ac:dyDescent="0.25">
      <c r="A403" s="7"/>
      <c r="B403" s="8" t="s">
        <v>2150</v>
      </c>
      <c r="C403" s="8" t="s">
        <v>2155</v>
      </c>
      <c r="D403" s="8"/>
      <c r="E403" s="8"/>
      <c r="F403" s="9" t="s">
        <v>2156</v>
      </c>
      <c r="G403" s="10" t="s">
        <v>2157</v>
      </c>
      <c r="H403" s="10" t="s">
        <v>2158</v>
      </c>
      <c r="I403" s="10"/>
    </row>
    <row r="404" spans="1:9" ht="14.25" customHeight="1" x14ac:dyDescent="0.25">
      <c r="A404" s="7" t="s">
        <v>2159</v>
      </c>
      <c r="B404" s="8" t="s">
        <v>2160</v>
      </c>
      <c r="C404" s="8" t="s">
        <v>2161</v>
      </c>
      <c r="D404" s="8"/>
      <c r="E404" s="8"/>
      <c r="F404" s="9" t="s">
        <v>2162</v>
      </c>
      <c r="G404" s="10" t="s">
        <v>2163</v>
      </c>
      <c r="H404" s="10" t="s">
        <v>2164</v>
      </c>
      <c r="I404" s="10"/>
    </row>
    <row r="405" spans="1:9" ht="14.25" customHeight="1" x14ac:dyDescent="0.25">
      <c r="A405" s="7"/>
      <c r="B405" s="8" t="s">
        <v>2165</v>
      </c>
      <c r="C405" s="8" t="s">
        <v>2166</v>
      </c>
      <c r="D405" s="8"/>
      <c r="E405" s="8"/>
      <c r="F405" s="9" t="s">
        <v>2167</v>
      </c>
      <c r="G405" s="10" t="s">
        <v>2168</v>
      </c>
      <c r="H405" s="10" t="s">
        <v>2169</v>
      </c>
      <c r="I405" s="10"/>
    </row>
    <row r="406" spans="1:9" ht="14.25" customHeight="1" x14ac:dyDescent="0.25">
      <c r="A406" s="7" t="s">
        <v>2170</v>
      </c>
      <c r="B406" s="8" t="s">
        <v>2165</v>
      </c>
      <c r="C406" s="8" t="s">
        <v>2171</v>
      </c>
      <c r="D406" s="8"/>
      <c r="E406" s="8"/>
      <c r="F406" s="9" t="s">
        <v>2172</v>
      </c>
      <c r="G406" s="10" t="s">
        <v>2173</v>
      </c>
      <c r="H406" s="10" t="s">
        <v>2174</v>
      </c>
      <c r="I406" s="10"/>
    </row>
    <row r="407" spans="1:9" ht="14.25" customHeight="1" x14ac:dyDescent="0.25">
      <c r="A407" s="7"/>
      <c r="B407" s="8" t="s">
        <v>2165</v>
      </c>
      <c r="C407" s="8" t="s">
        <v>2175</v>
      </c>
      <c r="D407" s="8"/>
      <c r="E407" s="8"/>
      <c r="F407" s="9" t="s">
        <v>2176</v>
      </c>
      <c r="G407" s="10" t="s">
        <v>2177</v>
      </c>
      <c r="H407" s="10" t="s">
        <v>2178</v>
      </c>
      <c r="I407" s="10"/>
    </row>
    <row r="408" spans="1:9" ht="14.25" customHeight="1" x14ac:dyDescent="0.25">
      <c r="A408" s="7" t="s">
        <v>2179</v>
      </c>
      <c r="B408" s="8" t="s">
        <v>276</v>
      </c>
      <c r="C408" s="8" t="s">
        <v>2180</v>
      </c>
      <c r="D408" s="8"/>
      <c r="E408" s="8"/>
      <c r="F408" s="9" t="s">
        <v>2181</v>
      </c>
      <c r="G408" s="10" t="s">
        <v>2182</v>
      </c>
      <c r="H408" s="10" t="s">
        <v>2183</v>
      </c>
      <c r="I408" s="10"/>
    </row>
    <row r="409" spans="1:9" ht="14.25" customHeight="1" x14ac:dyDescent="0.25">
      <c r="A409" s="7" t="s">
        <v>2184</v>
      </c>
      <c r="B409" s="8" t="s">
        <v>276</v>
      </c>
      <c r="C409" s="8" t="s">
        <v>2185</v>
      </c>
      <c r="D409" s="8"/>
      <c r="E409" s="8"/>
      <c r="F409" s="9" t="s">
        <v>2186</v>
      </c>
      <c r="G409" s="10" t="s">
        <v>2187</v>
      </c>
      <c r="H409" s="10" t="s">
        <v>2188</v>
      </c>
      <c r="I409" s="10"/>
    </row>
    <row r="410" spans="1:9" ht="14.25" customHeight="1" x14ac:dyDescent="0.25">
      <c r="A410" s="7" t="s">
        <v>2189</v>
      </c>
      <c r="B410" s="8" t="s">
        <v>276</v>
      </c>
      <c r="C410" s="8" t="s">
        <v>2190</v>
      </c>
      <c r="D410" s="8"/>
      <c r="E410" s="8"/>
      <c r="F410" s="9" t="s">
        <v>2191</v>
      </c>
      <c r="G410" s="10" t="s">
        <v>2192</v>
      </c>
      <c r="H410" s="10" t="s">
        <v>2193</v>
      </c>
      <c r="I410" s="10"/>
    </row>
    <row r="411" spans="1:9" ht="14.25" customHeight="1" x14ac:dyDescent="0.25">
      <c r="A411" s="7" t="s">
        <v>2194</v>
      </c>
      <c r="B411" s="8" t="s">
        <v>276</v>
      </c>
      <c r="C411" s="8" t="s">
        <v>84</v>
      </c>
      <c r="D411" s="8"/>
      <c r="E411" s="8"/>
      <c r="F411" s="9" t="s">
        <v>2195</v>
      </c>
      <c r="G411" s="10" t="s">
        <v>2196</v>
      </c>
      <c r="H411" s="10" t="s">
        <v>2197</v>
      </c>
      <c r="I411" s="10"/>
    </row>
    <row r="412" spans="1:9" ht="14.25" customHeight="1" x14ac:dyDescent="0.25">
      <c r="A412" s="7" t="s">
        <v>2189</v>
      </c>
      <c r="B412" s="8" t="s">
        <v>276</v>
      </c>
      <c r="C412" s="8" t="s">
        <v>2190</v>
      </c>
      <c r="D412" s="8"/>
      <c r="E412" s="8"/>
      <c r="F412" s="9" t="s">
        <v>2198</v>
      </c>
      <c r="G412" s="10" t="s">
        <v>2199</v>
      </c>
      <c r="H412" s="10" t="s">
        <v>2200</v>
      </c>
      <c r="I412" s="10"/>
    </row>
    <row r="413" spans="1:9" ht="14.25" customHeight="1" x14ac:dyDescent="0.25">
      <c r="A413" s="7" t="s">
        <v>2201</v>
      </c>
      <c r="B413" s="8" t="s">
        <v>2202</v>
      </c>
      <c r="C413" s="8" t="s">
        <v>2203</v>
      </c>
      <c r="D413" s="8"/>
      <c r="E413" s="8"/>
      <c r="F413" s="9" t="s">
        <v>2204</v>
      </c>
      <c r="G413" s="10" t="s">
        <v>2205</v>
      </c>
      <c r="H413" s="10" t="s">
        <v>2206</v>
      </c>
      <c r="I413" s="10"/>
    </row>
    <row r="414" spans="1:9" ht="14.25" customHeight="1" x14ac:dyDescent="0.25">
      <c r="A414" s="7" t="s">
        <v>2207</v>
      </c>
      <c r="B414" s="8" t="s">
        <v>2208</v>
      </c>
      <c r="C414" s="8" t="s">
        <v>2209</v>
      </c>
      <c r="D414" s="8" t="s">
        <v>411</v>
      </c>
      <c r="E414" s="8" t="s">
        <v>412</v>
      </c>
      <c r="F414" s="12" t="s">
        <v>2210</v>
      </c>
      <c r="G414" s="10" t="s">
        <v>2211</v>
      </c>
      <c r="H414" s="10" t="s">
        <v>2212</v>
      </c>
      <c r="I414" s="10"/>
    </row>
    <row r="415" spans="1:9" ht="14.25" customHeight="1" x14ac:dyDescent="0.25">
      <c r="A415" s="7" t="s">
        <v>2213</v>
      </c>
      <c r="B415" s="8" t="s">
        <v>2214</v>
      </c>
      <c r="C415" s="8" t="s">
        <v>1971</v>
      </c>
      <c r="D415" s="8"/>
      <c r="E415" s="8"/>
      <c r="F415" s="9" t="s">
        <v>2215</v>
      </c>
      <c r="G415" s="10" t="s">
        <v>2216</v>
      </c>
      <c r="H415" s="10" t="s">
        <v>2217</v>
      </c>
      <c r="I415" s="10"/>
    </row>
    <row r="416" spans="1:9" ht="14.25" customHeight="1" x14ac:dyDescent="0.25">
      <c r="A416" s="7"/>
      <c r="B416" s="8" t="s">
        <v>2218</v>
      </c>
      <c r="C416" s="8" t="s">
        <v>2219</v>
      </c>
      <c r="D416" s="8"/>
      <c r="E416" s="8"/>
      <c r="F416" s="9" t="s">
        <v>2220</v>
      </c>
      <c r="G416" s="10" t="s">
        <v>2221</v>
      </c>
      <c r="H416" s="10" t="s">
        <v>2222</v>
      </c>
      <c r="I416" s="10"/>
    </row>
    <row r="417" spans="1:9" ht="14.25" customHeight="1" x14ac:dyDescent="0.25">
      <c r="A417" s="7" t="s">
        <v>2223</v>
      </c>
      <c r="B417" s="8" t="s">
        <v>2224</v>
      </c>
      <c r="C417" s="8" t="s">
        <v>2225</v>
      </c>
      <c r="D417" s="8"/>
      <c r="E417" s="8"/>
      <c r="F417" s="9" t="s">
        <v>2226</v>
      </c>
      <c r="G417" s="10" t="s">
        <v>2227</v>
      </c>
      <c r="H417" s="10" t="s">
        <v>2228</v>
      </c>
      <c r="I417" s="10"/>
    </row>
    <row r="418" spans="1:9" ht="14.25" customHeight="1" x14ac:dyDescent="0.25">
      <c r="A418" s="7" t="s">
        <v>2229</v>
      </c>
      <c r="B418" s="8" t="s">
        <v>2230</v>
      </c>
      <c r="C418" s="8" t="s">
        <v>2231</v>
      </c>
      <c r="D418" s="8"/>
      <c r="E418" s="8"/>
      <c r="F418" s="9" t="s">
        <v>2232</v>
      </c>
      <c r="G418" s="10" t="s">
        <v>2233</v>
      </c>
      <c r="H418" s="10" t="s">
        <v>2234</v>
      </c>
      <c r="I418" s="10"/>
    </row>
    <row r="419" spans="1:9" ht="14.25" customHeight="1" x14ac:dyDescent="0.25">
      <c r="A419" s="7" t="s">
        <v>2235</v>
      </c>
      <c r="B419" s="8" t="s">
        <v>2230</v>
      </c>
      <c r="C419" s="8" t="s">
        <v>2236</v>
      </c>
      <c r="D419" s="8"/>
      <c r="E419" s="8"/>
      <c r="F419" s="9" t="s">
        <v>2237</v>
      </c>
      <c r="G419" s="10" t="s">
        <v>2238</v>
      </c>
      <c r="H419" s="10" t="s">
        <v>2239</v>
      </c>
      <c r="I419" s="10"/>
    </row>
    <row r="420" spans="1:9" ht="14.25" customHeight="1" x14ac:dyDescent="0.25">
      <c r="A420" s="7" t="s">
        <v>2240</v>
      </c>
      <c r="B420" s="8" t="s">
        <v>2230</v>
      </c>
      <c r="C420" s="8" t="s">
        <v>2241</v>
      </c>
      <c r="D420" s="8"/>
      <c r="E420" s="8"/>
      <c r="F420" s="9" t="s">
        <v>2242</v>
      </c>
      <c r="G420" s="10" t="s">
        <v>2243</v>
      </c>
      <c r="H420" s="10" t="s">
        <v>2244</v>
      </c>
      <c r="I420" s="10"/>
    </row>
    <row r="421" spans="1:9" ht="14.25" customHeight="1" x14ac:dyDescent="0.25">
      <c r="A421" s="7"/>
      <c r="B421" s="8" t="s">
        <v>2245</v>
      </c>
      <c r="C421" s="8" t="s">
        <v>2246</v>
      </c>
      <c r="D421" s="8"/>
      <c r="E421" s="8"/>
      <c r="F421" s="9" t="s">
        <v>2247</v>
      </c>
      <c r="G421" s="10" t="s">
        <v>2248</v>
      </c>
      <c r="H421" s="10" t="s">
        <v>2249</v>
      </c>
      <c r="I421" s="10"/>
    </row>
    <row r="422" spans="1:9" ht="14.25" customHeight="1" x14ac:dyDescent="0.25">
      <c r="A422" s="7"/>
      <c r="B422" s="8" t="s">
        <v>2230</v>
      </c>
      <c r="C422" s="8" t="s">
        <v>2250</v>
      </c>
      <c r="D422" s="8"/>
      <c r="E422" s="8"/>
      <c r="F422" s="9" t="s">
        <v>2251</v>
      </c>
      <c r="G422" s="10" t="s">
        <v>2252</v>
      </c>
      <c r="H422" s="10" t="s">
        <v>2253</v>
      </c>
      <c r="I422" s="10"/>
    </row>
    <row r="423" spans="1:9" ht="14.25" customHeight="1" x14ac:dyDescent="0.25">
      <c r="A423" s="7" t="s">
        <v>2254</v>
      </c>
      <c r="B423" s="8" t="s">
        <v>2230</v>
      </c>
      <c r="C423" s="8" t="s">
        <v>2255</v>
      </c>
      <c r="D423" s="8"/>
      <c r="E423" s="8"/>
      <c r="F423" s="9" t="s">
        <v>2256</v>
      </c>
      <c r="G423" s="10" t="s">
        <v>2257</v>
      </c>
      <c r="H423" s="10" t="s">
        <v>2258</v>
      </c>
      <c r="I423" s="10"/>
    </row>
    <row r="424" spans="1:9" ht="14.25" customHeight="1" x14ac:dyDescent="0.25">
      <c r="A424" s="7" t="s">
        <v>2259</v>
      </c>
      <c r="B424" s="8" t="s">
        <v>2260</v>
      </c>
      <c r="C424" s="8" t="s">
        <v>2261</v>
      </c>
      <c r="D424" s="8"/>
      <c r="E424" s="8"/>
      <c r="F424" s="9" t="s">
        <v>2262</v>
      </c>
      <c r="G424" s="10" t="s">
        <v>2263</v>
      </c>
      <c r="H424" s="10" t="s">
        <v>2264</v>
      </c>
      <c r="I424" s="10"/>
    </row>
    <row r="425" spans="1:9" ht="14.25" customHeight="1" x14ac:dyDescent="0.25">
      <c r="A425" s="7"/>
      <c r="B425" s="8" t="s">
        <v>2260</v>
      </c>
      <c r="C425" s="8" t="s">
        <v>2265</v>
      </c>
      <c r="D425" s="8"/>
      <c r="E425" s="8"/>
      <c r="F425" s="9" t="s">
        <v>2266</v>
      </c>
      <c r="G425" s="10" t="s">
        <v>2267</v>
      </c>
      <c r="H425" s="10" t="s">
        <v>2268</v>
      </c>
      <c r="I425" s="10"/>
    </row>
    <row r="426" spans="1:9" ht="14.25" customHeight="1" x14ac:dyDescent="0.25">
      <c r="A426" s="7" t="s">
        <v>2269</v>
      </c>
      <c r="B426" s="8" t="s">
        <v>2270</v>
      </c>
      <c r="C426" s="8" t="s">
        <v>2271</v>
      </c>
      <c r="D426" s="8"/>
      <c r="E426" s="8"/>
      <c r="F426" s="9" t="s">
        <v>2272</v>
      </c>
      <c r="G426" s="10" t="s">
        <v>2273</v>
      </c>
      <c r="H426" s="10" t="s">
        <v>2274</v>
      </c>
      <c r="I426" s="10"/>
    </row>
    <row r="427" spans="1:9" ht="14.25" customHeight="1" x14ac:dyDescent="0.25">
      <c r="A427" s="7" t="s">
        <v>2275</v>
      </c>
      <c r="B427" s="8" t="s">
        <v>2276</v>
      </c>
      <c r="C427" s="8" t="s">
        <v>2277</v>
      </c>
      <c r="D427" s="8"/>
      <c r="E427" s="8"/>
      <c r="F427" s="9" t="s">
        <v>2278</v>
      </c>
      <c r="G427" s="10" t="s">
        <v>2279</v>
      </c>
      <c r="H427" s="10" t="s">
        <v>2280</v>
      </c>
      <c r="I427" s="10"/>
    </row>
    <row r="428" spans="1:9" ht="14.25" customHeight="1" x14ac:dyDescent="0.25">
      <c r="A428" s="7" t="s">
        <v>2281</v>
      </c>
      <c r="B428" s="8" t="s">
        <v>2282</v>
      </c>
      <c r="C428" s="8" t="s">
        <v>2283</v>
      </c>
      <c r="D428" s="8"/>
      <c r="E428" s="8"/>
      <c r="F428" s="9" t="s">
        <v>2284</v>
      </c>
      <c r="G428" s="10" t="s">
        <v>2285</v>
      </c>
      <c r="H428" s="10" t="s">
        <v>2286</v>
      </c>
      <c r="I428" s="10"/>
    </row>
    <row r="429" spans="1:9" ht="14.25" customHeight="1" x14ac:dyDescent="0.25">
      <c r="A429" s="7" t="s">
        <v>2287</v>
      </c>
      <c r="B429" s="8" t="s">
        <v>2288</v>
      </c>
      <c r="C429" s="8" t="s">
        <v>2289</v>
      </c>
      <c r="D429" s="8"/>
      <c r="E429" s="8"/>
      <c r="F429" s="9" t="s">
        <v>2290</v>
      </c>
      <c r="G429" s="10" t="s">
        <v>2291</v>
      </c>
      <c r="H429" s="10" t="s">
        <v>2292</v>
      </c>
      <c r="I429" s="10"/>
    </row>
    <row r="430" spans="1:9" ht="14.25" customHeight="1" x14ac:dyDescent="0.25">
      <c r="A430" s="7" t="s">
        <v>2293</v>
      </c>
      <c r="B430" s="8" t="s">
        <v>2294</v>
      </c>
      <c r="C430" s="8" t="s">
        <v>2295</v>
      </c>
      <c r="D430" s="8" t="s">
        <v>411</v>
      </c>
      <c r="E430" s="8" t="s">
        <v>412</v>
      </c>
      <c r="F430" s="9" t="s">
        <v>2296</v>
      </c>
      <c r="G430" s="10"/>
      <c r="H430" s="10" t="s">
        <v>20</v>
      </c>
      <c r="I430" s="10"/>
    </row>
    <row r="431" spans="1:9" ht="14.25" customHeight="1" x14ac:dyDescent="0.25">
      <c r="A431" s="7"/>
      <c r="B431" s="8" t="s">
        <v>2297</v>
      </c>
      <c r="C431" s="8" t="s">
        <v>2298</v>
      </c>
      <c r="D431" s="8"/>
      <c r="E431" s="8"/>
      <c r="F431" s="9" t="s">
        <v>2299</v>
      </c>
      <c r="G431" s="10" t="s">
        <v>2300</v>
      </c>
      <c r="H431" s="10" t="s">
        <v>2301</v>
      </c>
      <c r="I431" s="10"/>
    </row>
    <row r="432" spans="1:9" ht="14.25" customHeight="1" x14ac:dyDescent="0.25">
      <c r="A432" s="7" t="s">
        <v>2302</v>
      </c>
      <c r="B432" s="8" t="s">
        <v>2297</v>
      </c>
      <c r="C432" s="8" t="s">
        <v>2303</v>
      </c>
      <c r="D432" s="8"/>
      <c r="E432" s="8"/>
      <c r="F432" s="9" t="s">
        <v>2304</v>
      </c>
      <c r="G432" s="10" t="s">
        <v>2305</v>
      </c>
      <c r="H432" s="10" t="s">
        <v>2306</v>
      </c>
      <c r="I432" s="10"/>
    </row>
    <row r="433" spans="1:9" ht="14.25" customHeight="1" x14ac:dyDescent="0.25">
      <c r="A433" s="7" t="s">
        <v>2307</v>
      </c>
      <c r="B433" s="8" t="s">
        <v>2297</v>
      </c>
      <c r="C433" s="8" t="s">
        <v>2308</v>
      </c>
      <c r="D433" s="8"/>
      <c r="E433" s="8"/>
      <c r="F433" s="9" t="s">
        <v>2309</v>
      </c>
      <c r="G433" s="10" t="s">
        <v>2310</v>
      </c>
      <c r="H433" s="10" t="s">
        <v>2311</v>
      </c>
      <c r="I433" s="10"/>
    </row>
    <row r="434" spans="1:9" ht="14.25" customHeight="1" x14ac:dyDescent="0.25">
      <c r="A434" s="7" t="s">
        <v>2312</v>
      </c>
      <c r="B434" s="8" t="s">
        <v>2313</v>
      </c>
      <c r="C434" s="8" t="s">
        <v>2314</v>
      </c>
      <c r="D434" s="8"/>
      <c r="E434" s="8"/>
      <c r="F434" s="9" t="s">
        <v>2315</v>
      </c>
      <c r="G434" s="10" t="s">
        <v>2316</v>
      </c>
      <c r="H434" s="10" t="s">
        <v>2317</v>
      </c>
      <c r="I434" s="10"/>
    </row>
    <row r="435" spans="1:9" ht="14.25" customHeight="1" x14ac:dyDescent="0.25">
      <c r="A435" s="7" t="s">
        <v>2318</v>
      </c>
      <c r="B435" s="8" t="s">
        <v>2313</v>
      </c>
      <c r="C435" s="8" t="s">
        <v>2319</v>
      </c>
      <c r="D435" s="8"/>
      <c r="E435" s="8"/>
      <c r="F435" s="9" t="s">
        <v>2320</v>
      </c>
      <c r="G435" s="10" t="s">
        <v>2321</v>
      </c>
      <c r="H435" s="10" t="s">
        <v>2322</v>
      </c>
      <c r="I435" s="10"/>
    </row>
    <row r="436" spans="1:9" ht="14.25" customHeight="1" x14ac:dyDescent="0.25">
      <c r="A436" s="7" t="s">
        <v>2323</v>
      </c>
      <c r="B436" s="8" t="s">
        <v>2324</v>
      </c>
      <c r="C436" s="8" t="s">
        <v>2325</v>
      </c>
      <c r="D436" s="8"/>
      <c r="E436" s="8"/>
      <c r="F436" s="9" t="s">
        <v>2326</v>
      </c>
      <c r="G436" s="10" t="s">
        <v>2327</v>
      </c>
      <c r="H436" s="10" t="s">
        <v>2328</v>
      </c>
      <c r="I436" s="10"/>
    </row>
    <row r="437" spans="1:9" ht="14.25" customHeight="1" x14ac:dyDescent="0.25">
      <c r="A437" s="7"/>
      <c r="B437" s="8" t="s">
        <v>2329</v>
      </c>
      <c r="C437" s="8" t="s">
        <v>2330</v>
      </c>
      <c r="D437" s="8"/>
      <c r="E437" s="8"/>
      <c r="F437" s="9" t="s">
        <v>2331</v>
      </c>
      <c r="G437" s="10" t="s">
        <v>2332</v>
      </c>
      <c r="H437" s="10" t="s">
        <v>2333</v>
      </c>
      <c r="I437" s="10"/>
    </row>
    <row r="438" spans="1:9" ht="14.25" customHeight="1" x14ac:dyDescent="0.25">
      <c r="A438" s="7"/>
      <c r="B438" s="8" t="s">
        <v>2334</v>
      </c>
      <c r="C438" s="8" t="s">
        <v>2335</v>
      </c>
      <c r="D438" s="8"/>
      <c r="E438" s="8"/>
      <c r="F438" s="9" t="s">
        <v>2336</v>
      </c>
      <c r="G438" s="10" t="s">
        <v>2337</v>
      </c>
      <c r="H438" s="10" t="s">
        <v>2338</v>
      </c>
      <c r="I438" s="10"/>
    </row>
    <row r="439" spans="1:9" ht="14.25" customHeight="1" x14ac:dyDescent="0.25">
      <c r="A439" s="7" t="s">
        <v>2339</v>
      </c>
      <c r="B439" s="8" t="s">
        <v>2334</v>
      </c>
      <c r="C439" s="8" t="s">
        <v>2340</v>
      </c>
      <c r="D439" s="8"/>
      <c r="E439" s="8"/>
      <c r="F439" s="9" t="s">
        <v>2341</v>
      </c>
      <c r="G439" s="10" t="s">
        <v>2342</v>
      </c>
      <c r="H439" s="10" t="s">
        <v>2343</v>
      </c>
      <c r="I439" s="10"/>
    </row>
    <row r="440" spans="1:9" ht="14.25" customHeight="1" x14ac:dyDescent="0.25">
      <c r="A440" s="7" t="s">
        <v>2344</v>
      </c>
      <c r="B440" s="8" t="s">
        <v>2334</v>
      </c>
      <c r="C440" s="8" t="s">
        <v>1252</v>
      </c>
      <c r="D440" s="8"/>
      <c r="E440" s="8"/>
      <c r="F440" s="9" t="s">
        <v>2345</v>
      </c>
      <c r="G440" s="10" t="s">
        <v>2346</v>
      </c>
      <c r="H440" s="10" t="s">
        <v>2347</v>
      </c>
      <c r="I440" s="10"/>
    </row>
    <row r="441" spans="1:9" ht="14.25" customHeight="1" x14ac:dyDescent="0.25">
      <c r="A441" s="7" t="s">
        <v>2348</v>
      </c>
      <c r="B441" s="8" t="s">
        <v>2334</v>
      </c>
      <c r="C441" s="8" t="s">
        <v>2349</v>
      </c>
      <c r="D441" s="8"/>
      <c r="E441" s="8"/>
      <c r="F441" s="9" t="s">
        <v>2350</v>
      </c>
      <c r="G441" s="10" t="s">
        <v>2351</v>
      </c>
      <c r="H441" s="10" t="s">
        <v>2352</v>
      </c>
      <c r="I441" s="10"/>
    </row>
    <row r="442" spans="1:9" ht="14.25" customHeight="1" x14ac:dyDescent="0.25">
      <c r="A442" s="7" t="s">
        <v>2353</v>
      </c>
      <c r="B442" s="8" t="s">
        <v>2354</v>
      </c>
      <c r="C442" s="8" t="s">
        <v>2355</v>
      </c>
      <c r="D442" s="8"/>
      <c r="E442" s="8"/>
      <c r="F442" s="9" t="s">
        <v>2356</v>
      </c>
      <c r="G442" s="10" t="s">
        <v>2357</v>
      </c>
      <c r="H442" s="10" t="s">
        <v>2358</v>
      </c>
      <c r="I442" s="10"/>
    </row>
    <row r="443" spans="1:9" ht="14.25" customHeight="1" x14ac:dyDescent="0.25">
      <c r="A443" s="7" t="s">
        <v>2359</v>
      </c>
      <c r="B443" s="8" t="s">
        <v>2360</v>
      </c>
      <c r="C443" s="8" t="s">
        <v>2361</v>
      </c>
      <c r="D443" s="8"/>
      <c r="E443" s="8"/>
      <c r="F443" s="9" t="s">
        <v>2362</v>
      </c>
      <c r="G443" s="10" t="s">
        <v>2363</v>
      </c>
      <c r="H443" s="10" t="s">
        <v>2364</v>
      </c>
      <c r="I443" s="10"/>
    </row>
    <row r="444" spans="1:9" ht="14.25" customHeight="1" x14ac:dyDescent="0.25">
      <c r="A444" s="7"/>
      <c r="B444" s="8" t="s">
        <v>2365</v>
      </c>
      <c r="C444" s="8" t="s">
        <v>2366</v>
      </c>
      <c r="D444" s="8"/>
      <c r="E444" s="8"/>
      <c r="F444" s="9" t="s">
        <v>2367</v>
      </c>
      <c r="G444" s="10" t="s">
        <v>2368</v>
      </c>
      <c r="H444" s="10" t="s">
        <v>2369</v>
      </c>
      <c r="I444" s="10"/>
    </row>
    <row r="445" spans="1:9" ht="14.25" customHeight="1" x14ac:dyDescent="0.25">
      <c r="A445" s="7" t="s">
        <v>2370</v>
      </c>
      <c r="B445" s="8" t="s">
        <v>2371</v>
      </c>
      <c r="C445" s="8" t="s">
        <v>2372</v>
      </c>
      <c r="D445" s="8"/>
      <c r="E445" s="8"/>
      <c r="F445" s="9" t="s">
        <v>2373</v>
      </c>
      <c r="G445" s="10" t="s">
        <v>2374</v>
      </c>
      <c r="H445" s="10" t="s">
        <v>2375</v>
      </c>
      <c r="I445" s="10"/>
    </row>
    <row r="446" spans="1:9" ht="14.25" customHeight="1" x14ac:dyDescent="0.25">
      <c r="A446" s="7" t="s">
        <v>2376</v>
      </c>
      <c r="B446" s="8" t="s">
        <v>2377</v>
      </c>
      <c r="C446" s="8" t="s">
        <v>2378</v>
      </c>
      <c r="D446" s="8"/>
      <c r="E446" s="8"/>
      <c r="F446" s="9" t="s">
        <v>2379</v>
      </c>
      <c r="G446" s="10" t="s">
        <v>2380</v>
      </c>
      <c r="H446" s="10" t="s">
        <v>2381</v>
      </c>
      <c r="I446" s="10"/>
    </row>
    <row r="447" spans="1:9" ht="14.25" customHeight="1" x14ac:dyDescent="0.25">
      <c r="A447" s="7"/>
      <c r="B447" s="8" t="s">
        <v>2382</v>
      </c>
      <c r="C447" s="8" t="s">
        <v>2383</v>
      </c>
      <c r="D447" s="8"/>
      <c r="E447" s="8"/>
      <c r="F447" s="9" t="s">
        <v>2384</v>
      </c>
      <c r="G447" s="10" t="s">
        <v>2385</v>
      </c>
      <c r="H447" s="10" t="s">
        <v>2386</v>
      </c>
      <c r="I447" s="10"/>
    </row>
    <row r="448" spans="1:9" ht="14.25" customHeight="1" x14ac:dyDescent="0.25">
      <c r="A448" s="7" t="s">
        <v>2387</v>
      </c>
      <c r="B448" s="8" t="s">
        <v>2382</v>
      </c>
      <c r="C448" s="8" t="s">
        <v>2388</v>
      </c>
      <c r="D448" s="8"/>
      <c r="E448" s="8"/>
      <c r="F448" s="9" t="s">
        <v>2389</v>
      </c>
      <c r="G448" s="10" t="s">
        <v>2390</v>
      </c>
      <c r="H448" s="10" t="s">
        <v>2391</v>
      </c>
      <c r="I448" s="10"/>
    </row>
    <row r="449" spans="1:9" ht="14.25" customHeight="1" x14ac:dyDescent="0.25">
      <c r="A449" s="7" t="s">
        <v>2392</v>
      </c>
      <c r="B449" s="8" t="s">
        <v>2382</v>
      </c>
      <c r="C449" s="8" t="s">
        <v>2393</v>
      </c>
      <c r="D449" s="8"/>
      <c r="E449" s="8"/>
      <c r="F449" s="9" t="s">
        <v>2394</v>
      </c>
      <c r="G449" s="10" t="s">
        <v>2395</v>
      </c>
      <c r="H449" s="10" t="s">
        <v>2396</v>
      </c>
      <c r="I449" s="10"/>
    </row>
    <row r="450" spans="1:9" ht="14.25" customHeight="1" x14ac:dyDescent="0.25">
      <c r="A450" s="7" t="s">
        <v>2397</v>
      </c>
      <c r="B450" s="8" t="s">
        <v>2382</v>
      </c>
      <c r="C450" s="8" t="s">
        <v>2398</v>
      </c>
      <c r="D450" s="8"/>
      <c r="E450" s="8"/>
      <c r="F450" s="9" t="s">
        <v>2399</v>
      </c>
      <c r="G450" s="10" t="s">
        <v>2400</v>
      </c>
      <c r="H450" s="10" t="s">
        <v>2401</v>
      </c>
      <c r="I450" s="10"/>
    </row>
    <row r="451" spans="1:9" ht="14.25" customHeight="1" x14ac:dyDescent="0.25">
      <c r="A451" s="7" t="s">
        <v>2402</v>
      </c>
      <c r="B451" s="8" t="s">
        <v>2382</v>
      </c>
      <c r="C451" s="8" t="s">
        <v>2403</v>
      </c>
      <c r="D451" s="8" t="s">
        <v>411</v>
      </c>
      <c r="E451" s="8" t="s">
        <v>412</v>
      </c>
      <c r="F451" s="9" t="s">
        <v>2404</v>
      </c>
      <c r="G451" s="10" t="s">
        <v>2405</v>
      </c>
      <c r="H451" s="10" t="s">
        <v>2406</v>
      </c>
      <c r="I451" s="10"/>
    </row>
    <row r="452" spans="1:9" ht="14.25" customHeight="1" x14ac:dyDescent="0.25">
      <c r="A452" s="7" t="s">
        <v>2407</v>
      </c>
      <c r="B452" s="8" t="s">
        <v>2382</v>
      </c>
      <c r="C452" s="8" t="s">
        <v>150</v>
      </c>
      <c r="D452" s="8"/>
      <c r="E452" s="8"/>
      <c r="F452" s="9" t="s">
        <v>2408</v>
      </c>
      <c r="G452" s="10" t="s">
        <v>2409</v>
      </c>
      <c r="H452" s="10" t="s">
        <v>2410</v>
      </c>
      <c r="I452" s="10"/>
    </row>
    <row r="453" spans="1:9" ht="14.25" customHeight="1" x14ac:dyDescent="0.25">
      <c r="A453" s="7"/>
      <c r="B453" s="8" t="s">
        <v>2382</v>
      </c>
      <c r="C453" s="8" t="s">
        <v>2411</v>
      </c>
      <c r="D453" s="8"/>
      <c r="E453" s="8"/>
      <c r="F453" s="9" t="s">
        <v>2412</v>
      </c>
      <c r="G453" s="10" t="s">
        <v>2413</v>
      </c>
      <c r="H453" s="10" t="s">
        <v>2414</v>
      </c>
      <c r="I453" s="10"/>
    </row>
    <row r="454" spans="1:9" ht="14.25" customHeight="1" x14ac:dyDescent="0.25">
      <c r="A454" s="7" t="s">
        <v>2415</v>
      </c>
      <c r="B454" s="8" t="s">
        <v>2416</v>
      </c>
      <c r="C454" s="8" t="s">
        <v>2417</v>
      </c>
      <c r="D454" s="8"/>
      <c r="E454" s="8"/>
      <c r="F454" s="9" t="s">
        <v>2418</v>
      </c>
      <c r="G454" s="10" t="s">
        <v>2419</v>
      </c>
      <c r="H454" s="10" t="s">
        <v>2420</v>
      </c>
      <c r="I454" s="10"/>
    </row>
    <row r="455" spans="1:9" ht="14.25" customHeight="1" x14ac:dyDescent="0.25">
      <c r="A455" s="7" t="s">
        <v>2421</v>
      </c>
      <c r="B455" s="8" t="s">
        <v>2422</v>
      </c>
      <c r="C455" s="8" t="s">
        <v>2423</v>
      </c>
      <c r="D455" s="8"/>
      <c r="E455" s="8"/>
      <c r="F455" s="9" t="s">
        <v>2424</v>
      </c>
      <c r="G455" s="10" t="s">
        <v>2425</v>
      </c>
      <c r="H455" s="10" t="s">
        <v>2426</v>
      </c>
      <c r="I455" s="10"/>
    </row>
    <row r="456" spans="1:9" ht="14.25" customHeight="1" x14ac:dyDescent="0.25">
      <c r="A456" s="7"/>
      <c r="B456" s="8" t="s">
        <v>2427</v>
      </c>
      <c r="C456" s="8" t="s">
        <v>2428</v>
      </c>
      <c r="D456" s="8"/>
      <c r="E456" s="8"/>
      <c r="F456" s="9" t="s">
        <v>2429</v>
      </c>
      <c r="G456" s="10" t="s">
        <v>2430</v>
      </c>
      <c r="H456" s="10" t="s">
        <v>2431</v>
      </c>
      <c r="I456" s="10"/>
    </row>
    <row r="457" spans="1:9" ht="14.25" customHeight="1" x14ac:dyDescent="0.25">
      <c r="A457" s="7"/>
      <c r="B457" s="8" t="s">
        <v>2432</v>
      </c>
      <c r="C457" s="8" t="s">
        <v>2433</v>
      </c>
      <c r="D457" s="8"/>
      <c r="E457" s="8"/>
      <c r="F457" s="9" t="s">
        <v>2434</v>
      </c>
      <c r="G457" s="10" t="s">
        <v>2435</v>
      </c>
      <c r="H457" s="10" t="s">
        <v>2436</v>
      </c>
      <c r="I457" s="10"/>
    </row>
    <row r="458" spans="1:9" ht="14.25" customHeight="1" x14ac:dyDescent="0.25">
      <c r="A458" s="7" t="s">
        <v>2437</v>
      </c>
      <c r="B458" s="8" t="s">
        <v>2438</v>
      </c>
      <c r="C458" s="8" t="s">
        <v>2439</v>
      </c>
      <c r="D458" s="8"/>
      <c r="E458" s="8"/>
      <c r="F458" s="9" t="s">
        <v>2440</v>
      </c>
      <c r="G458" s="10" t="s">
        <v>2441</v>
      </c>
      <c r="H458" s="10" t="s">
        <v>2442</v>
      </c>
      <c r="I458" s="10"/>
    </row>
    <row r="459" spans="1:9" ht="14.25" customHeight="1" x14ac:dyDescent="0.25">
      <c r="A459" s="7"/>
      <c r="B459" s="8" t="s">
        <v>2443</v>
      </c>
      <c r="C459" s="8" t="s">
        <v>2444</v>
      </c>
      <c r="D459" s="8"/>
      <c r="E459" s="8"/>
      <c r="F459" s="9" t="s">
        <v>2445</v>
      </c>
      <c r="G459" s="10" t="s">
        <v>2446</v>
      </c>
      <c r="H459" s="10" t="s">
        <v>2447</v>
      </c>
      <c r="I459" s="10"/>
    </row>
    <row r="460" spans="1:9" ht="14.25" customHeight="1" x14ac:dyDescent="0.25">
      <c r="A460" s="7" t="s">
        <v>2448</v>
      </c>
      <c r="B460" s="8" t="s">
        <v>2449</v>
      </c>
      <c r="C460" s="8" t="s">
        <v>2450</v>
      </c>
      <c r="D460" s="8"/>
      <c r="E460" s="8"/>
      <c r="F460" s="9" t="s">
        <v>2451</v>
      </c>
      <c r="G460" s="10" t="s">
        <v>2452</v>
      </c>
      <c r="H460" s="10" t="s">
        <v>2453</v>
      </c>
      <c r="I460" s="10"/>
    </row>
    <row r="461" spans="1:9" ht="14.25" customHeight="1" x14ac:dyDescent="0.25">
      <c r="A461" s="7"/>
      <c r="B461" s="8" t="s">
        <v>2454</v>
      </c>
      <c r="C461" s="8" t="s">
        <v>2455</v>
      </c>
      <c r="D461" s="8"/>
      <c r="E461" s="8"/>
      <c r="F461" s="9" t="s">
        <v>2456</v>
      </c>
      <c r="G461" s="10" t="s">
        <v>2457</v>
      </c>
      <c r="H461" s="10" t="s">
        <v>2458</v>
      </c>
      <c r="I461" s="10"/>
    </row>
    <row r="462" spans="1:9" ht="14.25" customHeight="1" x14ac:dyDescent="0.25">
      <c r="A462" s="7"/>
      <c r="B462" s="8" t="s">
        <v>2459</v>
      </c>
      <c r="C462" s="8" t="s">
        <v>1908</v>
      </c>
      <c r="D462" s="8"/>
      <c r="E462" s="8"/>
      <c r="F462" s="9" t="s">
        <v>2460</v>
      </c>
      <c r="G462" s="10" t="s">
        <v>2461</v>
      </c>
      <c r="H462" s="10" t="s">
        <v>2462</v>
      </c>
      <c r="I462" s="10"/>
    </row>
    <row r="463" spans="1:9" ht="14.25" customHeight="1" x14ac:dyDescent="0.25">
      <c r="A463" s="7" t="s">
        <v>2463</v>
      </c>
      <c r="B463" s="8" t="s">
        <v>2464</v>
      </c>
      <c r="C463" s="8" t="s">
        <v>2465</v>
      </c>
      <c r="D463" s="8"/>
      <c r="E463" s="8"/>
      <c r="F463" s="9" t="s">
        <v>2466</v>
      </c>
      <c r="G463" s="10" t="s">
        <v>2467</v>
      </c>
      <c r="H463" s="10" t="s">
        <v>2468</v>
      </c>
      <c r="I463" s="10"/>
    </row>
    <row r="464" spans="1:9" ht="14.25" customHeight="1" x14ac:dyDescent="0.25">
      <c r="A464" s="7" t="s">
        <v>2469</v>
      </c>
      <c r="B464" s="8" t="s">
        <v>2464</v>
      </c>
      <c r="C464" s="8" t="s">
        <v>2470</v>
      </c>
      <c r="D464" s="8"/>
      <c r="E464" s="8"/>
      <c r="F464" s="9" t="s">
        <v>2471</v>
      </c>
      <c r="G464" s="10" t="s">
        <v>2472</v>
      </c>
      <c r="H464" s="10" t="s">
        <v>2473</v>
      </c>
      <c r="I464" s="10"/>
    </row>
    <row r="465" spans="1:9" ht="14.25" customHeight="1" x14ac:dyDescent="0.25">
      <c r="A465" s="7" t="s">
        <v>2474</v>
      </c>
      <c r="B465" s="8" t="s">
        <v>2475</v>
      </c>
      <c r="C465" s="8" t="s">
        <v>2476</v>
      </c>
      <c r="D465" s="8"/>
      <c r="E465" s="8"/>
      <c r="F465" s="9" t="s">
        <v>2477</v>
      </c>
      <c r="G465" s="10" t="s">
        <v>2478</v>
      </c>
      <c r="H465" s="10" t="s">
        <v>2479</v>
      </c>
      <c r="I465" s="10"/>
    </row>
    <row r="466" spans="1:9" ht="14.25" customHeight="1" x14ac:dyDescent="0.25">
      <c r="A466" s="7"/>
      <c r="B466" s="8" t="s">
        <v>2480</v>
      </c>
      <c r="C466" s="8" t="s">
        <v>2481</v>
      </c>
      <c r="D466" s="8"/>
      <c r="E466" s="8"/>
      <c r="F466" s="9" t="s">
        <v>2482</v>
      </c>
      <c r="G466" s="10" t="s">
        <v>2483</v>
      </c>
      <c r="H466" s="10" t="s">
        <v>2484</v>
      </c>
      <c r="I466" s="10"/>
    </row>
    <row r="467" spans="1:9" ht="14.25" customHeight="1" x14ac:dyDescent="0.25">
      <c r="A467" s="7" t="s">
        <v>2485</v>
      </c>
      <c r="B467" s="8" t="s">
        <v>2486</v>
      </c>
      <c r="C467" s="8" t="s">
        <v>2487</v>
      </c>
      <c r="D467" s="8"/>
      <c r="E467" s="8"/>
      <c r="F467" s="9" t="s">
        <v>2488</v>
      </c>
      <c r="G467" s="10" t="s">
        <v>2489</v>
      </c>
      <c r="H467" s="10" t="s">
        <v>2490</v>
      </c>
      <c r="I467" s="10"/>
    </row>
    <row r="468" spans="1:9" ht="14.25" customHeight="1" x14ac:dyDescent="0.25">
      <c r="A468" s="7"/>
      <c r="B468" s="8" t="s">
        <v>2491</v>
      </c>
      <c r="C468" s="8" t="s">
        <v>2492</v>
      </c>
      <c r="D468" s="8"/>
      <c r="E468" s="8"/>
      <c r="F468" s="9" t="s">
        <v>2493</v>
      </c>
      <c r="G468" s="10" t="s">
        <v>2494</v>
      </c>
      <c r="H468" s="10" t="s">
        <v>2495</v>
      </c>
      <c r="I468" s="10"/>
    </row>
    <row r="469" spans="1:9" ht="14.25" customHeight="1" x14ac:dyDescent="0.25">
      <c r="A469" s="7" t="s">
        <v>2496</v>
      </c>
      <c r="B469" s="8" t="s">
        <v>2497</v>
      </c>
      <c r="C469" s="8" t="s">
        <v>2498</v>
      </c>
      <c r="D469" s="8"/>
      <c r="E469" s="8"/>
      <c r="F469" s="9" t="s">
        <v>2499</v>
      </c>
      <c r="G469" s="10" t="s">
        <v>2500</v>
      </c>
      <c r="H469" s="10" t="s">
        <v>2501</v>
      </c>
      <c r="I469" s="10"/>
    </row>
    <row r="470" spans="1:9" ht="14.25" customHeight="1" x14ac:dyDescent="0.25">
      <c r="A470" s="7"/>
      <c r="B470" s="8" t="s">
        <v>2502</v>
      </c>
      <c r="C470" s="8" t="s">
        <v>2503</v>
      </c>
      <c r="D470" s="8"/>
      <c r="E470" s="8"/>
      <c r="F470" s="9" t="s">
        <v>2504</v>
      </c>
      <c r="G470" s="10" t="s">
        <v>2505</v>
      </c>
      <c r="H470" s="10" t="s">
        <v>2506</v>
      </c>
      <c r="I470" s="10"/>
    </row>
    <row r="471" spans="1:9" ht="14.25" customHeight="1" x14ac:dyDescent="0.25">
      <c r="A471" s="7"/>
      <c r="B471" s="8" t="s">
        <v>2507</v>
      </c>
      <c r="C471" s="8" t="s">
        <v>2508</v>
      </c>
      <c r="D471" s="8"/>
      <c r="E471" s="8"/>
      <c r="F471" s="9" t="s">
        <v>2509</v>
      </c>
      <c r="G471" s="10" t="s">
        <v>2510</v>
      </c>
      <c r="H471" s="10" t="s">
        <v>2511</v>
      </c>
      <c r="I471" s="10"/>
    </row>
    <row r="472" spans="1:9" ht="14.25" customHeight="1" x14ac:dyDescent="0.25">
      <c r="A472" s="7" t="s">
        <v>2512</v>
      </c>
      <c r="B472" s="8" t="s">
        <v>2507</v>
      </c>
      <c r="C472" s="8" t="s">
        <v>2513</v>
      </c>
      <c r="D472" s="8"/>
      <c r="E472" s="8"/>
      <c r="F472" s="9" t="s">
        <v>2514</v>
      </c>
      <c r="G472" s="10" t="s">
        <v>2515</v>
      </c>
      <c r="H472" s="10" t="s">
        <v>2516</v>
      </c>
      <c r="I472" s="10"/>
    </row>
    <row r="473" spans="1:9" ht="14.25" customHeight="1" x14ac:dyDescent="0.25">
      <c r="A473" s="7" t="s">
        <v>2517</v>
      </c>
      <c r="B473" s="8" t="s">
        <v>2507</v>
      </c>
      <c r="C473" s="8" t="s">
        <v>1358</v>
      </c>
      <c r="D473" s="8"/>
      <c r="E473" s="8"/>
      <c r="F473" s="9" t="s">
        <v>2518</v>
      </c>
      <c r="G473" s="10" t="s">
        <v>2519</v>
      </c>
      <c r="H473" s="10" t="s">
        <v>2520</v>
      </c>
      <c r="I473" s="10"/>
    </row>
    <row r="474" spans="1:9" ht="14.25" customHeight="1" x14ac:dyDescent="0.25">
      <c r="A474" s="7" t="s">
        <v>2521</v>
      </c>
      <c r="B474" s="8" t="s">
        <v>2522</v>
      </c>
      <c r="C474" s="8" t="s">
        <v>2523</v>
      </c>
      <c r="D474" s="8"/>
      <c r="E474" s="8"/>
      <c r="F474" s="9" t="s">
        <v>2524</v>
      </c>
      <c r="G474" s="10" t="s">
        <v>2525</v>
      </c>
      <c r="H474" s="10" t="s">
        <v>2526</v>
      </c>
      <c r="I474" s="10"/>
    </row>
    <row r="475" spans="1:9" ht="14.25" customHeight="1" x14ac:dyDescent="0.25">
      <c r="A475" s="7" t="s">
        <v>2527</v>
      </c>
      <c r="B475" s="8" t="s">
        <v>2522</v>
      </c>
      <c r="C475" s="8" t="s">
        <v>2528</v>
      </c>
      <c r="D475" s="8"/>
      <c r="E475" s="8"/>
      <c r="F475" s="9" t="s">
        <v>2529</v>
      </c>
      <c r="G475" s="10" t="s">
        <v>2530</v>
      </c>
      <c r="H475" s="10" t="s">
        <v>2531</v>
      </c>
      <c r="I475" s="10"/>
    </row>
    <row r="476" spans="1:9" ht="14.25" customHeight="1" x14ac:dyDescent="0.25">
      <c r="A476" s="7"/>
      <c r="B476" s="8" t="s">
        <v>2522</v>
      </c>
      <c r="C476" s="8" t="s">
        <v>2532</v>
      </c>
      <c r="D476" s="8"/>
      <c r="E476" s="8"/>
      <c r="F476" s="9" t="s">
        <v>2533</v>
      </c>
      <c r="G476" s="10" t="s">
        <v>2534</v>
      </c>
      <c r="H476" s="10" t="s">
        <v>2535</v>
      </c>
      <c r="I476" s="10"/>
    </row>
    <row r="477" spans="1:9" ht="14.25" customHeight="1" x14ac:dyDescent="0.25">
      <c r="A477" s="7" t="s">
        <v>2536</v>
      </c>
      <c r="B477" s="8" t="s">
        <v>2537</v>
      </c>
      <c r="C477" s="8" t="s">
        <v>2538</v>
      </c>
      <c r="D477" s="8"/>
      <c r="E477" s="8"/>
      <c r="F477" s="9" t="s">
        <v>2539</v>
      </c>
      <c r="G477" s="10" t="s">
        <v>2540</v>
      </c>
      <c r="H477" s="10" t="s">
        <v>2541</v>
      </c>
      <c r="I477" s="10"/>
    </row>
    <row r="478" spans="1:9" ht="14.25" customHeight="1" x14ac:dyDescent="0.25">
      <c r="A478" s="7" t="s">
        <v>2542</v>
      </c>
      <c r="B478" s="8" t="s">
        <v>2543</v>
      </c>
      <c r="C478" s="8" t="s">
        <v>2544</v>
      </c>
      <c r="D478" s="8"/>
      <c r="E478" s="8"/>
      <c r="F478" s="9" t="s">
        <v>2545</v>
      </c>
      <c r="G478" s="10" t="s">
        <v>2546</v>
      </c>
      <c r="H478" s="10" t="s">
        <v>2547</v>
      </c>
      <c r="I478" s="10"/>
    </row>
    <row r="479" spans="1:9" ht="14.25" customHeight="1" x14ac:dyDescent="0.25">
      <c r="A479" s="7"/>
      <c r="B479" s="8" t="s">
        <v>2548</v>
      </c>
      <c r="C479" s="8" t="s">
        <v>2549</v>
      </c>
      <c r="D479" s="8"/>
      <c r="E479" s="8"/>
      <c r="F479" s="9" t="s">
        <v>2550</v>
      </c>
      <c r="G479" s="10" t="s">
        <v>2551</v>
      </c>
      <c r="H479" s="10" t="s">
        <v>2552</v>
      </c>
      <c r="I479" s="10"/>
    </row>
    <row r="480" spans="1:9" ht="14.25" customHeight="1" x14ac:dyDescent="0.25">
      <c r="A480" s="7" t="s">
        <v>2553</v>
      </c>
      <c r="B480" s="8" t="s">
        <v>2554</v>
      </c>
      <c r="C480" s="8" t="s">
        <v>2555</v>
      </c>
      <c r="D480" s="8"/>
      <c r="E480" s="8"/>
      <c r="F480" s="9" t="s">
        <v>2556</v>
      </c>
      <c r="G480" s="10" t="s">
        <v>2557</v>
      </c>
      <c r="H480" s="10" t="s">
        <v>2558</v>
      </c>
      <c r="I480" s="10"/>
    </row>
    <row r="481" spans="1:9" ht="14.25" customHeight="1" x14ac:dyDescent="0.25">
      <c r="A481" s="7"/>
      <c r="B481" s="8" t="s">
        <v>2559</v>
      </c>
      <c r="C481" s="8" t="s">
        <v>443</v>
      </c>
      <c r="D481" s="8"/>
      <c r="E481" s="8"/>
      <c r="F481" s="9" t="s">
        <v>2560</v>
      </c>
      <c r="G481" s="10" t="s">
        <v>2561</v>
      </c>
      <c r="H481" s="10" t="s">
        <v>2562</v>
      </c>
      <c r="I481" s="10"/>
    </row>
    <row r="482" spans="1:9" ht="14.25" customHeight="1" x14ac:dyDescent="0.25">
      <c r="A482" s="7" t="s">
        <v>2563</v>
      </c>
      <c r="B482" s="8" t="s">
        <v>2559</v>
      </c>
      <c r="C482" s="8" t="s">
        <v>2564</v>
      </c>
      <c r="D482" s="8"/>
      <c r="E482" s="8"/>
      <c r="F482" s="9" t="s">
        <v>2565</v>
      </c>
      <c r="G482" s="10" t="s">
        <v>2566</v>
      </c>
      <c r="H482" s="10" t="s">
        <v>2567</v>
      </c>
      <c r="I482" s="10"/>
    </row>
    <row r="483" spans="1:9" ht="14.25" customHeight="1" x14ac:dyDescent="0.25">
      <c r="A483" s="7" t="s">
        <v>2568</v>
      </c>
      <c r="B483" s="8" t="s">
        <v>2569</v>
      </c>
      <c r="C483" s="8" t="s">
        <v>2570</v>
      </c>
      <c r="D483" s="8"/>
      <c r="E483" s="8"/>
      <c r="F483" s="9" t="s">
        <v>2571</v>
      </c>
      <c r="G483" s="10" t="s">
        <v>2572</v>
      </c>
      <c r="H483" s="10" t="s">
        <v>2573</v>
      </c>
      <c r="I483" s="10"/>
    </row>
    <row r="484" spans="1:9" ht="14.25" customHeight="1" x14ac:dyDescent="0.25">
      <c r="A484" s="7" t="s">
        <v>2574</v>
      </c>
      <c r="B484" s="8" t="s">
        <v>2559</v>
      </c>
      <c r="C484" s="8" t="s">
        <v>2575</v>
      </c>
      <c r="D484" s="8"/>
      <c r="E484" s="8"/>
      <c r="F484" s="9" t="s">
        <v>2576</v>
      </c>
      <c r="G484" s="10" t="s">
        <v>2577</v>
      </c>
      <c r="H484" s="10" t="s">
        <v>2578</v>
      </c>
      <c r="I484" s="10"/>
    </row>
    <row r="485" spans="1:9" ht="14.25" customHeight="1" x14ac:dyDescent="0.25">
      <c r="A485" s="7">
        <v>793372352</v>
      </c>
      <c r="B485" s="8" t="s">
        <v>2579</v>
      </c>
      <c r="C485" s="8" t="s">
        <v>2580</v>
      </c>
      <c r="D485" s="8"/>
      <c r="E485" s="8"/>
      <c r="F485" s="9" t="s">
        <v>2581</v>
      </c>
      <c r="G485" s="10" t="s">
        <v>2582</v>
      </c>
      <c r="H485" s="10" t="s">
        <v>2583</v>
      </c>
      <c r="I485" s="10"/>
    </row>
    <row r="486" spans="1:9" ht="14.25" customHeight="1" x14ac:dyDescent="0.25">
      <c r="A486" s="7" t="s">
        <v>2584</v>
      </c>
      <c r="B486" s="8" t="s">
        <v>2579</v>
      </c>
      <c r="C486" s="8" t="s">
        <v>2585</v>
      </c>
      <c r="D486" s="8"/>
      <c r="E486" s="8"/>
      <c r="F486" s="9" t="s">
        <v>2586</v>
      </c>
      <c r="G486" s="10" t="s">
        <v>2587</v>
      </c>
      <c r="H486" s="10" t="s">
        <v>2588</v>
      </c>
      <c r="I486" s="10"/>
    </row>
    <row r="487" spans="1:9" ht="14.25" customHeight="1" x14ac:dyDescent="0.25">
      <c r="A487" s="7"/>
      <c r="B487" s="8" t="s">
        <v>2589</v>
      </c>
      <c r="C487" s="8" t="s">
        <v>2590</v>
      </c>
      <c r="D487" s="8"/>
      <c r="E487" s="8"/>
      <c r="F487" s="9" t="s">
        <v>2591</v>
      </c>
      <c r="G487" s="10" t="s">
        <v>2592</v>
      </c>
      <c r="H487" s="10" t="s">
        <v>2593</v>
      </c>
      <c r="I487" s="10"/>
    </row>
    <row r="488" spans="1:9" ht="14.25" customHeight="1" x14ac:dyDescent="0.25">
      <c r="A488" s="7" t="s">
        <v>2594</v>
      </c>
      <c r="B488" s="8" t="s">
        <v>2595</v>
      </c>
      <c r="C488" s="8" t="s">
        <v>2596</v>
      </c>
      <c r="D488" s="8"/>
      <c r="E488" s="8"/>
      <c r="F488" s="9" t="s">
        <v>2597</v>
      </c>
      <c r="G488" s="10" t="s">
        <v>2598</v>
      </c>
      <c r="H488" s="10" t="s">
        <v>2599</v>
      </c>
      <c r="I488" s="10"/>
    </row>
    <row r="489" spans="1:9" ht="14.25" customHeight="1" x14ac:dyDescent="0.25">
      <c r="A489" s="7" t="s">
        <v>2600</v>
      </c>
      <c r="B489" s="8" t="s">
        <v>2601</v>
      </c>
      <c r="C489" s="8" t="s">
        <v>2378</v>
      </c>
      <c r="D489" s="8"/>
      <c r="E489" s="8"/>
      <c r="F489" s="9" t="s">
        <v>2602</v>
      </c>
      <c r="G489" s="10" t="s">
        <v>2603</v>
      </c>
      <c r="H489" s="10" t="s">
        <v>2604</v>
      </c>
      <c r="I489" s="10"/>
    </row>
    <row r="490" spans="1:9" ht="14.25" customHeight="1" x14ac:dyDescent="0.25">
      <c r="A490" s="7" t="s">
        <v>2605</v>
      </c>
      <c r="B490" s="8" t="s">
        <v>2601</v>
      </c>
      <c r="C490" s="8" t="s">
        <v>2606</v>
      </c>
      <c r="D490" s="8"/>
      <c r="E490" s="8"/>
      <c r="F490" s="9" t="s">
        <v>2607</v>
      </c>
      <c r="G490" s="10" t="s">
        <v>2608</v>
      </c>
      <c r="H490" s="10" t="s">
        <v>2609</v>
      </c>
      <c r="I490" s="10"/>
    </row>
    <row r="491" spans="1:9" ht="14.25" customHeight="1" x14ac:dyDescent="0.25">
      <c r="A491" s="7"/>
      <c r="B491" s="8" t="s">
        <v>2601</v>
      </c>
      <c r="C491" s="8" t="s">
        <v>2610</v>
      </c>
      <c r="D491" s="8"/>
      <c r="E491" s="8"/>
      <c r="F491" s="9" t="s">
        <v>2611</v>
      </c>
      <c r="G491" s="10" t="s">
        <v>2612</v>
      </c>
      <c r="H491" s="10" t="s">
        <v>2613</v>
      </c>
      <c r="I491" s="10"/>
    </row>
    <row r="492" spans="1:9" ht="14.25" customHeight="1" x14ac:dyDescent="0.25">
      <c r="A492" s="7" t="s">
        <v>2614</v>
      </c>
      <c r="B492" s="8" t="s">
        <v>2615</v>
      </c>
      <c r="C492" s="8" t="s">
        <v>2616</v>
      </c>
      <c r="D492" s="8"/>
      <c r="E492" s="8"/>
      <c r="F492" s="9" t="s">
        <v>2617</v>
      </c>
      <c r="G492" s="10" t="s">
        <v>2618</v>
      </c>
      <c r="H492" s="10" t="s">
        <v>2619</v>
      </c>
      <c r="I492" s="10"/>
    </row>
    <row r="493" spans="1:9" ht="14.25" customHeight="1" x14ac:dyDescent="0.25">
      <c r="A493" s="7" t="s">
        <v>2620</v>
      </c>
      <c r="B493" s="8" t="s">
        <v>2621</v>
      </c>
      <c r="C493" s="8" t="s">
        <v>2622</v>
      </c>
      <c r="D493" s="8"/>
      <c r="E493" s="8"/>
      <c r="F493" s="9" t="s">
        <v>2623</v>
      </c>
      <c r="G493" s="10" t="s">
        <v>2624</v>
      </c>
      <c r="H493" s="10" t="s">
        <v>2625</v>
      </c>
      <c r="I493" s="10"/>
    </row>
    <row r="494" spans="1:9" ht="14.25" customHeight="1" x14ac:dyDescent="0.25">
      <c r="A494" s="7" t="s">
        <v>2626</v>
      </c>
      <c r="B494" s="8" t="s">
        <v>2627</v>
      </c>
      <c r="C494" s="8" t="s">
        <v>2628</v>
      </c>
      <c r="D494" s="8"/>
      <c r="E494" s="8"/>
      <c r="F494" s="9" t="s">
        <v>2629</v>
      </c>
      <c r="G494" s="10" t="s">
        <v>2630</v>
      </c>
      <c r="H494" s="10" t="s">
        <v>2631</v>
      </c>
      <c r="I494" s="10"/>
    </row>
    <row r="495" spans="1:9" ht="14.25" customHeight="1" x14ac:dyDescent="0.25">
      <c r="A495" s="7"/>
      <c r="B495" s="8" t="s">
        <v>2632</v>
      </c>
      <c r="C495" s="8" t="s">
        <v>2633</v>
      </c>
      <c r="D495" s="8"/>
      <c r="E495" s="8"/>
      <c r="F495" s="9" t="s">
        <v>2634</v>
      </c>
      <c r="G495" s="10" t="s">
        <v>2635</v>
      </c>
      <c r="H495" s="10" t="s">
        <v>2636</v>
      </c>
      <c r="I495" s="10"/>
    </row>
    <row r="496" spans="1:9" ht="14.25" customHeight="1" x14ac:dyDescent="0.25">
      <c r="A496" s="7" t="s">
        <v>2637</v>
      </c>
      <c r="B496" s="8" t="s">
        <v>2638</v>
      </c>
      <c r="C496" s="8" t="s">
        <v>2639</v>
      </c>
      <c r="D496" s="8"/>
      <c r="E496" s="8"/>
      <c r="F496" s="9" t="s">
        <v>2640</v>
      </c>
      <c r="G496" s="10" t="s">
        <v>2641</v>
      </c>
      <c r="H496" s="10" t="s">
        <v>2642</v>
      </c>
      <c r="I496" s="10"/>
    </row>
    <row r="497" spans="1:9" ht="14.25" customHeight="1" x14ac:dyDescent="0.25">
      <c r="A497" s="7" t="s">
        <v>2643</v>
      </c>
      <c r="B497" s="8" t="s">
        <v>2644</v>
      </c>
      <c r="C497" s="8" t="s">
        <v>2645</v>
      </c>
      <c r="D497" s="8"/>
      <c r="E497" s="8"/>
      <c r="F497" s="9" t="s">
        <v>2646</v>
      </c>
      <c r="G497" s="10" t="s">
        <v>2647</v>
      </c>
      <c r="H497" s="10" t="s">
        <v>2648</v>
      </c>
      <c r="I497" s="10"/>
    </row>
    <row r="498" spans="1:9" ht="14.25" customHeight="1" x14ac:dyDescent="0.25">
      <c r="A498" s="7" t="s">
        <v>2649</v>
      </c>
      <c r="B498" s="8" t="s">
        <v>2650</v>
      </c>
      <c r="C498" s="8" t="s">
        <v>2651</v>
      </c>
      <c r="D498" s="8"/>
      <c r="E498" s="8"/>
      <c r="F498" s="9" t="s">
        <v>2652</v>
      </c>
      <c r="G498" s="10" t="s">
        <v>2653</v>
      </c>
      <c r="H498" s="10" t="s">
        <v>2654</v>
      </c>
      <c r="I498" s="10"/>
    </row>
    <row r="499" spans="1:9" ht="14.25" customHeight="1" x14ac:dyDescent="0.25">
      <c r="A499" s="7" t="s">
        <v>2655</v>
      </c>
      <c r="B499" s="8" t="s">
        <v>2656</v>
      </c>
      <c r="C499" s="8" t="s">
        <v>2657</v>
      </c>
      <c r="D499" s="8"/>
      <c r="E499" s="8"/>
      <c r="F499" s="9" t="s">
        <v>2658</v>
      </c>
      <c r="G499" s="10" t="s">
        <v>2659</v>
      </c>
      <c r="H499" s="10" t="s">
        <v>2660</v>
      </c>
      <c r="I499" s="10"/>
    </row>
    <row r="500" spans="1:9" ht="14.25" customHeight="1" x14ac:dyDescent="0.25">
      <c r="A500" s="7" t="s">
        <v>2661</v>
      </c>
      <c r="B500" s="8" t="s">
        <v>2662</v>
      </c>
      <c r="C500" s="8" t="s">
        <v>2663</v>
      </c>
      <c r="D500" s="8"/>
      <c r="E500" s="8"/>
      <c r="F500" s="9" t="s">
        <v>2664</v>
      </c>
      <c r="G500" s="10" t="s">
        <v>2665</v>
      </c>
      <c r="H500" s="10" t="s">
        <v>2666</v>
      </c>
      <c r="I500" s="10"/>
    </row>
    <row r="501" spans="1:9" ht="14.25" customHeight="1" x14ac:dyDescent="0.25">
      <c r="A501" s="7" t="s">
        <v>2667</v>
      </c>
      <c r="B501" s="8" t="s">
        <v>2668</v>
      </c>
      <c r="C501" s="8" t="s">
        <v>2669</v>
      </c>
      <c r="D501" s="8"/>
      <c r="E501" s="8"/>
      <c r="F501" s="9" t="s">
        <v>2670</v>
      </c>
      <c r="G501" s="10" t="s">
        <v>2671</v>
      </c>
      <c r="H501" s="10" t="s">
        <v>2672</v>
      </c>
      <c r="I501" s="10"/>
    </row>
    <row r="502" spans="1:9" ht="14.25" customHeight="1" x14ac:dyDescent="0.25">
      <c r="A502" s="7" t="s">
        <v>2673</v>
      </c>
      <c r="B502" s="8" t="s">
        <v>2674</v>
      </c>
      <c r="C502" s="8" t="s">
        <v>2675</v>
      </c>
      <c r="D502" s="8"/>
      <c r="E502" s="8"/>
      <c r="F502" s="9" t="s">
        <v>2676</v>
      </c>
      <c r="G502" s="10" t="s">
        <v>2677</v>
      </c>
      <c r="H502" s="10" t="s">
        <v>2678</v>
      </c>
      <c r="I502" s="10"/>
    </row>
    <row r="503" spans="1:9" ht="14.25" customHeight="1" x14ac:dyDescent="0.25">
      <c r="A503" s="7" t="s">
        <v>2679</v>
      </c>
      <c r="B503" s="8" t="s">
        <v>2674</v>
      </c>
      <c r="C503" s="8" t="s">
        <v>2680</v>
      </c>
      <c r="D503" s="8"/>
      <c r="E503" s="8"/>
      <c r="F503" s="9" t="s">
        <v>2681</v>
      </c>
      <c r="G503" s="10" t="s">
        <v>2682</v>
      </c>
      <c r="H503" s="10" t="s">
        <v>2683</v>
      </c>
      <c r="I503" s="10"/>
    </row>
    <row r="504" spans="1:9" ht="14.25" customHeight="1" x14ac:dyDescent="0.25">
      <c r="A504" s="7" t="s">
        <v>2684</v>
      </c>
      <c r="B504" s="8" t="s">
        <v>2685</v>
      </c>
      <c r="C504" s="8" t="s">
        <v>2686</v>
      </c>
      <c r="D504" s="8"/>
      <c r="E504" s="8"/>
      <c r="F504" s="9" t="s">
        <v>2687</v>
      </c>
      <c r="G504" s="10" t="s">
        <v>2688</v>
      </c>
      <c r="H504" s="10" t="s">
        <v>2689</v>
      </c>
      <c r="I504" s="10"/>
    </row>
    <row r="505" spans="1:9" ht="14.25" customHeight="1" x14ac:dyDescent="0.25">
      <c r="A505" s="7" t="s">
        <v>2690</v>
      </c>
      <c r="B505" s="8" t="s">
        <v>2691</v>
      </c>
      <c r="C505" s="8" t="s">
        <v>2692</v>
      </c>
      <c r="D505" s="8"/>
      <c r="E505" s="8"/>
      <c r="F505" s="9" t="s">
        <v>2693</v>
      </c>
      <c r="G505" s="10" t="s">
        <v>2694</v>
      </c>
      <c r="H505" s="10" t="s">
        <v>2695</v>
      </c>
      <c r="I505" s="10"/>
    </row>
    <row r="506" spans="1:9" ht="14.25" customHeight="1" x14ac:dyDescent="0.25">
      <c r="A506" s="7" t="s">
        <v>2696</v>
      </c>
      <c r="B506" s="8" t="s">
        <v>2697</v>
      </c>
      <c r="C506" s="8" t="s">
        <v>2698</v>
      </c>
      <c r="D506" s="8"/>
      <c r="E506" s="8"/>
      <c r="F506" s="9" t="s">
        <v>2699</v>
      </c>
      <c r="G506" s="10" t="s">
        <v>2700</v>
      </c>
      <c r="H506" s="10" t="s">
        <v>2701</v>
      </c>
      <c r="I506" s="10"/>
    </row>
    <row r="507" spans="1:9" ht="14.25" customHeight="1" x14ac:dyDescent="0.25">
      <c r="A507" s="7" t="s">
        <v>2702</v>
      </c>
      <c r="B507" s="8" t="s">
        <v>2703</v>
      </c>
      <c r="C507" s="8" t="s">
        <v>2704</v>
      </c>
      <c r="D507" s="8"/>
      <c r="E507" s="8"/>
      <c r="F507" s="9" t="s">
        <v>2705</v>
      </c>
      <c r="G507" s="10" t="s">
        <v>2706</v>
      </c>
      <c r="H507" s="10" t="s">
        <v>2707</v>
      </c>
      <c r="I507" s="10"/>
    </row>
    <row r="508" spans="1:9" ht="14.25" customHeight="1" x14ac:dyDescent="0.25">
      <c r="A508" s="7"/>
      <c r="B508" s="8" t="s">
        <v>2708</v>
      </c>
      <c r="C508" s="8" t="s">
        <v>2709</v>
      </c>
      <c r="D508" s="8"/>
      <c r="E508" s="8"/>
      <c r="F508" s="9" t="s">
        <v>2710</v>
      </c>
      <c r="G508" s="10" t="s">
        <v>2711</v>
      </c>
      <c r="H508" s="10" t="s">
        <v>2712</v>
      </c>
      <c r="I508" s="10"/>
    </row>
    <row r="509" spans="1:9" ht="14.25" customHeight="1" x14ac:dyDescent="0.25">
      <c r="A509" s="7" t="s">
        <v>2713</v>
      </c>
      <c r="B509" s="8" t="s">
        <v>2714</v>
      </c>
      <c r="C509" s="8" t="s">
        <v>2715</v>
      </c>
      <c r="D509" s="8"/>
      <c r="E509" s="8"/>
      <c r="F509" s="9" t="s">
        <v>2716</v>
      </c>
      <c r="G509" s="10" t="s">
        <v>2717</v>
      </c>
      <c r="H509" s="10" t="s">
        <v>2718</v>
      </c>
      <c r="I509" s="10"/>
    </row>
    <row r="510" spans="1:9" ht="14.25" customHeight="1" x14ac:dyDescent="0.25">
      <c r="A510" s="7" t="s">
        <v>2719</v>
      </c>
      <c r="B510" s="8" t="s">
        <v>2720</v>
      </c>
      <c r="C510" s="8" t="s">
        <v>2721</v>
      </c>
      <c r="D510" s="8"/>
      <c r="E510" s="8"/>
      <c r="F510" s="9" t="s">
        <v>2722</v>
      </c>
      <c r="G510" s="10" t="s">
        <v>2723</v>
      </c>
      <c r="H510" s="10" t="s">
        <v>2724</v>
      </c>
      <c r="I510" s="10"/>
    </row>
    <row r="511" spans="1:9" ht="14.25" customHeight="1" x14ac:dyDescent="0.25">
      <c r="A511" s="7"/>
      <c r="B511" s="8" t="s">
        <v>2725</v>
      </c>
      <c r="C511" s="8" t="s">
        <v>2726</v>
      </c>
      <c r="D511" s="8"/>
      <c r="E511" s="8"/>
      <c r="F511" s="9" t="s">
        <v>2727</v>
      </c>
      <c r="G511" s="10" t="s">
        <v>2728</v>
      </c>
      <c r="H511" s="10" t="s">
        <v>2729</v>
      </c>
      <c r="I511" s="10"/>
    </row>
    <row r="512" spans="1:9" ht="14.25" customHeight="1" x14ac:dyDescent="0.25">
      <c r="A512" s="7" t="s">
        <v>2730</v>
      </c>
      <c r="B512" s="8" t="s">
        <v>2731</v>
      </c>
      <c r="C512" s="8" t="s">
        <v>2732</v>
      </c>
      <c r="D512" s="8"/>
      <c r="E512" s="8"/>
      <c r="F512" s="9" t="s">
        <v>2733</v>
      </c>
      <c r="G512" s="10" t="s">
        <v>2734</v>
      </c>
      <c r="H512" s="10" t="s">
        <v>2735</v>
      </c>
      <c r="I512" s="10"/>
    </row>
    <row r="513" spans="1:9" ht="14.25" customHeight="1" x14ac:dyDescent="0.25">
      <c r="A513" s="7" t="s">
        <v>2736</v>
      </c>
      <c r="B513" s="8" t="s">
        <v>2737</v>
      </c>
      <c r="C513" s="8" t="s">
        <v>2738</v>
      </c>
      <c r="D513" s="8"/>
      <c r="E513" s="8"/>
      <c r="F513" s="9" t="s">
        <v>2739</v>
      </c>
      <c r="G513" s="10" t="s">
        <v>2740</v>
      </c>
      <c r="H513" s="10" t="s">
        <v>2741</v>
      </c>
      <c r="I513" s="10"/>
    </row>
    <row r="514" spans="1:9" ht="14.25" customHeight="1" x14ac:dyDescent="0.25">
      <c r="A514" s="7" t="s">
        <v>2742</v>
      </c>
      <c r="B514" s="8" t="s">
        <v>2743</v>
      </c>
      <c r="C514" s="8" t="s">
        <v>1954</v>
      </c>
      <c r="D514" s="8"/>
      <c r="E514" s="8"/>
      <c r="F514" s="9" t="s">
        <v>2744</v>
      </c>
      <c r="G514" s="10" t="s">
        <v>2745</v>
      </c>
      <c r="H514" s="10" t="s">
        <v>2746</v>
      </c>
      <c r="I514" s="10"/>
    </row>
    <row r="515" spans="1:9" ht="14.25" customHeight="1" x14ac:dyDescent="0.25">
      <c r="A515" s="7" t="s">
        <v>2747</v>
      </c>
      <c r="B515" s="8" t="s">
        <v>2748</v>
      </c>
      <c r="C515" s="8" t="s">
        <v>2749</v>
      </c>
      <c r="D515" s="8"/>
      <c r="E515" s="8"/>
      <c r="F515" s="9" t="s">
        <v>2750</v>
      </c>
      <c r="G515" s="10" t="s">
        <v>2751</v>
      </c>
      <c r="H515" s="10" t="s">
        <v>2752</v>
      </c>
      <c r="I515" s="10"/>
    </row>
    <row r="516" spans="1:9" ht="14.25" customHeight="1" x14ac:dyDescent="0.25">
      <c r="A516" s="7"/>
      <c r="B516" s="8" t="s">
        <v>2748</v>
      </c>
      <c r="C516" s="8" t="s">
        <v>2753</v>
      </c>
      <c r="D516" s="8"/>
      <c r="E516" s="8"/>
      <c r="F516" s="9" t="s">
        <v>2754</v>
      </c>
      <c r="G516" s="10" t="s">
        <v>2755</v>
      </c>
      <c r="H516" s="10" t="s">
        <v>2756</v>
      </c>
      <c r="I516" s="10"/>
    </row>
    <row r="517" spans="1:9" ht="14.25" customHeight="1" x14ac:dyDescent="0.25">
      <c r="A517" s="7"/>
      <c r="B517" s="8" t="s">
        <v>2757</v>
      </c>
      <c r="C517" s="8" t="s">
        <v>2758</v>
      </c>
      <c r="D517" s="8"/>
      <c r="E517" s="8"/>
      <c r="F517" s="9" t="s">
        <v>2759</v>
      </c>
      <c r="G517" s="10" t="s">
        <v>2760</v>
      </c>
      <c r="H517" s="10" t="s">
        <v>2761</v>
      </c>
      <c r="I517" s="10"/>
    </row>
    <row r="518" spans="1:9" ht="14.25" customHeight="1" x14ac:dyDescent="0.25">
      <c r="A518" s="7" t="s">
        <v>2762</v>
      </c>
      <c r="B518" s="8" t="s">
        <v>2763</v>
      </c>
      <c r="C518" s="8" t="s">
        <v>732</v>
      </c>
      <c r="D518" s="8"/>
      <c r="E518" s="8"/>
      <c r="F518" s="9" t="s">
        <v>2764</v>
      </c>
      <c r="G518" s="10" t="s">
        <v>2765</v>
      </c>
      <c r="H518" s="10" t="s">
        <v>2766</v>
      </c>
      <c r="I518" s="10"/>
    </row>
    <row r="519" spans="1:9" ht="14.25" customHeight="1" x14ac:dyDescent="0.25">
      <c r="A519" s="7" t="s">
        <v>2767</v>
      </c>
      <c r="B519" s="8" t="s">
        <v>2768</v>
      </c>
      <c r="C519" s="8" t="s">
        <v>2769</v>
      </c>
      <c r="D519" s="8"/>
      <c r="E519" s="8"/>
      <c r="F519" s="9" t="s">
        <v>2770</v>
      </c>
      <c r="G519" s="10" t="s">
        <v>2771</v>
      </c>
      <c r="H519" s="10" t="s">
        <v>2772</v>
      </c>
      <c r="I519" s="10"/>
    </row>
    <row r="520" spans="1:9" ht="14.25" customHeight="1" x14ac:dyDescent="0.25">
      <c r="A520" s="7"/>
      <c r="B520" s="8" t="s">
        <v>2773</v>
      </c>
      <c r="C520" s="8" t="s">
        <v>2774</v>
      </c>
      <c r="D520" s="8"/>
      <c r="E520" s="8"/>
      <c r="F520" s="9" t="s">
        <v>2775</v>
      </c>
      <c r="G520" s="10" t="s">
        <v>2776</v>
      </c>
      <c r="H520" s="10" t="s">
        <v>2777</v>
      </c>
      <c r="I520" s="10"/>
    </row>
    <row r="521" spans="1:9" ht="14.25" customHeight="1" x14ac:dyDescent="0.25">
      <c r="A521" s="7"/>
      <c r="B521" s="8" t="s">
        <v>2778</v>
      </c>
      <c r="C521" s="8" t="s">
        <v>2779</v>
      </c>
      <c r="D521" s="8"/>
      <c r="E521" s="8"/>
      <c r="F521" s="9" t="s">
        <v>2780</v>
      </c>
      <c r="G521" s="10" t="s">
        <v>2781</v>
      </c>
      <c r="H521" s="10" t="s">
        <v>2782</v>
      </c>
      <c r="I521" s="10"/>
    </row>
    <row r="522" spans="1:9" ht="14.25" customHeight="1" x14ac:dyDescent="0.25">
      <c r="A522" s="7"/>
      <c r="B522" s="8" t="s">
        <v>2783</v>
      </c>
      <c r="C522" s="8" t="s">
        <v>2784</v>
      </c>
      <c r="D522" s="8"/>
      <c r="E522" s="8"/>
      <c r="F522" s="9" t="s">
        <v>2785</v>
      </c>
      <c r="G522" s="10" t="s">
        <v>2786</v>
      </c>
      <c r="H522" s="10" t="s">
        <v>2787</v>
      </c>
      <c r="I522" s="10"/>
    </row>
    <row r="523" spans="1:9" ht="14.25" customHeight="1" x14ac:dyDescent="0.25">
      <c r="A523" s="7"/>
      <c r="B523" s="8" t="s">
        <v>2788</v>
      </c>
      <c r="C523" s="8" t="s">
        <v>2789</v>
      </c>
      <c r="D523" s="8"/>
      <c r="E523" s="8"/>
      <c r="F523" s="9" t="s">
        <v>2790</v>
      </c>
      <c r="G523" s="10" t="s">
        <v>2791</v>
      </c>
      <c r="H523" s="10" t="s">
        <v>2792</v>
      </c>
      <c r="I523" s="10"/>
    </row>
    <row r="524" spans="1:9" ht="14.25" customHeight="1" x14ac:dyDescent="0.25">
      <c r="A524" s="7" t="s">
        <v>2793</v>
      </c>
      <c r="B524" s="8" t="s">
        <v>2794</v>
      </c>
      <c r="C524" s="8" t="s">
        <v>2795</v>
      </c>
      <c r="D524" s="8"/>
      <c r="E524" s="8"/>
      <c r="F524" s="9" t="s">
        <v>2796</v>
      </c>
      <c r="G524" s="10" t="s">
        <v>2797</v>
      </c>
      <c r="H524" s="10" t="s">
        <v>2798</v>
      </c>
      <c r="I524" s="10"/>
    </row>
    <row r="525" spans="1:9" ht="14.25" customHeight="1" x14ac:dyDescent="0.25">
      <c r="A525" s="7" t="s">
        <v>2799</v>
      </c>
      <c r="B525" s="8" t="s">
        <v>2800</v>
      </c>
      <c r="C525" s="8" t="s">
        <v>2801</v>
      </c>
      <c r="D525" s="8"/>
      <c r="E525" s="8"/>
      <c r="F525" s="9" t="s">
        <v>2802</v>
      </c>
      <c r="G525" s="10" t="s">
        <v>2803</v>
      </c>
      <c r="H525" s="10" t="s">
        <v>2804</v>
      </c>
      <c r="I525" s="10"/>
    </row>
    <row r="526" spans="1:9" ht="14.25" customHeight="1" x14ac:dyDescent="0.25">
      <c r="A526" s="7" t="s">
        <v>2805</v>
      </c>
      <c r="B526" s="8" t="s">
        <v>2806</v>
      </c>
      <c r="C526" s="8" t="s">
        <v>2807</v>
      </c>
      <c r="D526" s="8"/>
      <c r="E526" s="8"/>
      <c r="F526" s="9" t="s">
        <v>2808</v>
      </c>
      <c r="G526" s="10" t="s">
        <v>2809</v>
      </c>
      <c r="H526" s="10" t="s">
        <v>2810</v>
      </c>
      <c r="I526" s="10"/>
    </row>
    <row r="527" spans="1:9" ht="14.25" customHeight="1" x14ac:dyDescent="0.25">
      <c r="A527" s="7"/>
      <c r="B527" s="8" t="s">
        <v>2811</v>
      </c>
      <c r="C527" s="8" t="s">
        <v>2271</v>
      </c>
      <c r="D527" s="8"/>
      <c r="E527" s="8"/>
      <c r="F527" s="9" t="s">
        <v>2812</v>
      </c>
      <c r="G527" s="10" t="s">
        <v>2813</v>
      </c>
      <c r="H527" s="10" t="s">
        <v>2814</v>
      </c>
      <c r="I527" s="10"/>
    </row>
    <row r="528" spans="1:9" ht="14.25" customHeight="1" x14ac:dyDescent="0.25">
      <c r="A528" s="7" t="s">
        <v>2815</v>
      </c>
      <c r="B528" s="8" t="s">
        <v>2816</v>
      </c>
      <c r="C528" s="8" t="s">
        <v>2817</v>
      </c>
      <c r="D528" s="8"/>
      <c r="E528" s="8"/>
      <c r="F528" s="9" t="s">
        <v>2818</v>
      </c>
      <c r="G528" s="10" t="s">
        <v>2819</v>
      </c>
      <c r="H528" s="10" t="s">
        <v>2820</v>
      </c>
      <c r="I528" s="10"/>
    </row>
    <row r="529" spans="1:9" ht="14.25" customHeight="1" x14ac:dyDescent="0.25">
      <c r="A529" s="7"/>
      <c r="B529" s="8" t="s">
        <v>2816</v>
      </c>
      <c r="C529" s="8" t="s">
        <v>2821</v>
      </c>
      <c r="D529" s="8"/>
      <c r="E529" s="8"/>
      <c r="F529" s="9" t="s">
        <v>2822</v>
      </c>
      <c r="G529" s="10" t="s">
        <v>2823</v>
      </c>
      <c r="H529" s="10" t="s">
        <v>2824</v>
      </c>
      <c r="I529" s="10"/>
    </row>
    <row r="530" spans="1:9" ht="14.25" customHeight="1" x14ac:dyDescent="0.25">
      <c r="A530" s="7" t="s">
        <v>2825</v>
      </c>
      <c r="B530" s="8" t="s">
        <v>2816</v>
      </c>
      <c r="C530" s="8" t="s">
        <v>2826</v>
      </c>
      <c r="D530" s="8"/>
      <c r="E530" s="8"/>
      <c r="F530" s="9" t="s">
        <v>2827</v>
      </c>
      <c r="G530" s="10" t="s">
        <v>2828</v>
      </c>
      <c r="H530" s="10" t="s">
        <v>2829</v>
      </c>
      <c r="I530" s="10"/>
    </row>
    <row r="531" spans="1:9" ht="14.25" customHeight="1" x14ac:dyDescent="0.25">
      <c r="A531" s="7" t="s">
        <v>2830</v>
      </c>
      <c r="B531" s="8" t="s">
        <v>2831</v>
      </c>
      <c r="C531" s="8" t="s">
        <v>2832</v>
      </c>
      <c r="D531" s="8"/>
      <c r="E531" s="8"/>
      <c r="F531" s="9" t="s">
        <v>2833</v>
      </c>
      <c r="G531" s="10" t="s">
        <v>2834</v>
      </c>
      <c r="H531" s="10" t="s">
        <v>2835</v>
      </c>
      <c r="I531" s="10"/>
    </row>
    <row r="532" spans="1:9" ht="14.25" customHeight="1" x14ac:dyDescent="0.25">
      <c r="A532" s="7" t="s">
        <v>2836</v>
      </c>
      <c r="B532" s="8" t="s">
        <v>2816</v>
      </c>
      <c r="C532" s="8" t="s">
        <v>2837</v>
      </c>
      <c r="D532" s="8"/>
      <c r="E532" s="8"/>
      <c r="F532" s="9" t="s">
        <v>2838</v>
      </c>
      <c r="G532" s="10" t="s">
        <v>2839</v>
      </c>
      <c r="H532" s="10" t="s">
        <v>2840</v>
      </c>
      <c r="I532" s="10"/>
    </row>
    <row r="533" spans="1:9" ht="14.25" customHeight="1" x14ac:dyDescent="0.25">
      <c r="A533" s="7" t="s">
        <v>2841</v>
      </c>
      <c r="B533" s="8" t="s">
        <v>2842</v>
      </c>
      <c r="C533" s="8" t="s">
        <v>2843</v>
      </c>
      <c r="D533" s="8"/>
      <c r="E533" s="8"/>
      <c r="F533" s="9" t="s">
        <v>2844</v>
      </c>
      <c r="G533" s="10" t="s">
        <v>2845</v>
      </c>
      <c r="H533" s="10" t="s">
        <v>2846</v>
      </c>
      <c r="I533" s="10"/>
    </row>
    <row r="534" spans="1:9" ht="14.25" customHeight="1" x14ac:dyDescent="0.25">
      <c r="A534" s="7"/>
      <c r="B534" s="8" t="s">
        <v>2847</v>
      </c>
      <c r="C534" s="8" t="s">
        <v>2848</v>
      </c>
      <c r="D534" s="8"/>
      <c r="E534" s="8"/>
      <c r="F534" s="9" t="s">
        <v>2849</v>
      </c>
      <c r="G534" s="10" t="s">
        <v>2850</v>
      </c>
      <c r="H534" s="10" t="s">
        <v>2851</v>
      </c>
      <c r="I534" s="10"/>
    </row>
    <row r="535" spans="1:9" ht="14.25" customHeight="1" x14ac:dyDescent="0.25">
      <c r="A535" s="7" t="s">
        <v>2852</v>
      </c>
      <c r="B535" s="8" t="s">
        <v>2847</v>
      </c>
      <c r="C535" s="8" t="s">
        <v>2784</v>
      </c>
      <c r="D535" s="8" t="s">
        <v>411</v>
      </c>
      <c r="E535" s="8" t="s">
        <v>412</v>
      </c>
      <c r="F535" s="9" t="s">
        <v>2853</v>
      </c>
      <c r="G535" s="10" t="s">
        <v>2854</v>
      </c>
      <c r="H535" s="10" t="s">
        <v>2855</v>
      </c>
      <c r="I535" s="10"/>
    </row>
    <row r="536" spans="1:9" ht="14.25" customHeight="1" x14ac:dyDescent="0.25">
      <c r="A536" s="7" t="s">
        <v>2856</v>
      </c>
      <c r="B536" s="8" t="s">
        <v>2857</v>
      </c>
      <c r="C536" s="8" t="s">
        <v>2858</v>
      </c>
      <c r="D536" s="8"/>
      <c r="E536" s="8"/>
      <c r="F536" s="9" t="s">
        <v>2859</v>
      </c>
      <c r="G536" s="10" t="s">
        <v>2860</v>
      </c>
      <c r="H536" s="10" t="s">
        <v>2861</v>
      </c>
      <c r="I536" s="10"/>
    </row>
    <row r="537" spans="1:9" ht="14.25" customHeight="1" x14ac:dyDescent="0.25">
      <c r="A537" s="7" t="s">
        <v>2862</v>
      </c>
      <c r="B537" s="8" t="s">
        <v>2863</v>
      </c>
      <c r="C537" s="8" t="s">
        <v>2864</v>
      </c>
      <c r="D537" s="8"/>
      <c r="E537" s="8"/>
      <c r="F537" s="9" t="s">
        <v>2865</v>
      </c>
      <c r="G537" s="10" t="s">
        <v>2866</v>
      </c>
      <c r="H537" s="10" t="s">
        <v>2867</v>
      </c>
      <c r="I537" s="10"/>
    </row>
    <row r="538" spans="1:9" ht="14.25" customHeight="1" x14ac:dyDescent="0.25">
      <c r="A538" s="7" t="s">
        <v>2862</v>
      </c>
      <c r="B538" s="8" t="s">
        <v>2863</v>
      </c>
      <c r="C538" s="8" t="s">
        <v>2868</v>
      </c>
      <c r="D538" s="8"/>
      <c r="E538" s="8"/>
      <c r="F538" s="9" t="s">
        <v>2869</v>
      </c>
      <c r="G538" s="10" t="s">
        <v>2870</v>
      </c>
      <c r="H538" s="10" t="s">
        <v>2871</v>
      </c>
      <c r="I538" s="10"/>
    </row>
    <row r="539" spans="1:9" ht="14.25" customHeight="1" x14ac:dyDescent="0.25">
      <c r="A539" s="7"/>
      <c r="B539" s="8" t="s">
        <v>2872</v>
      </c>
      <c r="C539" s="8" t="s">
        <v>2873</v>
      </c>
      <c r="D539" s="8"/>
      <c r="E539" s="8"/>
      <c r="F539" s="9" t="s">
        <v>2874</v>
      </c>
      <c r="G539" s="10" t="s">
        <v>2875</v>
      </c>
      <c r="H539" s="10" t="s">
        <v>2876</v>
      </c>
      <c r="I539" s="10"/>
    </row>
    <row r="540" spans="1:9" ht="14.25" customHeight="1" x14ac:dyDescent="0.25">
      <c r="A540" s="7"/>
      <c r="B540" s="8" t="s">
        <v>2877</v>
      </c>
      <c r="C540" s="8" t="s">
        <v>2878</v>
      </c>
      <c r="D540" s="8"/>
      <c r="E540" s="8"/>
      <c r="F540" s="9" t="s">
        <v>2879</v>
      </c>
      <c r="G540" s="10" t="s">
        <v>2880</v>
      </c>
      <c r="H540" s="10" t="s">
        <v>2881</v>
      </c>
      <c r="I540" s="10"/>
    </row>
    <row r="541" spans="1:9" ht="14.25" customHeight="1" x14ac:dyDescent="0.25">
      <c r="A541" s="7" t="s">
        <v>2882</v>
      </c>
      <c r="B541" s="8" t="s">
        <v>2883</v>
      </c>
      <c r="C541" s="8" t="s">
        <v>2884</v>
      </c>
      <c r="D541" s="8"/>
      <c r="E541" s="8"/>
      <c r="F541" s="9" t="s">
        <v>2885</v>
      </c>
      <c r="G541" s="10" t="s">
        <v>2886</v>
      </c>
      <c r="H541" s="10" t="s">
        <v>2887</v>
      </c>
      <c r="I541" s="10"/>
    </row>
    <row r="542" spans="1:9" ht="14.25" customHeight="1" x14ac:dyDescent="0.25">
      <c r="A542" s="7" t="s">
        <v>2888</v>
      </c>
      <c r="B542" s="8" t="s">
        <v>2889</v>
      </c>
      <c r="C542" s="8" t="s">
        <v>2890</v>
      </c>
      <c r="D542" s="8"/>
      <c r="E542" s="8"/>
      <c r="F542" s="9" t="s">
        <v>2891</v>
      </c>
      <c r="G542" s="10" t="s">
        <v>2892</v>
      </c>
      <c r="H542" s="10" t="s">
        <v>2893</v>
      </c>
      <c r="I542" s="10"/>
    </row>
    <row r="543" spans="1:9" ht="14.25" customHeight="1" x14ac:dyDescent="0.25">
      <c r="A543" s="7"/>
      <c r="B543" s="8" t="s">
        <v>2894</v>
      </c>
      <c r="C543" s="8" t="s">
        <v>2895</v>
      </c>
      <c r="D543" s="8"/>
      <c r="E543" s="8"/>
      <c r="F543" s="9" t="s">
        <v>2896</v>
      </c>
      <c r="G543" s="10" t="s">
        <v>2897</v>
      </c>
      <c r="H543" s="10" t="s">
        <v>2898</v>
      </c>
      <c r="I543" s="10"/>
    </row>
    <row r="544" spans="1:9" ht="14.25" customHeight="1" x14ac:dyDescent="0.25">
      <c r="A544" s="7"/>
      <c r="B544" s="8" t="s">
        <v>2899</v>
      </c>
      <c r="C544" s="8" t="s">
        <v>660</v>
      </c>
      <c r="D544" s="8"/>
      <c r="E544" s="8"/>
      <c r="F544" s="9" t="s">
        <v>2900</v>
      </c>
      <c r="G544" s="10" t="s">
        <v>2901</v>
      </c>
      <c r="H544" s="10" t="s">
        <v>2902</v>
      </c>
      <c r="I544" s="10"/>
    </row>
    <row r="545" spans="1:9" ht="14.25" customHeight="1" x14ac:dyDescent="0.25">
      <c r="A545" s="7" t="s">
        <v>2903</v>
      </c>
      <c r="B545" s="8" t="s">
        <v>2899</v>
      </c>
      <c r="C545" s="8" t="s">
        <v>2904</v>
      </c>
      <c r="D545" s="8"/>
      <c r="E545" s="8"/>
      <c r="F545" s="9" t="s">
        <v>2905</v>
      </c>
      <c r="G545" s="10" t="s">
        <v>2906</v>
      </c>
      <c r="H545" s="10" t="s">
        <v>2907</v>
      </c>
      <c r="I545" s="10"/>
    </row>
    <row r="546" spans="1:9" ht="14.25" customHeight="1" x14ac:dyDescent="0.25">
      <c r="A546" s="7" t="s">
        <v>2908</v>
      </c>
      <c r="B546" s="8" t="s">
        <v>2899</v>
      </c>
      <c r="C546" s="8" t="s">
        <v>2909</v>
      </c>
      <c r="D546" s="8"/>
      <c r="E546" s="8"/>
      <c r="F546" s="9" t="s">
        <v>2910</v>
      </c>
      <c r="G546" s="10" t="s">
        <v>2911</v>
      </c>
      <c r="H546" s="10" t="s">
        <v>2912</v>
      </c>
      <c r="I546" s="10"/>
    </row>
    <row r="547" spans="1:9" ht="14.25" customHeight="1" x14ac:dyDescent="0.25">
      <c r="A547" s="7" t="s">
        <v>2913</v>
      </c>
      <c r="B547" s="8" t="s">
        <v>2899</v>
      </c>
      <c r="C547" s="8" t="s">
        <v>2914</v>
      </c>
      <c r="D547" s="8"/>
      <c r="E547" s="8"/>
      <c r="F547" s="9" t="s">
        <v>2915</v>
      </c>
      <c r="G547" s="10" t="s">
        <v>2916</v>
      </c>
      <c r="H547" s="10" t="s">
        <v>2917</v>
      </c>
      <c r="I547" s="10"/>
    </row>
    <row r="548" spans="1:9" ht="14.25" customHeight="1" x14ac:dyDescent="0.25">
      <c r="A548" s="7" t="s">
        <v>2918</v>
      </c>
      <c r="B548" s="8" t="s">
        <v>2899</v>
      </c>
      <c r="C548" s="8" t="s">
        <v>2919</v>
      </c>
      <c r="D548" s="8"/>
      <c r="E548" s="8"/>
      <c r="F548" s="9" t="s">
        <v>2920</v>
      </c>
      <c r="G548" s="10" t="s">
        <v>2921</v>
      </c>
      <c r="H548" s="10" t="s">
        <v>2922</v>
      </c>
      <c r="I548" s="10"/>
    </row>
    <row r="549" spans="1:9" ht="14.25" customHeight="1" x14ac:dyDescent="0.25">
      <c r="A549" s="7" t="s">
        <v>2923</v>
      </c>
      <c r="B549" s="8" t="s">
        <v>2899</v>
      </c>
      <c r="C549" s="8" t="s">
        <v>2924</v>
      </c>
      <c r="D549" s="8"/>
      <c r="E549" s="8"/>
      <c r="F549" s="9" t="s">
        <v>2925</v>
      </c>
      <c r="G549" s="10" t="s">
        <v>2926</v>
      </c>
      <c r="H549" s="10" t="s">
        <v>2927</v>
      </c>
      <c r="I549" s="10"/>
    </row>
    <row r="550" spans="1:9" ht="14.25" customHeight="1" x14ac:dyDescent="0.25">
      <c r="A550" s="7" t="s">
        <v>2928</v>
      </c>
      <c r="B550" s="8" t="s">
        <v>2899</v>
      </c>
      <c r="C550" s="8" t="s">
        <v>2929</v>
      </c>
      <c r="D550" s="8"/>
      <c r="E550" s="8"/>
      <c r="F550" s="9" t="s">
        <v>2930</v>
      </c>
      <c r="G550" s="10" t="s">
        <v>2931</v>
      </c>
      <c r="H550" s="10" t="s">
        <v>2932</v>
      </c>
      <c r="I550" s="10"/>
    </row>
    <row r="551" spans="1:9" ht="14.25" customHeight="1" x14ac:dyDescent="0.25">
      <c r="A551" s="7" t="s">
        <v>2933</v>
      </c>
      <c r="B551" s="8" t="s">
        <v>2934</v>
      </c>
      <c r="C551" s="8" t="s">
        <v>2935</v>
      </c>
      <c r="D551" s="8"/>
      <c r="E551" s="8"/>
      <c r="F551" s="9" t="s">
        <v>2936</v>
      </c>
      <c r="G551" s="10" t="s">
        <v>2937</v>
      </c>
      <c r="H551" s="10" t="s">
        <v>2938</v>
      </c>
      <c r="I551" s="10"/>
    </row>
    <row r="552" spans="1:9" ht="14.25" customHeight="1" x14ac:dyDescent="0.25">
      <c r="A552" s="7"/>
      <c r="B552" s="8" t="s">
        <v>2899</v>
      </c>
      <c r="C552" s="8" t="s">
        <v>2939</v>
      </c>
      <c r="D552" s="8"/>
      <c r="E552" s="8"/>
      <c r="F552" s="9" t="s">
        <v>2940</v>
      </c>
      <c r="G552" s="10" t="s">
        <v>2941</v>
      </c>
      <c r="H552" s="10" t="s">
        <v>2942</v>
      </c>
      <c r="I552" s="10"/>
    </row>
    <row r="553" spans="1:9" ht="14.25" customHeight="1" x14ac:dyDescent="0.25">
      <c r="A553" s="7" t="s">
        <v>2943</v>
      </c>
      <c r="B553" s="8" t="s">
        <v>2944</v>
      </c>
      <c r="C553" s="8" t="s">
        <v>2945</v>
      </c>
      <c r="D553" s="8"/>
      <c r="E553" s="8"/>
      <c r="F553" s="9" t="s">
        <v>2946</v>
      </c>
      <c r="G553" s="10" t="s">
        <v>2947</v>
      </c>
      <c r="H553" s="10" t="s">
        <v>2948</v>
      </c>
      <c r="I553" s="10"/>
    </row>
    <row r="554" spans="1:9" ht="14.25" customHeight="1" x14ac:dyDescent="0.25">
      <c r="A554" s="7" t="s">
        <v>2949</v>
      </c>
      <c r="B554" s="8" t="s">
        <v>2950</v>
      </c>
      <c r="C554" s="8" t="s">
        <v>2951</v>
      </c>
      <c r="D554" s="8"/>
      <c r="E554" s="8"/>
      <c r="F554" s="9" t="s">
        <v>2952</v>
      </c>
      <c r="G554" s="10" t="s">
        <v>2953</v>
      </c>
      <c r="H554" s="10" t="s">
        <v>2954</v>
      </c>
      <c r="I554" s="10"/>
    </row>
    <row r="555" spans="1:9" ht="14.25" customHeight="1" x14ac:dyDescent="0.25">
      <c r="A555" s="7" t="s">
        <v>2955</v>
      </c>
      <c r="B555" s="8" t="s">
        <v>2956</v>
      </c>
      <c r="C555" s="8" t="s">
        <v>2957</v>
      </c>
      <c r="D555" s="8"/>
      <c r="E555" s="8"/>
      <c r="F555" s="9" t="s">
        <v>2958</v>
      </c>
      <c r="G555" s="10" t="s">
        <v>2959</v>
      </c>
      <c r="H555" s="10" t="s">
        <v>2960</v>
      </c>
      <c r="I555" s="10"/>
    </row>
    <row r="556" spans="1:9" ht="14.25" customHeight="1" x14ac:dyDescent="0.25">
      <c r="A556" s="7" t="s">
        <v>2961</v>
      </c>
      <c r="B556" s="8" t="s">
        <v>2956</v>
      </c>
      <c r="C556" s="8" t="s">
        <v>2962</v>
      </c>
      <c r="D556" s="8"/>
      <c r="E556" s="8"/>
      <c r="F556" s="9" t="s">
        <v>2963</v>
      </c>
      <c r="G556" s="10" t="s">
        <v>2964</v>
      </c>
      <c r="H556" s="10" t="s">
        <v>2965</v>
      </c>
      <c r="I556" s="10"/>
    </row>
    <row r="557" spans="1:9" ht="14.25" customHeight="1" x14ac:dyDescent="0.25">
      <c r="A557" s="7"/>
      <c r="B557" s="8" t="s">
        <v>2966</v>
      </c>
      <c r="C557" s="8" t="s">
        <v>2967</v>
      </c>
      <c r="D557" s="8"/>
      <c r="E557" s="8"/>
      <c r="F557" s="9" t="s">
        <v>2968</v>
      </c>
      <c r="G557" s="10" t="s">
        <v>2969</v>
      </c>
      <c r="H557" s="10" t="s">
        <v>2970</v>
      </c>
      <c r="I557" s="10"/>
    </row>
    <row r="558" spans="1:9" ht="14.25" customHeight="1" x14ac:dyDescent="0.25">
      <c r="A558" s="7" t="s">
        <v>2971</v>
      </c>
      <c r="B558" s="8" t="s">
        <v>2972</v>
      </c>
      <c r="C558" s="8" t="s">
        <v>2973</v>
      </c>
      <c r="D558" s="8"/>
      <c r="E558" s="8"/>
      <c r="F558" s="9" t="s">
        <v>2974</v>
      </c>
      <c r="G558" s="10" t="s">
        <v>2975</v>
      </c>
      <c r="H558" s="10" t="s">
        <v>2976</v>
      </c>
      <c r="I558" s="10"/>
    </row>
    <row r="559" spans="1:9" ht="14.25" customHeight="1" x14ac:dyDescent="0.25">
      <c r="A559" s="7" t="s">
        <v>2977</v>
      </c>
      <c r="B559" s="8" t="s">
        <v>2972</v>
      </c>
      <c r="C559" s="8" t="s">
        <v>2978</v>
      </c>
      <c r="D559" s="8"/>
      <c r="E559" s="8"/>
      <c r="F559" s="9" t="s">
        <v>2979</v>
      </c>
      <c r="G559" s="10" t="s">
        <v>2980</v>
      </c>
      <c r="H559" s="10" t="s">
        <v>2981</v>
      </c>
      <c r="I559" s="10"/>
    </row>
    <row r="560" spans="1:9" ht="14.25" customHeight="1" x14ac:dyDescent="0.25">
      <c r="A560" s="7" t="s">
        <v>2982</v>
      </c>
      <c r="B560" s="8" t="s">
        <v>2972</v>
      </c>
      <c r="C560" s="8" t="s">
        <v>2983</v>
      </c>
      <c r="D560" s="8"/>
      <c r="E560" s="8"/>
      <c r="F560" s="9" t="s">
        <v>2984</v>
      </c>
      <c r="G560" s="10" t="s">
        <v>2985</v>
      </c>
      <c r="H560" s="10" t="s">
        <v>2986</v>
      </c>
      <c r="I560" s="10"/>
    </row>
    <row r="561" spans="1:9" ht="14.25" customHeight="1" x14ac:dyDescent="0.25">
      <c r="A561" s="7" t="s">
        <v>2987</v>
      </c>
      <c r="B561" s="8" t="s">
        <v>2972</v>
      </c>
      <c r="C561" s="8" t="s">
        <v>2988</v>
      </c>
      <c r="D561" s="8"/>
      <c r="E561" s="8"/>
      <c r="F561" s="9" t="s">
        <v>2989</v>
      </c>
      <c r="G561" s="10" t="s">
        <v>2990</v>
      </c>
      <c r="H561" s="10" t="s">
        <v>2991</v>
      </c>
      <c r="I561" s="10"/>
    </row>
    <row r="562" spans="1:9" ht="14.25" customHeight="1" x14ac:dyDescent="0.25">
      <c r="A562" s="7" t="s">
        <v>2992</v>
      </c>
      <c r="B562" s="8" t="s">
        <v>2993</v>
      </c>
      <c r="C562" s="8" t="s">
        <v>2994</v>
      </c>
      <c r="D562" s="8"/>
      <c r="E562" s="8"/>
      <c r="F562" s="9" t="s">
        <v>2995</v>
      </c>
      <c r="G562" s="10" t="s">
        <v>2996</v>
      </c>
      <c r="H562" s="10" t="s">
        <v>2997</v>
      </c>
      <c r="I562" s="10"/>
    </row>
    <row r="563" spans="1:9" ht="14.25" customHeight="1" x14ac:dyDescent="0.25">
      <c r="A563" s="7" t="s">
        <v>2998</v>
      </c>
      <c r="B563" s="8" t="s">
        <v>2999</v>
      </c>
      <c r="C563" s="8" t="s">
        <v>3000</v>
      </c>
      <c r="D563" s="8"/>
      <c r="E563" s="8"/>
      <c r="F563" s="9" t="s">
        <v>3001</v>
      </c>
      <c r="G563" s="10" t="s">
        <v>3002</v>
      </c>
      <c r="H563" s="10" t="s">
        <v>3003</v>
      </c>
      <c r="I563" s="10"/>
    </row>
    <row r="564" spans="1:9" ht="14.25" customHeight="1" x14ac:dyDescent="0.25">
      <c r="A564" s="7"/>
      <c r="B564" s="8" t="s">
        <v>3004</v>
      </c>
      <c r="C564" s="8" t="s">
        <v>3005</v>
      </c>
      <c r="D564" s="8"/>
      <c r="E564" s="8"/>
      <c r="F564" s="9" t="s">
        <v>3006</v>
      </c>
      <c r="G564" s="10" t="s">
        <v>3007</v>
      </c>
      <c r="H564" s="10" t="s">
        <v>3008</v>
      </c>
      <c r="I564" s="10"/>
    </row>
    <row r="565" spans="1:9" ht="14.25" customHeight="1" x14ac:dyDescent="0.25">
      <c r="A565" s="7" t="s">
        <v>3009</v>
      </c>
      <c r="B565" s="8" t="s">
        <v>355</v>
      </c>
      <c r="C565" s="8" t="s">
        <v>3010</v>
      </c>
      <c r="D565" s="8"/>
      <c r="E565" s="8"/>
      <c r="F565" s="9" t="s">
        <v>3011</v>
      </c>
      <c r="G565" s="10" t="s">
        <v>3012</v>
      </c>
      <c r="H565" s="10" t="s">
        <v>3013</v>
      </c>
      <c r="I565" s="10"/>
    </row>
    <row r="566" spans="1:9" ht="14.25" customHeight="1" x14ac:dyDescent="0.25">
      <c r="A566" s="7"/>
      <c r="B566" s="8" t="s">
        <v>3014</v>
      </c>
      <c r="C566" s="8" t="s">
        <v>988</v>
      </c>
      <c r="D566" s="8"/>
      <c r="E566" s="8"/>
      <c r="F566" s="9" t="s">
        <v>3015</v>
      </c>
      <c r="G566" s="10" t="s">
        <v>3016</v>
      </c>
      <c r="H566" s="10" t="s">
        <v>3017</v>
      </c>
      <c r="I566" s="10"/>
    </row>
    <row r="567" spans="1:9" ht="14.25" customHeight="1" x14ac:dyDescent="0.25">
      <c r="A567" s="7" t="s">
        <v>3018</v>
      </c>
      <c r="B567" s="8" t="s">
        <v>3019</v>
      </c>
      <c r="C567" s="8" t="s">
        <v>3020</v>
      </c>
      <c r="D567" s="8"/>
      <c r="E567" s="8"/>
      <c r="F567" s="9" t="s">
        <v>3021</v>
      </c>
      <c r="G567" s="10" t="s">
        <v>3022</v>
      </c>
      <c r="H567" s="10" t="s">
        <v>3023</v>
      </c>
      <c r="I567" s="10"/>
    </row>
    <row r="568" spans="1:9" ht="14.25" customHeight="1" x14ac:dyDescent="0.25">
      <c r="A568" s="7" t="s">
        <v>3024</v>
      </c>
      <c r="B568" s="8" t="s">
        <v>3025</v>
      </c>
      <c r="C568" s="8" t="s">
        <v>3026</v>
      </c>
      <c r="D568" s="8"/>
      <c r="E568" s="8"/>
      <c r="F568" s="9" t="s">
        <v>3027</v>
      </c>
      <c r="G568" s="10" t="s">
        <v>3028</v>
      </c>
      <c r="H568" s="10" t="s">
        <v>3029</v>
      </c>
      <c r="I568" s="10"/>
    </row>
    <row r="569" spans="1:9" ht="14.25" customHeight="1" x14ac:dyDescent="0.25">
      <c r="A569" s="7" t="s">
        <v>3030</v>
      </c>
      <c r="B569" s="8" t="s">
        <v>3031</v>
      </c>
      <c r="C569" s="8" t="s">
        <v>3032</v>
      </c>
      <c r="D569" s="8"/>
      <c r="E569" s="8"/>
      <c r="F569" s="9" t="s">
        <v>3033</v>
      </c>
      <c r="G569" s="10" t="s">
        <v>3034</v>
      </c>
      <c r="H569" s="10" t="s">
        <v>3035</v>
      </c>
      <c r="I569" s="10"/>
    </row>
    <row r="570" spans="1:9" ht="14.25" customHeight="1" x14ac:dyDescent="0.25">
      <c r="A570" s="7"/>
      <c r="B570" s="8" t="s">
        <v>3036</v>
      </c>
      <c r="C570" s="8" t="s">
        <v>1358</v>
      </c>
      <c r="D570" s="8"/>
      <c r="E570" s="8"/>
      <c r="F570" s="9" t="s">
        <v>3037</v>
      </c>
      <c r="G570" s="10" t="s">
        <v>3038</v>
      </c>
      <c r="H570" s="10" t="s">
        <v>3039</v>
      </c>
      <c r="I570" s="10"/>
    </row>
    <row r="571" spans="1:9" ht="14.25" customHeight="1" x14ac:dyDescent="0.25">
      <c r="A571" s="7"/>
      <c r="B571" s="8" t="s">
        <v>3040</v>
      </c>
      <c r="C571" s="8" t="s">
        <v>3041</v>
      </c>
      <c r="D571" s="8"/>
      <c r="E571" s="8"/>
      <c r="F571" s="9" t="s">
        <v>3042</v>
      </c>
      <c r="G571" s="10" t="s">
        <v>3043</v>
      </c>
      <c r="H571" s="10" t="s">
        <v>3044</v>
      </c>
      <c r="I571" s="10"/>
    </row>
    <row r="572" spans="1:9" ht="14.25" customHeight="1" x14ac:dyDescent="0.25">
      <c r="A572" s="7" t="s">
        <v>3045</v>
      </c>
      <c r="B572" s="8" t="s">
        <v>3046</v>
      </c>
      <c r="C572" s="8" t="s">
        <v>3047</v>
      </c>
      <c r="D572" s="8"/>
      <c r="E572" s="8"/>
      <c r="F572" s="9" t="s">
        <v>3048</v>
      </c>
      <c r="G572" s="10" t="s">
        <v>3049</v>
      </c>
      <c r="H572" s="10" t="s">
        <v>3050</v>
      </c>
      <c r="I572" s="10"/>
    </row>
    <row r="573" spans="1:9" ht="14.25" customHeight="1" x14ac:dyDescent="0.25">
      <c r="A573" s="7" t="s">
        <v>3051</v>
      </c>
      <c r="B573" s="8" t="s">
        <v>3052</v>
      </c>
      <c r="C573" s="8" t="s">
        <v>3053</v>
      </c>
      <c r="D573" s="8"/>
      <c r="E573" s="8"/>
      <c r="F573" s="9" t="s">
        <v>3054</v>
      </c>
      <c r="G573" s="10" t="s">
        <v>3055</v>
      </c>
      <c r="H573" s="10" t="s">
        <v>3056</v>
      </c>
      <c r="I573" s="10"/>
    </row>
    <row r="574" spans="1:9" ht="14.25" customHeight="1" x14ac:dyDescent="0.25">
      <c r="A574" s="7" t="s">
        <v>3057</v>
      </c>
      <c r="B574" s="8" t="s">
        <v>3058</v>
      </c>
      <c r="C574" s="8" t="s">
        <v>3059</v>
      </c>
      <c r="D574" s="8"/>
      <c r="E574" s="8"/>
      <c r="F574" s="13" t="s">
        <v>3060</v>
      </c>
      <c r="G574" s="10" t="s">
        <v>3061</v>
      </c>
      <c r="H574" s="10" t="s">
        <v>3062</v>
      </c>
      <c r="I574" s="10"/>
    </row>
    <row r="575" spans="1:9" ht="14.25" customHeight="1" x14ac:dyDescent="0.25">
      <c r="A575" s="7" t="s">
        <v>3063</v>
      </c>
      <c r="B575" s="8" t="s">
        <v>3058</v>
      </c>
      <c r="C575" s="8" t="s">
        <v>3064</v>
      </c>
      <c r="D575" s="8"/>
      <c r="E575" s="8"/>
      <c r="F575" s="9" t="s">
        <v>3065</v>
      </c>
      <c r="G575" s="10" t="s">
        <v>3066</v>
      </c>
      <c r="H575" s="10" t="s">
        <v>3067</v>
      </c>
      <c r="I575" s="10"/>
    </row>
    <row r="576" spans="1:9" ht="14.25" customHeight="1" x14ac:dyDescent="0.25">
      <c r="A576" s="7"/>
      <c r="B576" s="8" t="s">
        <v>3058</v>
      </c>
      <c r="C576" s="8" t="s">
        <v>3068</v>
      </c>
      <c r="D576" s="8"/>
      <c r="E576" s="8"/>
      <c r="F576" s="9" t="s">
        <v>3069</v>
      </c>
      <c r="G576" s="10" t="s">
        <v>3070</v>
      </c>
      <c r="H576" s="10" t="s">
        <v>3071</v>
      </c>
      <c r="I576" s="10"/>
    </row>
    <row r="577" spans="1:9" ht="14.25" customHeight="1" x14ac:dyDescent="0.25">
      <c r="A577" s="7" t="s">
        <v>3072</v>
      </c>
      <c r="B577" s="8" t="s">
        <v>3073</v>
      </c>
      <c r="C577" s="8" t="s">
        <v>2411</v>
      </c>
      <c r="D577" s="8"/>
      <c r="E577" s="8"/>
      <c r="F577" s="9" t="s">
        <v>3074</v>
      </c>
      <c r="G577" s="10" t="s">
        <v>3075</v>
      </c>
      <c r="H577" s="10" t="s">
        <v>3076</v>
      </c>
      <c r="I577" s="10"/>
    </row>
    <row r="578" spans="1:9" ht="14.25" customHeight="1" x14ac:dyDescent="0.25">
      <c r="A578" s="7" t="s">
        <v>3077</v>
      </c>
      <c r="B578" s="8" t="s">
        <v>3078</v>
      </c>
      <c r="C578" s="8" t="s">
        <v>462</v>
      </c>
      <c r="D578" s="8"/>
      <c r="E578" s="8"/>
      <c r="F578" s="9" t="s">
        <v>3079</v>
      </c>
      <c r="G578" s="10" t="s">
        <v>3080</v>
      </c>
      <c r="H578" s="10" t="s">
        <v>3081</v>
      </c>
      <c r="I578" s="10"/>
    </row>
    <row r="579" spans="1:9" ht="14.25" customHeight="1" x14ac:dyDescent="0.25">
      <c r="A579" s="7"/>
      <c r="B579" s="8" t="s">
        <v>3078</v>
      </c>
      <c r="C579" s="8" t="s">
        <v>2890</v>
      </c>
      <c r="D579" s="8"/>
      <c r="E579" s="8"/>
      <c r="F579" s="9" t="s">
        <v>3082</v>
      </c>
      <c r="G579" s="10" t="s">
        <v>3083</v>
      </c>
      <c r="H579" s="10" t="s">
        <v>3084</v>
      </c>
      <c r="I579" s="10"/>
    </row>
    <row r="580" spans="1:9" ht="14.25" customHeight="1" x14ac:dyDescent="0.25">
      <c r="A580" s="7"/>
      <c r="B580" s="8" t="s">
        <v>3085</v>
      </c>
      <c r="C580" s="8" t="s">
        <v>2919</v>
      </c>
      <c r="D580" s="8"/>
      <c r="E580" s="8"/>
      <c r="F580" s="9" t="s">
        <v>3086</v>
      </c>
      <c r="G580" s="10" t="s">
        <v>3087</v>
      </c>
      <c r="H580" s="10" t="s">
        <v>3088</v>
      </c>
      <c r="I580" s="10"/>
    </row>
    <row r="581" spans="1:9" ht="14.25" customHeight="1" x14ac:dyDescent="0.25">
      <c r="A581" s="7"/>
      <c r="B581" s="8" t="s">
        <v>3089</v>
      </c>
      <c r="C581" s="8" t="s">
        <v>1223</v>
      </c>
      <c r="D581" s="8"/>
      <c r="E581" s="8"/>
      <c r="F581" s="9" t="s">
        <v>3090</v>
      </c>
      <c r="G581" s="10" t="s">
        <v>3091</v>
      </c>
      <c r="H581" s="10" t="s">
        <v>3092</v>
      </c>
      <c r="I581" s="10"/>
    </row>
    <row r="582" spans="1:9" ht="14.25" customHeight="1" x14ac:dyDescent="0.25">
      <c r="A582" s="7"/>
      <c r="B582" s="8" t="s">
        <v>3089</v>
      </c>
      <c r="C582" s="8" t="s">
        <v>3093</v>
      </c>
      <c r="D582" s="8"/>
      <c r="E582" s="8"/>
      <c r="F582" s="9" t="s">
        <v>3094</v>
      </c>
      <c r="G582" s="10" t="s">
        <v>3095</v>
      </c>
      <c r="H582" s="10" t="s">
        <v>3096</v>
      </c>
      <c r="I582" s="10"/>
    </row>
    <row r="583" spans="1:9" ht="14.25" customHeight="1" x14ac:dyDescent="0.25">
      <c r="A583" s="7" t="s">
        <v>3097</v>
      </c>
      <c r="B583" s="8" t="s">
        <v>3089</v>
      </c>
      <c r="C583" s="8" t="s">
        <v>3098</v>
      </c>
      <c r="D583" s="8"/>
      <c r="E583" s="8"/>
      <c r="F583" s="9" t="s">
        <v>3099</v>
      </c>
      <c r="G583" s="10" t="s">
        <v>3100</v>
      </c>
      <c r="H583" s="10" t="s">
        <v>3101</v>
      </c>
      <c r="I583" s="10"/>
    </row>
    <row r="584" spans="1:9" ht="14.25" customHeight="1" x14ac:dyDescent="0.25">
      <c r="A584" s="7" t="s">
        <v>3102</v>
      </c>
      <c r="B584" s="8" t="s">
        <v>3103</v>
      </c>
      <c r="C584" s="8" t="s">
        <v>3104</v>
      </c>
      <c r="D584" s="8"/>
      <c r="E584" s="8"/>
      <c r="F584" s="9" t="s">
        <v>3105</v>
      </c>
      <c r="G584" s="10" t="s">
        <v>3106</v>
      </c>
      <c r="H584" s="10" t="s">
        <v>3107</v>
      </c>
      <c r="I584" s="10"/>
    </row>
    <row r="585" spans="1:9" ht="14.25" customHeight="1" x14ac:dyDescent="0.25">
      <c r="A585" s="7" t="s">
        <v>3108</v>
      </c>
      <c r="B585" s="8" t="s">
        <v>3109</v>
      </c>
      <c r="C585" s="8" t="s">
        <v>3110</v>
      </c>
      <c r="D585" s="8"/>
      <c r="E585" s="8"/>
      <c r="F585" s="9" t="s">
        <v>3111</v>
      </c>
      <c r="G585" s="10" t="s">
        <v>3112</v>
      </c>
      <c r="H585" s="10" t="s">
        <v>3113</v>
      </c>
      <c r="I585" s="10"/>
    </row>
    <row r="586" spans="1:9" ht="14.25" customHeight="1" x14ac:dyDescent="0.25">
      <c r="A586" s="7" t="s">
        <v>3114</v>
      </c>
      <c r="B586" s="8" t="s">
        <v>3115</v>
      </c>
      <c r="C586" s="8" t="s">
        <v>3116</v>
      </c>
      <c r="D586" s="8"/>
      <c r="E586" s="8"/>
      <c r="F586" s="9" t="s">
        <v>3117</v>
      </c>
      <c r="G586" s="10" t="s">
        <v>3118</v>
      </c>
      <c r="H586" s="10" t="s">
        <v>3119</v>
      </c>
      <c r="I586" s="10"/>
    </row>
    <row r="587" spans="1:9" ht="14.25" customHeight="1" x14ac:dyDescent="0.25">
      <c r="A587" s="7" t="s">
        <v>3120</v>
      </c>
      <c r="B587" s="8" t="s">
        <v>3121</v>
      </c>
      <c r="C587" s="8" t="s">
        <v>3122</v>
      </c>
      <c r="D587" s="8"/>
      <c r="E587" s="8"/>
      <c r="F587" s="9" t="s">
        <v>3123</v>
      </c>
      <c r="G587" s="10" t="s">
        <v>3124</v>
      </c>
      <c r="H587" s="10" t="s">
        <v>3125</v>
      </c>
      <c r="I587" s="10"/>
    </row>
    <row r="588" spans="1:9" ht="14.25" customHeight="1" x14ac:dyDescent="0.25">
      <c r="A588" s="7" t="s">
        <v>3126</v>
      </c>
      <c r="B588" s="8" t="s">
        <v>3127</v>
      </c>
      <c r="C588" s="8" t="s">
        <v>3128</v>
      </c>
      <c r="D588" s="8"/>
      <c r="E588" s="8"/>
      <c r="F588" s="9" t="s">
        <v>3129</v>
      </c>
      <c r="G588" s="10" t="s">
        <v>3130</v>
      </c>
      <c r="H588" s="10" t="s">
        <v>3131</v>
      </c>
      <c r="I588" s="10"/>
    </row>
    <row r="589" spans="1:9" ht="14.25" customHeight="1" x14ac:dyDescent="0.25">
      <c r="A589" s="7"/>
      <c r="B589" s="8" t="s">
        <v>3132</v>
      </c>
      <c r="C589" s="8" t="s">
        <v>3133</v>
      </c>
      <c r="D589" s="8"/>
      <c r="E589" s="8"/>
      <c r="F589" s="9" t="s">
        <v>3134</v>
      </c>
      <c r="G589" s="10" t="s">
        <v>3135</v>
      </c>
      <c r="H589" s="10" t="s">
        <v>3136</v>
      </c>
      <c r="I589" s="10"/>
    </row>
    <row r="590" spans="1:9" ht="14.25" customHeight="1" x14ac:dyDescent="0.25">
      <c r="A590" s="7" t="s">
        <v>3137</v>
      </c>
      <c r="B590" s="8" t="s">
        <v>3138</v>
      </c>
      <c r="C590" s="8" t="s">
        <v>686</v>
      </c>
      <c r="D590" s="8"/>
      <c r="E590" s="8"/>
      <c r="F590" s="9" t="s">
        <v>3139</v>
      </c>
      <c r="G590" s="10" t="s">
        <v>3140</v>
      </c>
      <c r="H590" s="10" t="s">
        <v>3141</v>
      </c>
      <c r="I590" s="10"/>
    </row>
    <row r="591" spans="1:9" ht="14.25" customHeight="1" x14ac:dyDescent="0.25">
      <c r="A591" s="7" t="s">
        <v>3142</v>
      </c>
      <c r="B591" s="8" t="s">
        <v>3138</v>
      </c>
      <c r="C591" s="8" t="s">
        <v>3143</v>
      </c>
      <c r="D591" s="8"/>
      <c r="E591" s="8"/>
      <c r="F591" s="9" t="s">
        <v>3144</v>
      </c>
      <c r="G591" s="10" t="s">
        <v>3145</v>
      </c>
      <c r="H591" s="10" t="s">
        <v>3146</v>
      </c>
      <c r="I591" s="10"/>
    </row>
    <row r="592" spans="1:9" ht="14.25" customHeight="1" x14ac:dyDescent="0.25">
      <c r="A592" s="7" t="s">
        <v>3147</v>
      </c>
      <c r="B592" s="8" t="s">
        <v>3138</v>
      </c>
      <c r="C592" s="8" t="s">
        <v>3148</v>
      </c>
      <c r="D592" s="8"/>
      <c r="E592" s="8"/>
      <c r="F592" s="9" t="s">
        <v>3149</v>
      </c>
      <c r="G592" s="10" t="s">
        <v>3150</v>
      </c>
      <c r="H592" s="10" t="s">
        <v>3151</v>
      </c>
      <c r="I592" s="10"/>
    </row>
    <row r="593" spans="1:9" ht="14.25" customHeight="1" x14ac:dyDescent="0.25">
      <c r="A593" s="7" t="s">
        <v>3152</v>
      </c>
      <c r="B593" s="8" t="s">
        <v>457</v>
      </c>
      <c r="C593" s="8" t="s">
        <v>508</v>
      </c>
      <c r="D593" s="8"/>
      <c r="E593" s="8"/>
      <c r="F593" s="9" t="s">
        <v>3153</v>
      </c>
      <c r="G593" s="10" t="s">
        <v>3154</v>
      </c>
      <c r="H593" s="10" t="s">
        <v>3155</v>
      </c>
      <c r="I593" s="10"/>
    </row>
    <row r="594" spans="1:9" ht="14.25" customHeight="1" x14ac:dyDescent="0.25">
      <c r="A594" s="7" t="s">
        <v>3156</v>
      </c>
      <c r="B594" s="8" t="s">
        <v>3157</v>
      </c>
      <c r="C594" s="8" t="s">
        <v>3158</v>
      </c>
      <c r="D594" s="8"/>
      <c r="E594" s="8"/>
      <c r="F594" s="9" t="s">
        <v>3159</v>
      </c>
      <c r="G594" s="10" t="s">
        <v>3160</v>
      </c>
      <c r="H594" s="10" t="s">
        <v>3161</v>
      </c>
      <c r="I594" s="10"/>
    </row>
    <row r="595" spans="1:9" ht="14.25" customHeight="1" x14ac:dyDescent="0.25">
      <c r="A595" s="7" t="s">
        <v>3162</v>
      </c>
      <c r="B595" s="8" t="s">
        <v>3157</v>
      </c>
      <c r="C595" s="8" t="s">
        <v>537</v>
      </c>
      <c r="D595" s="8" t="s">
        <v>3163</v>
      </c>
      <c r="E595" s="8" t="s">
        <v>412</v>
      </c>
      <c r="F595" s="9" t="s">
        <v>3164</v>
      </c>
      <c r="G595" s="10" t="s">
        <v>3165</v>
      </c>
      <c r="H595" s="10" t="s">
        <v>37</v>
      </c>
      <c r="I595" s="10"/>
    </row>
    <row r="596" spans="1:9" ht="14.25" customHeight="1" x14ac:dyDescent="0.25">
      <c r="A596" s="7"/>
      <c r="B596" s="8" t="s">
        <v>3166</v>
      </c>
      <c r="C596" s="8" t="s">
        <v>3167</v>
      </c>
      <c r="D596" s="8"/>
      <c r="E596" s="8"/>
      <c r="F596" s="9" t="s">
        <v>3168</v>
      </c>
      <c r="G596" s="10" t="s">
        <v>3169</v>
      </c>
      <c r="H596" s="10" t="s">
        <v>3170</v>
      </c>
      <c r="I596" s="10"/>
    </row>
    <row r="597" spans="1:9" ht="14.25" customHeight="1" x14ac:dyDescent="0.25">
      <c r="A597" s="7" t="s">
        <v>3171</v>
      </c>
      <c r="B597" s="8" t="s">
        <v>3157</v>
      </c>
      <c r="C597" s="8" t="s">
        <v>3172</v>
      </c>
      <c r="D597" s="8"/>
      <c r="E597" s="8"/>
      <c r="F597" s="9" t="s">
        <v>3173</v>
      </c>
      <c r="G597" s="10" t="s">
        <v>3174</v>
      </c>
      <c r="H597" s="10" t="s">
        <v>3175</v>
      </c>
      <c r="I597" s="10"/>
    </row>
    <row r="598" spans="1:9" ht="14.25" customHeight="1" x14ac:dyDescent="0.25">
      <c r="A598" s="7" t="s">
        <v>3176</v>
      </c>
      <c r="B598" s="8" t="s">
        <v>3177</v>
      </c>
      <c r="C598" s="8" t="s">
        <v>3178</v>
      </c>
      <c r="D598" s="8"/>
      <c r="E598" s="8"/>
      <c r="F598" s="9" t="s">
        <v>3179</v>
      </c>
      <c r="G598" s="10" t="s">
        <v>3180</v>
      </c>
      <c r="H598" s="10" t="s">
        <v>3181</v>
      </c>
      <c r="I598" s="10"/>
    </row>
    <row r="599" spans="1:9" ht="14.25" customHeight="1" x14ac:dyDescent="0.25">
      <c r="A599" s="7" t="s">
        <v>3182</v>
      </c>
      <c r="B599" s="8" t="s">
        <v>3183</v>
      </c>
      <c r="C599" s="8" t="s">
        <v>3184</v>
      </c>
      <c r="D599" s="8"/>
      <c r="E599" s="8"/>
      <c r="F599" s="9" t="s">
        <v>3185</v>
      </c>
      <c r="G599" s="10" t="s">
        <v>3186</v>
      </c>
      <c r="H599" s="10" t="s">
        <v>3187</v>
      </c>
      <c r="I599" s="10"/>
    </row>
    <row r="600" spans="1:9" ht="14.25" customHeight="1" x14ac:dyDescent="0.25">
      <c r="A600" s="7" t="s">
        <v>3188</v>
      </c>
      <c r="B600" s="8" t="s">
        <v>3189</v>
      </c>
      <c r="C600" s="8" t="s">
        <v>3190</v>
      </c>
      <c r="D600" s="8"/>
      <c r="E600" s="8"/>
      <c r="F600" s="9" t="s">
        <v>3191</v>
      </c>
      <c r="G600" s="10" t="s">
        <v>3192</v>
      </c>
      <c r="H600" s="10" t="s">
        <v>3193</v>
      </c>
      <c r="I600" s="10"/>
    </row>
    <row r="601" spans="1:9" ht="14.25" customHeight="1" x14ac:dyDescent="0.25">
      <c r="A601" s="7" t="s">
        <v>3194</v>
      </c>
      <c r="B601" s="8" t="s">
        <v>3195</v>
      </c>
      <c r="C601" s="8" t="s">
        <v>3196</v>
      </c>
      <c r="D601" s="8"/>
      <c r="E601" s="8"/>
      <c r="F601" s="9" t="s">
        <v>3197</v>
      </c>
      <c r="G601" s="10" t="s">
        <v>3198</v>
      </c>
      <c r="H601" s="10" t="s">
        <v>3199</v>
      </c>
      <c r="I601" s="10"/>
    </row>
    <row r="602" spans="1:9" ht="14.25" customHeight="1" x14ac:dyDescent="0.25">
      <c r="A602" s="7" t="s">
        <v>3200</v>
      </c>
      <c r="B602" s="8" t="s">
        <v>3201</v>
      </c>
      <c r="C602" s="8" t="s">
        <v>3202</v>
      </c>
      <c r="D602" s="8"/>
      <c r="E602" s="8"/>
      <c r="F602" s="9" t="s">
        <v>3203</v>
      </c>
      <c r="G602" s="10" t="s">
        <v>3204</v>
      </c>
      <c r="H602" s="10" t="s">
        <v>3205</v>
      </c>
      <c r="I602" s="10"/>
    </row>
    <row r="603" spans="1:9" ht="14.25" customHeight="1" x14ac:dyDescent="0.25">
      <c r="A603" s="7" t="s">
        <v>3206</v>
      </c>
      <c r="B603" s="8" t="s">
        <v>3207</v>
      </c>
      <c r="C603" s="8" t="s">
        <v>3208</v>
      </c>
      <c r="D603" s="8"/>
      <c r="E603" s="8"/>
      <c r="F603" s="9" t="s">
        <v>3209</v>
      </c>
      <c r="G603" s="10" t="s">
        <v>3210</v>
      </c>
      <c r="H603" s="10" t="s">
        <v>3211</v>
      </c>
      <c r="I603" s="10"/>
    </row>
    <row r="604" spans="1:9" ht="14.25" customHeight="1" x14ac:dyDescent="0.25">
      <c r="A604" s="7" t="s">
        <v>3212</v>
      </c>
      <c r="B604" s="8" t="s">
        <v>3213</v>
      </c>
      <c r="C604" s="8" t="s">
        <v>3214</v>
      </c>
      <c r="D604" s="8"/>
      <c r="E604" s="8"/>
      <c r="F604" s="9" t="s">
        <v>3215</v>
      </c>
      <c r="G604" s="10" t="s">
        <v>3216</v>
      </c>
      <c r="H604" s="10" t="s">
        <v>3217</v>
      </c>
      <c r="I604" s="10"/>
    </row>
    <row r="605" spans="1:9" ht="14.25" customHeight="1" x14ac:dyDescent="0.25">
      <c r="A605" s="7"/>
      <c r="B605" s="8" t="s">
        <v>3218</v>
      </c>
      <c r="C605" s="8" t="s">
        <v>3219</v>
      </c>
      <c r="D605" s="8"/>
      <c r="E605" s="8"/>
      <c r="F605" s="9" t="s">
        <v>3220</v>
      </c>
      <c r="G605" s="10" t="s">
        <v>3221</v>
      </c>
      <c r="H605" s="10" t="s">
        <v>3222</v>
      </c>
      <c r="I605" s="10"/>
    </row>
    <row r="606" spans="1:9" ht="14.25" customHeight="1" x14ac:dyDescent="0.25">
      <c r="A606" s="7"/>
      <c r="B606" s="8" t="s">
        <v>3223</v>
      </c>
      <c r="C606" s="8" t="s">
        <v>3224</v>
      </c>
      <c r="D606" s="8"/>
      <c r="E606" s="8"/>
      <c r="F606" s="9" t="s">
        <v>3225</v>
      </c>
      <c r="G606" s="10" t="s">
        <v>3226</v>
      </c>
      <c r="H606" s="10" t="s">
        <v>3227</v>
      </c>
      <c r="I606" s="10"/>
    </row>
    <row r="607" spans="1:9" ht="14.25" customHeight="1" x14ac:dyDescent="0.25">
      <c r="A607" s="7" t="s">
        <v>3228</v>
      </c>
      <c r="B607" s="8" t="s">
        <v>3229</v>
      </c>
      <c r="C607" s="8" t="s">
        <v>3230</v>
      </c>
      <c r="D607" s="8"/>
      <c r="E607" s="8"/>
      <c r="F607" s="9" t="s">
        <v>3231</v>
      </c>
      <c r="G607" s="10" t="s">
        <v>3232</v>
      </c>
      <c r="H607" s="10" t="s">
        <v>3233</v>
      </c>
      <c r="I607" s="10"/>
    </row>
    <row r="608" spans="1:9" ht="14.25" customHeight="1" x14ac:dyDescent="0.25">
      <c r="A608" s="7" t="s">
        <v>3234</v>
      </c>
      <c r="B608" s="8" t="s">
        <v>3235</v>
      </c>
      <c r="C608" s="8" t="s">
        <v>3236</v>
      </c>
      <c r="D608" s="8"/>
      <c r="E608" s="8"/>
      <c r="F608" s="9" t="s">
        <v>3237</v>
      </c>
      <c r="G608" s="10" t="s">
        <v>3238</v>
      </c>
      <c r="H608" s="10" t="s">
        <v>3239</v>
      </c>
      <c r="I608" s="10"/>
    </row>
    <row r="609" spans="1:9" ht="14.25" customHeight="1" x14ac:dyDescent="0.25">
      <c r="A609" s="7" t="s">
        <v>3240</v>
      </c>
      <c r="B609" s="8" t="s">
        <v>3241</v>
      </c>
      <c r="C609" s="8" t="s">
        <v>3242</v>
      </c>
      <c r="D609" s="8"/>
      <c r="E609" s="8"/>
      <c r="F609" s="9" t="s">
        <v>3243</v>
      </c>
      <c r="G609" s="10" t="s">
        <v>3244</v>
      </c>
      <c r="H609" s="10" t="s">
        <v>3245</v>
      </c>
      <c r="I609" s="10"/>
    </row>
    <row r="610" spans="1:9" ht="14.25" customHeight="1" x14ac:dyDescent="0.25">
      <c r="A610" s="7" t="s">
        <v>2888</v>
      </c>
      <c r="B610" s="8" t="s">
        <v>3246</v>
      </c>
      <c r="C610" s="8" t="s">
        <v>2890</v>
      </c>
      <c r="D610" s="8"/>
      <c r="E610" s="8"/>
      <c r="F610" s="9" t="s">
        <v>3247</v>
      </c>
      <c r="G610" s="10" t="s">
        <v>3248</v>
      </c>
      <c r="H610" s="10" t="s">
        <v>3249</v>
      </c>
      <c r="I610" s="10"/>
    </row>
    <row r="611" spans="1:9" ht="14.25" customHeight="1" x14ac:dyDescent="0.25">
      <c r="A611" s="7" t="s">
        <v>852</v>
      </c>
      <c r="B611" s="8" t="s">
        <v>3250</v>
      </c>
      <c r="C611" s="8" t="s">
        <v>3251</v>
      </c>
      <c r="D611" s="8"/>
      <c r="E611" s="8"/>
      <c r="F611" s="9" t="s">
        <v>3252</v>
      </c>
      <c r="G611" s="10" t="s">
        <v>3253</v>
      </c>
      <c r="H611" s="10" t="s">
        <v>3254</v>
      </c>
      <c r="I611" s="10"/>
    </row>
    <row r="612" spans="1:9" ht="14.25" customHeight="1" x14ac:dyDescent="0.25">
      <c r="A612" s="7" t="s">
        <v>3255</v>
      </c>
      <c r="B612" s="8" t="s">
        <v>3256</v>
      </c>
      <c r="C612" s="8" t="s">
        <v>3257</v>
      </c>
      <c r="D612" s="8"/>
      <c r="E612" s="8"/>
      <c r="F612" s="9" t="s">
        <v>3258</v>
      </c>
      <c r="G612" s="10" t="s">
        <v>3259</v>
      </c>
      <c r="H612" s="10" t="s">
        <v>3260</v>
      </c>
      <c r="I612" s="10"/>
    </row>
    <row r="613" spans="1:9" ht="14.25" customHeight="1" x14ac:dyDescent="0.25">
      <c r="A613" s="7" t="s">
        <v>3261</v>
      </c>
      <c r="B613" s="8" t="s">
        <v>3262</v>
      </c>
      <c r="C613" s="8" t="s">
        <v>1677</v>
      </c>
      <c r="D613" s="8"/>
      <c r="E613" s="8"/>
      <c r="F613" s="9" t="s">
        <v>3263</v>
      </c>
      <c r="G613" s="10" t="s">
        <v>3264</v>
      </c>
      <c r="H613" s="10" t="s">
        <v>3265</v>
      </c>
      <c r="I613" s="10"/>
    </row>
    <row r="614" spans="1:9" ht="14.25" customHeight="1" x14ac:dyDescent="0.25">
      <c r="A614" s="7" t="s">
        <v>3266</v>
      </c>
      <c r="B614" s="8" t="s">
        <v>3267</v>
      </c>
      <c r="C614" s="8" t="s">
        <v>371</v>
      </c>
      <c r="D614" s="8" t="s">
        <v>411</v>
      </c>
      <c r="E614" s="8" t="s">
        <v>412</v>
      </c>
      <c r="F614" s="11" t="s">
        <v>3268</v>
      </c>
      <c r="G614" s="10" t="s">
        <v>3269</v>
      </c>
      <c r="H614" s="10" t="s">
        <v>3270</v>
      </c>
      <c r="I614" s="10"/>
    </row>
    <row r="615" spans="1:9" ht="14.25" customHeight="1" x14ac:dyDescent="0.25">
      <c r="A615" s="7"/>
      <c r="B615" s="8" t="s">
        <v>3271</v>
      </c>
      <c r="C615" s="8" t="s">
        <v>3272</v>
      </c>
      <c r="D615" s="8"/>
      <c r="E615" s="8"/>
      <c r="F615" s="9" t="s">
        <v>3273</v>
      </c>
      <c r="G615" s="10" t="s">
        <v>3274</v>
      </c>
      <c r="H615" s="10" t="s">
        <v>3275</v>
      </c>
      <c r="I615" s="10"/>
    </row>
    <row r="616" spans="1:9" ht="14.25" customHeight="1" x14ac:dyDescent="0.25">
      <c r="A616" s="7"/>
      <c r="B616" s="8" t="s">
        <v>3271</v>
      </c>
      <c r="C616" s="8" t="s">
        <v>3276</v>
      </c>
      <c r="D616" s="8"/>
      <c r="E616" s="8"/>
      <c r="F616" s="9" t="s">
        <v>3277</v>
      </c>
      <c r="G616" s="10" t="s">
        <v>3278</v>
      </c>
      <c r="H616" s="10" t="s">
        <v>3279</v>
      </c>
      <c r="I616" s="10"/>
    </row>
    <row r="617" spans="1:9" ht="14.25" customHeight="1" x14ac:dyDescent="0.25">
      <c r="A617" s="7" t="s">
        <v>3280</v>
      </c>
      <c r="B617" s="8" t="s">
        <v>3271</v>
      </c>
      <c r="C617" s="8" t="s">
        <v>3281</v>
      </c>
      <c r="D617" s="8"/>
      <c r="E617" s="8"/>
      <c r="F617" s="9" t="s">
        <v>3282</v>
      </c>
      <c r="G617" s="10" t="s">
        <v>3283</v>
      </c>
      <c r="H617" s="10" t="s">
        <v>3284</v>
      </c>
      <c r="I617" s="10"/>
    </row>
    <row r="618" spans="1:9" ht="14.25" customHeight="1" x14ac:dyDescent="0.25">
      <c r="A618" s="7"/>
      <c r="B618" s="8" t="s">
        <v>3271</v>
      </c>
      <c r="C618" s="8" t="s">
        <v>3285</v>
      </c>
      <c r="D618" s="8"/>
      <c r="E618" s="8"/>
      <c r="F618" s="9" t="s">
        <v>3286</v>
      </c>
      <c r="G618" s="10" t="s">
        <v>3287</v>
      </c>
      <c r="H618" s="10" t="s">
        <v>3288</v>
      </c>
      <c r="I618" s="10"/>
    </row>
    <row r="619" spans="1:9" ht="14.25" customHeight="1" x14ac:dyDescent="0.25">
      <c r="A619" s="7" t="s">
        <v>3289</v>
      </c>
      <c r="B619" s="8" t="s">
        <v>3271</v>
      </c>
      <c r="C619" s="8" t="s">
        <v>3290</v>
      </c>
      <c r="D619" s="8"/>
      <c r="E619" s="8"/>
      <c r="F619" s="9" t="s">
        <v>3291</v>
      </c>
      <c r="G619" s="10" t="s">
        <v>3292</v>
      </c>
      <c r="H619" s="10" t="s">
        <v>3293</v>
      </c>
      <c r="I619" s="10"/>
    </row>
    <row r="620" spans="1:9" ht="14.25" customHeight="1" x14ac:dyDescent="0.25">
      <c r="A620" s="7" t="s">
        <v>3294</v>
      </c>
      <c r="B620" s="8" t="s">
        <v>3295</v>
      </c>
      <c r="C620" s="8" t="s">
        <v>3207</v>
      </c>
      <c r="D620" s="8"/>
      <c r="E620" s="8"/>
      <c r="F620" s="9" t="s">
        <v>3296</v>
      </c>
      <c r="G620" s="10" t="s">
        <v>3297</v>
      </c>
      <c r="H620" s="10" t="s">
        <v>3298</v>
      </c>
      <c r="I620" s="10"/>
    </row>
    <row r="621" spans="1:9" ht="14.25" customHeight="1" x14ac:dyDescent="0.25">
      <c r="A621" s="7" t="s">
        <v>3299</v>
      </c>
      <c r="B621" s="8" t="s">
        <v>3300</v>
      </c>
      <c r="C621" s="8" t="s">
        <v>3301</v>
      </c>
      <c r="D621" s="8"/>
      <c r="E621" s="8"/>
      <c r="F621" s="9" t="s">
        <v>3302</v>
      </c>
      <c r="G621" s="10" t="s">
        <v>3303</v>
      </c>
      <c r="H621" s="10" t="s">
        <v>3304</v>
      </c>
      <c r="I621" s="10"/>
    </row>
    <row r="622" spans="1:9" ht="14.25" customHeight="1" x14ac:dyDescent="0.25">
      <c r="A622" s="7"/>
      <c r="B622" s="8" t="s">
        <v>3300</v>
      </c>
      <c r="C622" s="8" t="s">
        <v>3305</v>
      </c>
      <c r="D622" s="8"/>
      <c r="E622" s="8"/>
      <c r="F622" s="9" t="s">
        <v>3306</v>
      </c>
      <c r="G622" s="10" t="s">
        <v>3307</v>
      </c>
      <c r="H622" s="10" t="s">
        <v>3308</v>
      </c>
      <c r="I622" s="10"/>
    </row>
    <row r="623" spans="1:9" ht="14.25" customHeight="1" x14ac:dyDescent="0.25">
      <c r="A623" s="7"/>
      <c r="B623" s="8" t="s">
        <v>3309</v>
      </c>
      <c r="C623" s="8" t="s">
        <v>3310</v>
      </c>
      <c r="D623" s="8"/>
      <c r="E623" s="8"/>
      <c r="F623" s="9" t="s">
        <v>3311</v>
      </c>
      <c r="G623" s="10" t="s">
        <v>3312</v>
      </c>
      <c r="H623" s="10" t="s">
        <v>3313</v>
      </c>
      <c r="I623" s="10"/>
    </row>
    <row r="624" spans="1:9" ht="14.25" customHeight="1" x14ac:dyDescent="0.25">
      <c r="A624" s="7" t="s">
        <v>3314</v>
      </c>
      <c r="B624" s="8" t="s">
        <v>3315</v>
      </c>
      <c r="C624" s="8" t="s">
        <v>3316</v>
      </c>
      <c r="D624" s="8"/>
      <c r="E624" s="8"/>
      <c r="F624" s="9" t="s">
        <v>3317</v>
      </c>
      <c r="G624" s="10" t="s">
        <v>3318</v>
      </c>
      <c r="H624" s="10" t="s">
        <v>3319</v>
      </c>
      <c r="I624" s="10"/>
    </row>
    <row r="625" spans="1:9" ht="14.25" customHeight="1" x14ac:dyDescent="0.25">
      <c r="A625" s="7" t="s">
        <v>3320</v>
      </c>
      <c r="B625" s="8" t="s">
        <v>3321</v>
      </c>
      <c r="C625" s="8" t="s">
        <v>602</v>
      </c>
      <c r="D625" s="8"/>
      <c r="E625" s="8"/>
      <c r="F625" s="9" t="s">
        <v>3322</v>
      </c>
      <c r="G625" s="10" t="s">
        <v>3323</v>
      </c>
      <c r="H625" s="10" t="s">
        <v>3324</v>
      </c>
      <c r="I625" s="10"/>
    </row>
    <row r="626" spans="1:9" ht="14.25" customHeight="1" x14ac:dyDescent="0.25">
      <c r="A626" s="7" t="s">
        <v>3325</v>
      </c>
      <c r="B626" s="8" t="s">
        <v>3321</v>
      </c>
      <c r="C626" s="8" t="s">
        <v>3326</v>
      </c>
      <c r="D626" s="8"/>
      <c r="E626" s="8"/>
      <c r="F626" s="9" t="s">
        <v>3327</v>
      </c>
      <c r="G626" s="10" t="s">
        <v>3328</v>
      </c>
      <c r="H626" s="10" t="s">
        <v>3329</v>
      </c>
      <c r="I626" s="10"/>
    </row>
    <row r="627" spans="1:9" ht="14.25" customHeight="1" x14ac:dyDescent="0.25">
      <c r="A627" s="7" t="s">
        <v>3330</v>
      </c>
      <c r="B627" s="8" t="s">
        <v>3321</v>
      </c>
      <c r="C627" s="8" t="s">
        <v>3331</v>
      </c>
      <c r="D627" s="8"/>
      <c r="E627" s="8"/>
      <c r="F627" s="9" t="s">
        <v>3332</v>
      </c>
      <c r="G627" s="10" t="s">
        <v>3333</v>
      </c>
      <c r="H627" s="10" t="s">
        <v>3334</v>
      </c>
      <c r="I627" s="10"/>
    </row>
    <row r="628" spans="1:9" ht="14.25" customHeight="1" x14ac:dyDescent="0.25">
      <c r="A628" s="7" t="s">
        <v>3335</v>
      </c>
      <c r="B628" s="8" t="s">
        <v>3336</v>
      </c>
      <c r="C628" s="8" t="s">
        <v>3337</v>
      </c>
      <c r="D628" s="8"/>
      <c r="E628" s="8"/>
      <c r="F628" s="9" t="s">
        <v>3338</v>
      </c>
      <c r="G628" s="10" t="s">
        <v>3339</v>
      </c>
      <c r="H628" s="10" t="s">
        <v>3340</v>
      </c>
      <c r="I628" s="10"/>
    </row>
    <row r="629" spans="1:9" ht="14.25" customHeight="1" x14ac:dyDescent="0.25">
      <c r="A629" s="7" t="s">
        <v>3341</v>
      </c>
      <c r="B629" s="8" t="s">
        <v>3321</v>
      </c>
      <c r="C629" s="8" t="s">
        <v>3342</v>
      </c>
      <c r="D629" s="8"/>
      <c r="E629" s="8"/>
      <c r="F629" s="9" t="s">
        <v>3343</v>
      </c>
      <c r="G629" s="10" t="s">
        <v>3344</v>
      </c>
      <c r="H629" s="10" t="s">
        <v>3345</v>
      </c>
      <c r="I629" s="10"/>
    </row>
    <row r="630" spans="1:9" ht="14.25" customHeight="1" x14ac:dyDescent="0.25">
      <c r="A630" s="7"/>
      <c r="B630" s="8" t="s">
        <v>3321</v>
      </c>
      <c r="C630" s="8" t="s">
        <v>3346</v>
      </c>
      <c r="D630" s="8"/>
      <c r="E630" s="8"/>
      <c r="F630" s="9" t="s">
        <v>3347</v>
      </c>
      <c r="G630" s="10" t="s">
        <v>3348</v>
      </c>
      <c r="H630" s="10" t="s">
        <v>3349</v>
      </c>
      <c r="I630" s="10"/>
    </row>
    <row r="631" spans="1:9" ht="14.25" customHeight="1" x14ac:dyDescent="0.25">
      <c r="A631" s="7" t="s">
        <v>3350</v>
      </c>
      <c r="B631" s="8" t="s">
        <v>3351</v>
      </c>
      <c r="C631" s="8" t="s">
        <v>3352</v>
      </c>
      <c r="D631" s="8"/>
      <c r="E631" s="8"/>
      <c r="F631" s="9" t="s">
        <v>3353</v>
      </c>
      <c r="G631" s="10" t="s">
        <v>3354</v>
      </c>
      <c r="H631" s="10" t="s">
        <v>3355</v>
      </c>
      <c r="I631" s="10"/>
    </row>
    <row r="632" spans="1:9" ht="14.25" customHeight="1" x14ac:dyDescent="0.25">
      <c r="A632" s="7"/>
      <c r="B632" s="8" t="s">
        <v>3356</v>
      </c>
      <c r="C632" s="8" t="s">
        <v>2622</v>
      </c>
      <c r="D632" s="8"/>
      <c r="E632" s="8"/>
      <c r="F632" s="9" t="s">
        <v>3357</v>
      </c>
      <c r="G632" s="10" t="s">
        <v>3358</v>
      </c>
      <c r="H632" s="10" t="s">
        <v>3359</v>
      </c>
      <c r="I632" s="10"/>
    </row>
    <row r="633" spans="1:9" ht="14.25" customHeight="1" x14ac:dyDescent="0.25">
      <c r="A633" s="7" t="s">
        <v>3360</v>
      </c>
      <c r="B633" s="8" t="s">
        <v>3361</v>
      </c>
      <c r="C633" s="8" t="s">
        <v>854</v>
      </c>
      <c r="D633" s="8"/>
      <c r="E633" s="8"/>
      <c r="F633" s="9" t="s">
        <v>3362</v>
      </c>
      <c r="G633" s="10" t="s">
        <v>3363</v>
      </c>
      <c r="H633" s="10" t="s">
        <v>3364</v>
      </c>
      <c r="I633" s="10"/>
    </row>
    <row r="634" spans="1:9" ht="14.25" customHeight="1" x14ac:dyDescent="0.25">
      <c r="A634" s="7" t="s">
        <v>3365</v>
      </c>
      <c r="B634" s="8" t="s">
        <v>3361</v>
      </c>
      <c r="C634" s="8" t="s">
        <v>1474</v>
      </c>
      <c r="D634" s="8"/>
      <c r="E634" s="8"/>
      <c r="F634" s="9" t="s">
        <v>3366</v>
      </c>
      <c r="G634" s="10" t="s">
        <v>3367</v>
      </c>
      <c r="H634" s="10" t="s">
        <v>3368</v>
      </c>
      <c r="I634" s="10"/>
    </row>
    <row r="635" spans="1:9" ht="14.25" customHeight="1" x14ac:dyDescent="0.25">
      <c r="A635" s="7" t="s">
        <v>3369</v>
      </c>
      <c r="B635" s="8" t="s">
        <v>3370</v>
      </c>
      <c r="C635" s="8" t="s">
        <v>3371</v>
      </c>
      <c r="D635" s="8"/>
      <c r="E635" s="8"/>
      <c r="F635" s="9" t="s">
        <v>3372</v>
      </c>
      <c r="G635" s="10" t="s">
        <v>3373</v>
      </c>
      <c r="H635" s="10" t="s">
        <v>3374</v>
      </c>
      <c r="I635" s="10"/>
    </row>
    <row r="636" spans="1:9" ht="14.25" customHeight="1" x14ac:dyDescent="0.25">
      <c r="A636" s="7" t="s">
        <v>3375</v>
      </c>
      <c r="B636" s="8" t="s">
        <v>3376</v>
      </c>
      <c r="C636" s="8" t="s">
        <v>3377</v>
      </c>
      <c r="D636" s="8"/>
      <c r="E636" s="8"/>
      <c r="F636" s="9" t="s">
        <v>3378</v>
      </c>
      <c r="G636" s="10" t="s">
        <v>3379</v>
      </c>
      <c r="H636" s="10" t="s">
        <v>3380</v>
      </c>
      <c r="I636" s="10"/>
    </row>
    <row r="637" spans="1:9" ht="14.25" customHeight="1" x14ac:dyDescent="0.25">
      <c r="A637" s="7" t="s">
        <v>3381</v>
      </c>
      <c r="B637" s="8" t="s">
        <v>3382</v>
      </c>
      <c r="C637" s="8" t="s">
        <v>3383</v>
      </c>
      <c r="D637" s="8"/>
      <c r="E637" s="8" t="s">
        <v>412</v>
      </c>
      <c r="F637" s="9" t="s">
        <v>3384</v>
      </c>
      <c r="G637" s="10" t="s">
        <v>3385</v>
      </c>
      <c r="H637" s="10" t="s">
        <v>3386</v>
      </c>
      <c r="I637" s="10"/>
    </row>
    <row r="638" spans="1:9" ht="14.25" customHeight="1" x14ac:dyDescent="0.25">
      <c r="A638" s="7" t="s">
        <v>3387</v>
      </c>
      <c r="B638" s="8" t="s">
        <v>3388</v>
      </c>
      <c r="C638" s="8" t="s">
        <v>3389</v>
      </c>
      <c r="D638" s="8"/>
      <c r="E638" s="8"/>
      <c r="F638" s="9" t="s">
        <v>3390</v>
      </c>
      <c r="G638" s="10" t="s">
        <v>3391</v>
      </c>
      <c r="H638" s="10" t="s">
        <v>3392</v>
      </c>
      <c r="I638" s="10"/>
    </row>
    <row r="639" spans="1:9" ht="14.25" customHeight="1" x14ac:dyDescent="0.25">
      <c r="A639" s="7" t="s">
        <v>3393</v>
      </c>
      <c r="B639" s="8" t="s">
        <v>3394</v>
      </c>
      <c r="C639" s="8" t="s">
        <v>3395</v>
      </c>
      <c r="D639" s="8"/>
      <c r="E639" s="8"/>
      <c r="F639" s="9" t="s">
        <v>3396</v>
      </c>
      <c r="G639" s="10" t="s">
        <v>3397</v>
      </c>
      <c r="H639" s="10" t="s">
        <v>3398</v>
      </c>
      <c r="I639" s="10"/>
    </row>
    <row r="640" spans="1:9" ht="14.25" customHeight="1" x14ac:dyDescent="0.25">
      <c r="A640" s="7"/>
      <c r="B640" s="8" t="s">
        <v>3399</v>
      </c>
      <c r="C640" s="8" t="s">
        <v>3400</v>
      </c>
      <c r="D640" s="8"/>
      <c r="E640" s="8"/>
      <c r="F640" s="9" t="s">
        <v>3401</v>
      </c>
      <c r="G640" s="10" t="s">
        <v>3402</v>
      </c>
      <c r="H640" s="10" t="s">
        <v>3403</v>
      </c>
      <c r="I640" s="10"/>
    </row>
    <row r="641" spans="1:9" ht="14.25" customHeight="1" x14ac:dyDescent="0.25">
      <c r="A641" s="7" t="s">
        <v>3404</v>
      </c>
      <c r="B641" s="8" t="s">
        <v>3405</v>
      </c>
      <c r="C641" s="8" t="s">
        <v>3406</v>
      </c>
      <c r="D641" s="8"/>
      <c r="E641" s="8"/>
      <c r="F641" s="9" t="s">
        <v>3407</v>
      </c>
      <c r="G641" s="10" t="s">
        <v>3408</v>
      </c>
      <c r="H641" s="10" t="s">
        <v>3409</v>
      </c>
      <c r="I641" s="10"/>
    </row>
    <row r="642" spans="1:9" ht="14.25" customHeight="1" x14ac:dyDescent="0.25">
      <c r="A642" s="7" t="s">
        <v>3410</v>
      </c>
      <c r="B642" s="8" t="s">
        <v>3411</v>
      </c>
      <c r="C642" s="8" t="s">
        <v>3412</v>
      </c>
      <c r="D642" s="8"/>
      <c r="E642" s="8"/>
      <c r="F642" s="9" t="s">
        <v>3413</v>
      </c>
      <c r="G642" s="10" t="s">
        <v>3414</v>
      </c>
      <c r="H642" s="10" t="s">
        <v>3415</v>
      </c>
      <c r="I642" s="10"/>
    </row>
    <row r="643" spans="1:9" ht="14.25" customHeight="1" x14ac:dyDescent="0.25">
      <c r="A643" s="7"/>
      <c r="B643" s="8" t="s">
        <v>3416</v>
      </c>
      <c r="C643" s="8" t="s">
        <v>2219</v>
      </c>
      <c r="D643" s="8"/>
      <c r="E643" s="8"/>
      <c r="F643" s="9" t="s">
        <v>3417</v>
      </c>
      <c r="G643" s="10" t="s">
        <v>3418</v>
      </c>
      <c r="H643" s="10" t="s">
        <v>3419</v>
      </c>
      <c r="I643" s="10"/>
    </row>
    <row r="644" spans="1:9" ht="14.25" customHeight="1" x14ac:dyDescent="0.25">
      <c r="A644" s="7" t="s">
        <v>3420</v>
      </c>
      <c r="B644" s="8" t="s">
        <v>3421</v>
      </c>
      <c r="C644" s="8" t="s">
        <v>3422</v>
      </c>
      <c r="D644" s="8"/>
      <c r="E644" s="8"/>
      <c r="F644" s="9" t="s">
        <v>3423</v>
      </c>
      <c r="G644" s="10" t="s">
        <v>3424</v>
      </c>
      <c r="H644" s="10" t="s">
        <v>3425</v>
      </c>
      <c r="I644" s="10"/>
    </row>
    <row r="645" spans="1:9" ht="14.25" customHeight="1" x14ac:dyDescent="0.25">
      <c r="A645" s="7" t="s">
        <v>3426</v>
      </c>
      <c r="B645" s="8" t="s">
        <v>3421</v>
      </c>
      <c r="C645" s="8" t="s">
        <v>3427</v>
      </c>
      <c r="D645" s="8"/>
      <c r="E645" s="8"/>
      <c r="F645" s="9" t="s">
        <v>3428</v>
      </c>
      <c r="G645" s="10" t="s">
        <v>3429</v>
      </c>
      <c r="H645" s="10" t="s">
        <v>3430</v>
      </c>
      <c r="I645" s="10"/>
    </row>
    <row r="646" spans="1:9" ht="14.25" customHeight="1" x14ac:dyDescent="0.25">
      <c r="A646" s="7" t="s">
        <v>3431</v>
      </c>
      <c r="B646" s="8" t="s">
        <v>3421</v>
      </c>
      <c r="C646" s="8" t="s">
        <v>3432</v>
      </c>
      <c r="D646" s="8"/>
      <c r="E646" s="8"/>
      <c r="F646" s="9" t="s">
        <v>3433</v>
      </c>
      <c r="G646" s="10" t="s">
        <v>3434</v>
      </c>
      <c r="H646" s="10" t="s">
        <v>3435</v>
      </c>
      <c r="I646" s="10"/>
    </row>
    <row r="647" spans="1:9" ht="14.25" customHeight="1" x14ac:dyDescent="0.25">
      <c r="A647" s="7" t="s">
        <v>3436</v>
      </c>
      <c r="B647" s="8" t="s">
        <v>3437</v>
      </c>
      <c r="C647" s="8" t="s">
        <v>3438</v>
      </c>
      <c r="D647" s="8"/>
      <c r="E647" s="8"/>
      <c r="F647" s="9" t="s">
        <v>3439</v>
      </c>
      <c r="G647" s="10" t="s">
        <v>3440</v>
      </c>
      <c r="H647" s="10" t="s">
        <v>3441</v>
      </c>
      <c r="I647" s="10"/>
    </row>
    <row r="648" spans="1:9" ht="14.25" customHeight="1" x14ac:dyDescent="0.25">
      <c r="A648" s="7" t="s">
        <v>3442</v>
      </c>
      <c r="B648" s="8" t="s">
        <v>3437</v>
      </c>
      <c r="C648" s="8" t="s">
        <v>3443</v>
      </c>
      <c r="D648" s="8"/>
      <c r="E648" s="8"/>
      <c r="F648" s="9" t="s">
        <v>3444</v>
      </c>
      <c r="G648" s="10" t="s">
        <v>3445</v>
      </c>
      <c r="H648" s="10" t="s">
        <v>3446</v>
      </c>
      <c r="I648" s="10"/>
    </row>
    <row r="649" spans="1:9" ht="14.25" customHeight="1" x14ac:dyDescent="0.25">
      <c r="A649" s="7"/>
      <c r="B649" s="8" t="s">
        <v>3437</v>
      </c>
      <c r="C649" s="8" t="s">
        <v>3447</v>
      </c>
      <c r="D649" s="8"/>
      <c r="E649" s="8"/>
      <c r="F649" s="9" t="s">
        <v>3448</v>
      </c>
      <c r="G649" s="10" t="s">
        <v>3449</v>
      </c>
      <c r="H649" s="10" t="s">
        <v>3450</v>
      </c>
      <c r="I649" s="10"/>
    </row>
    <row r="650" spans="1:9" ht="14.25" customHeight="1" x14ac:dyDescent="0.25">
      <c r="A650" s="7"/>
      <c r="B650" s="8" t="s">
        <v>3437</v>
      </c>
      <c r="C650" s="8" t="s">
        <v>3451</v>
      </c>
      <c r="D650" s="8"/>
      <c r="E650" s="8"/>
      <c r="F650" s="9" t="s">
        <v>3452</v>
      </c>
      <c r="G650" s="10" t="s">
        <v>3453</v>
      </c>
      <c r="H650" s="10" t="s">
        <v>3454</v>
      </c>
      <c r="I650" s="10"/>
    </row>
    <row r="651" spans="1:9" ht="14.25" customHeight="1" x14ac:dyDescent="0.25">
      <c r="A651" s="7" t="s">
        <v>3455</v>
      </c>
      <c r="B651" s="8" t="s">
        <v>3456</v>
      </c>
      <c r="C651" s="8" t="s">
        <v>3457</v>
      </c>
      <c r="D651" s="8"/>
      <c r="E651" s="8"/>
      <c r="F651" s="9" t="s">
        <v>3458</v>
      </c>
      <c r="G651" s="10" t="s">
        <v>3459</v>
      </c>
      <c r="H651" s="10" t="s">
        <v>3460</v>
      </c>
      <c r="I651" s="10"/>
    </row>
    <row r="652" spans="1:9" ht="14.25" customHeight="1" x14ac:dyDescent="0.25">
      <c r="A652" s="7" t="s">
        <v>3461</v>
      </c>
      <c r="B652" s="8" t="s">
        <v>3462</v>
      </c>
      <c r="C652" s="8" t="s">
        <v>3463</v>
      </c>
      <c r="D652" s="8"/>
      <c r="E652" s="8"/>
      <c r="F652" s="9" t="s">
        <v>3464</v>
      </c>
      <c r="G652" s="10" t="s">
        <v>3465</v>
      </c>
      <c r="H652" s="10" t="s">
        <v>3466</v>
      </c>
      <c r="I652" s="10"/>
    </row>
    <row r="653" spans="1:9" ht="14.25" customHeight="1" x14ac:dyDescent="0.25">
      <c r="A653" s="7"/>
      <c r="B653" s="8" t="s">
        <v>3467</v>
      </c>
      <c r="C653" s="8" t="s">
        <v>3468</v>
      </c>
      <c r="D653" s="8"/>
      <c r="E653" s="8"/>
      <c r="F653" s="9" t="s">
        <v>3469</v>
      </c>
      <c r="G653" s="10" t="s">
        <v>3470</v>
      </c>
      <c r="H653" s="10" t="s">
        <v>3471</v>
      </c>
      <c r="I653" s="10"/>
    </row>
    <row r="654" spans="1:9" ht="14.25" customHeight="1" x14ac:dyDescent="0.25">
      <c r="A654" s="7" t="s">
        <v>3472</v>
      </c>
      <c r="B654" s="8" t="s">
        <v>3473</v>
      </c>
      <c r="C654" s="8" t="s">
        <v>911</v>
      </c>
      <c r="D654" s="8"/>
      <c r="E654" s="8"/>
      <c r="F654" s="9" t="s">
        <v>3474</v>
      </c>
      <c r="G654" s="10" t="s">
        <v>3475</v>
      </c>
      <c r="H654" s="10" t="s">
        <v>3476</v>
      </c>
      <c r="I654" s="10"/>
    </row>
    <row r="655" spans="1:9" ht="14.25" customHeight="1" x14ac:dyDescent="0.25">
      <c r="A655" s="7" t="s">
        <v>3477</v>
      </c>
      <c r="B655" s="8" t="s">
        <v>3478</v>
      </c>
      <c r="C655" s="8" t="s">
        <v>3479</v>
      </c>
      <c r="D655" s="8"/>
      <c r="E655" s="8"/>
      <c r="F655" s="9" t="s">
        <v>3480</v>
      </c>
      <c r="G655" s="10" t="s">
        <v>3481</v>
      </c>
      <c r="H655" s="10" t="s">
        <v>3482</v>
      </c>
      <c r="I655" s="10"/>
    </row>
    <row r="656" spans="1:9" ht="14.25" customHeight="1" x14ac:dyDescent="0.25">
      <c r="A656" s="7" t="s">
        <v>3483</v>
      </c>
      <c r="B656" s="8" t="s">
        <v>3484</v>
      </c>
      <c r="C656" s="8" t="s">
        <v>3485</v>
      </c>
      <c r="D656" s="8"/>
      <c r="E656" s="8"/>
      <c r="F656" s="9" t="s">
        <v>3486</v>
      </c>
      <c r="G656" s="10" t="s">
        <v>3487</v>
      </c>
      <c r="H656" s="10" t="s">
        <v>3488</v>
      </c>
      <c r="I656" s="10"/>
    </row>
    <row r="657" spans="1:9" ht="14.25" customHeight="1" x14ac:dyDescent="0.25">
      <c r="A657" s="7" t="s">
        <v>3489</v>
      </c>
      <c r="B657" s="8" t="s">
        <v>3490</v>
      </c>
      <c r="C657" s="8" t="s">
        <v>3491</v>
      </c>
      <c r="D657" s="8"/>
      <c r="E657" s="8"/>
      <c r="F657" s="9" t="s">
        <v>3492</v>
      </c>
      <c r="G657" s="10" t="s">
        <v>3493</v>
      </c>
      <c r="H657" s="10" t="s">
        <v>3494</v>
      </c>
      <c r="I657" s="10"/>
    </row>
    <row r="658" spans="1:9" ht="14.25" customHeight="1" x14ac:dyDescent="0.25">
      <c r="A658" s="7" t="s">
        <v>3495</v>
      </c>
      <c r="B658" s="8" t="s">
        <v>3496</v>
      </c>
      <c r="C658" s="8" t="s">
        <v>3497</v>
      </c>
      <c r="D658" s="8"/>
      <c r="E658" s="8"/>
      <c r="F658" s="9" t="s">
        <v>3498</v>
      </c>
      <c r="G658" s="10" t="s">
        <v>3499</v>
      </c>
      <c r="H658" s="10" t="s">
        <v>3500</v>
      </c>
      <c r="I658" s="10"/>
    </row>
    <row r="659" spans="1:9" ht="14.25" customHeight="1" x14ac:dyDescent="0.25">
      <c r="A659" s="7"/>
      <c r="B659" s="8" t="s">
        <v>3501</v>
      </c>
      <c r="C659" s="8" t="s">
        <v>3502</v>
      </c>
      <c r="D659" s="8"/>
      <c r="E659" s="8"/>
      <c r="F659" s="9" t="s">
        <v>3503</v>
      </c>
      <c r="G659" s="10" t="s">
        <v>3504</v>
      </c>
      <c r="H659" s="10" t="s">
        <v>3505</v>
      </c>
      <c r="I659" s="10"/>
    </row>
    <row r="660" spans="1:9" ht="14.25" customHeight="1" x14ac:dyDescent="0.25">
      <c r="A660" s="7"/>
      <c r="B660" s="8" t="s">
        <v>3506</v>
      </c>
      <c r="C660" s="8" t="s">
        <v>3507</v>
      </c>
      <c r="D660" s="8"/>
      <c r="E660" s="8"/>
      <c r="F660" s="9" t="s">
        <v>3508</v>
      </c>
      <c r="G660" s="10" t="s">
        <v>3509</v>
      </c>
      <c r="H660" s="10" t="s">
        <v>3510</v>
      </c>
      <c r="I660" s="10"/>
    </row>
    <row r="661" spans="1:9" ht="14.25" customHeight="1" x14ac:dyDescent="0.25">
      <c r="A661" s="7"/>
      <c r="B661" s="8" t="s">
        <v>3511</v>
      </c>
      <c r="C661" s="8" t="s">
        <v>3512</v>
      </c>
      <c r="D661" s="8"/>
      <c r="E661" s="8"/>
      <c r="F661" s="9" t="s">
        <v>3513</v>
      </c>
      <c r="G661" s="10" t="s">
        <v>3514</v>
      </c>
      <c r="H661" s="10" t="s">
        <v>3515</v>
      </c>
      <c r="I661" s="10"/>
    </row>
    <row r="662" spans="1:9" ht="14.25" customHeight="1" x14ac:dyDescent="0.25">
      <c r="A662" s="7" t="s">
        <v>3516</v>
      </c>
      <c r="B662" s="8" t="s">
        <v>3517</v>
      </c>
      <c r="C662" s="8" t="s">
        <v>3518</v>
      </c>
      <c r="D662" s="8"/>
      <c r="E662" s="8"/>
      <c r="F662" s="9" t="s">
        <v>3519</v>
      </c>
      <c r="G662" s="10" t="s">
        <v>3520</v>
      </c>
      <c r="H662" s="10" t="s">
        <v>3521</v>
      </c>
      <c r="I662" s="10"/>
    </row>
    <row r="663" spans="1:9" ht="14.25" customHeight="1" x14ac:dyDescent="0.25">
      <c r="A663" s="7" t="s">
        <v>3522</v>
      </c>
      <c r="B663" s="8" t="s">
        <v>3523</v>
      </c>
      <c r="C663" s="8" t="s">
        <v>3524</v>
      </c>
      <c r="D663" s="8"/>
      <c r="E663" s="8"/>
      <c r="F663" s="9" t="s">
        <v>3525</v>
      </c>
      <c r="G663" s="10" t="s">
        <v>3526</v>
      </c>
      <c r="H663" s="10" t="s">
        <v>3527</v>
      </c>
      <c r="I663" s="10"/>
    </row>
    <row r="664" spans="1:9" ht="14.25" customHeight="1" x14ac:dyDescent="0.25">
      <c r="A664" s="7" t="s">
        <v>3528</v>
      </c>
      <c r="B664" s="8" t="s">
        <v>3529</v>
      </c>
      <c r="C664" s="8" t="s">
        <v>3530</v>
      </c>
      <c r="D664" s="8"/>
      <c r="E664" s="8"/>
      <c r="F664" s="9" t="s">
        <v>3531</v>
      </c>
      <c r="G664" s="10" t="s">
        <v>3532</v>
      </c>
      <c r="H664" s="10" t="s">
        <v>3533</v>
      </c>
      <c r="I664" s="10"/>
    </row>
    <row r="665" spans="1:9" ht="14.25" customHeight="1" x14ac:dyDescent="0.25">
      <c r="A665" s="7" t="s">
        <v>3534</v>
      </c>
      <c r="B665" s="8" t="s">
        <v>3535</v>
      </c>
      <c r="C665" s="8" t="s">
        <v>3536</v>
      </c>
      <c r="D665" s="8"/>
      <c r="E665" s="8"/>
      <c r="F665" s="9" t="s">
        <v>3537</v>
      </c>
      <c r="G665" s="10" t="s">
        <v>3538</v>
      </c>
      <c r="H665" s="10" t="s">
        <v>3539</v>
      </c>
      <c r="I665" s="10"/>
    </row>
    <row r="666" spans="1:9" ht="14.25" customHeight="1" x14ac:dyDescent="0.25">
      <c r="A666" s="7" t="s">
        <v>3540</v>
      </c>
      <c r="B666" s="8" t="s">
        <v>3541</v>
      </c>
      <c r="C666" s="8" t="s">
        <v>3542</v>
      </c>
      <c r="D666" s="8"/>
      <c r="E666" s="8"/>
      <c r="F666" s="9" t="s">
        <v>3543</v>
      </c>
      <c r="G666" s="10" t="s">
        <v>3544</v>
      </c>
      <c r="H666" s="10" t="s">
        <v>3545</v>
      </c>
      <c r="I666" s="10"/>
    </row>
    <row r="667" spans="1:9" ht="14.25" customHeight="1" x14ac:dyDescent="0.25">
      <c r="A667" s="7" t="s">
        <v>3546</v>
      </c>
      <c r="B667" s="8" t="s">
        <v>3547</v>
      </c>
      <c r="C667" s="8"/>
      <c r="D667" s="8"/>
      <c r="E667" s="8"/>
      <c r="F667" s="9" t="s">
        <v>3548</v>
      </c>
      <c r="G667" s="10" t="s">
        <v>3549</v>
      </c>
      <c r="H667" s="10" t="s">
        <v>3550</v>
      </c>
      <c r="I667" s="10"/>
    </row>
    <row r="668" spans="1:9" ht="14.25" customHeight="1" x14ac:dyDescent="0.25">
      <c r="A668" s="7" t="s">
        <v>3551</v>
      </c>
      <c r="B668" s="8" t="s">
        <v>3552</v>
      </c>
      <c r="C668" s="8" t="s">
        <v>3553</v>
      </c>
      <c r="D668" s="8"/>
      <c r="E668" s="8"/>
      <c r="F668" s="9" t="s">
        <v>3554</v>
      </c>
      <c r="G668" s="10" t="s">
        <v>3555</v>
      </c>
      <c r="H668" s="10" t="s">
        <v>3556</v>
      </c>
      <c r="I668" s="10"/>
    </row>
    <row r="669" spans="1:9" ht="14.25" customHeight="1" x14ac:dyDescent="0.25">
      <c r="A669" s="7" t="s">
        <v>3557</v>
      </c>
      <c r="B669" s="8" t="s">
        <v>3558</v>
      </c>
      <c r="C669" s="8" t="s">
        <v>3559</v>
      </c>
      <c r="D669" s="8"/>
      <c r="E669" s="8"/>
      <c r="F669" s="9" t="s">
        <v>3560</v>
      </c>
      <c r="G669" s="10" t="s">
        <v>3561</v>
      </c>
      <c r="H669" s="10" t="s">
        <v>3562</v>
      </c>
      <c r="I669" s="10"/>
    </row>
    <row r="670" spans="1:9" ht="14.25" customHeight="1" x14ac:dyDescent="0.25">
      <c r="A670" s="7" t="s">
        <v>3563</v>
      </c>
      <c r="B670" s="8" t="s">
        <v>3564</v>
      </c>
      <c r="C670" s="8" t="s">
        <v>2554</v>
      </c>
      <c r="D670" s="8"/>
      <c r="E670" s="8"/>
      <c r="F670" s="9" t="s">
        <v>3565</v>
      </c>
      <c r="G670" s="10" t="s">
        <v>3566</v>
      </c>
      <c r="H670" s="10" t="s">
        <v>3567</v>
      </c>
      <c r="I670" s="10"/>
    </row>
    <row r="671" spans="1:9" ht="14.25" customHeight="1" x14ac:dyDescent="0.25">
      <c r="A671" s="7" t="s">
        <v>3568</v>
      </c>
      <c r="B671" s="8" t="s">
        <v>3569</v>
      </c>
      <c r="C671" s="8" t="s">
        <v>2325</v>
      </c>
      <c r="D671" s="8"/>
      <c r="E671" s="8"/>
      <c r="F671" s="9" t="s">
        <v>3570</v>
      </c>
      <c r="G671" s="10" t="s">
        <v>3571</v>
      </c>
      <c r="H671" s="10" t="s">
        <v>3572</v>
      </c>
      <c r="I671" s="10"/>
    </row>
    <row r="672" spans="1:9" ht="14.25" customHeight="1" x14ac:dyDescent="0.25">
      <c r="A672" s="7"/>
      <c r="B672" s="8" t="s">
        <v>3573</v>
      </c>
      <c r="C672" s="8" t="s">
        <v>2957</v>
      </c>
      <c r="D672" s="8"/>
      <c r="E672" s="8"/>
      <c r="F672" s="9" t="s">
        <v>3574</v>
      </c>
      <c r="G672" s="10" t="s">
        <v>3575</v>
      </c>
      <c r="H672" s="10" t="s">
        <v>3576</v>
      </c>
      <c r="I672" s="10"/>
    </row>
    <row r="673" spans="1:9" ht="14.25" customHeight="1" x14ac:dyDescent="0.25">
      <c r="A673" s="7" t="s">
        <v>3577</v>
      </c>
      <c r="B673" s="8" t="s">
        <v>3573</v>
      </c>
      <c r="C673" s="8" t="s">
        <v>3578</v>
      </c>
      <c r="D673" s="8"/>
      <c r="E673" s="8"/>
      <c r="F673" s="9" t="s">
        <v>3579</v>
      </c>
      <c r="G673" s="10" t="s">
        <v>3580</v>
      </c>
      <c r="H673" s="10" t="s">
        <v>3581</v>
      </c>
      <c r="I673" s="10"/>
    </row>
    <row r="674" spans="1:9" ht="14.25" customHeight="1" x14ac:dyDescent="0.25">
      <c r="A674" s="7" t="s">
        <v>3582</v>
      </c>
      <c r="B674" s="8" t="s">
        <v>3573</v>
      </c>
      <c r="C674" s="8" t="s">
        <v>3583</v>
      </c>
      <c r="D674" s="8"/>
      <c r="E674" s="8"/>
      <c r="F674" s="9" t="s">
        <v>3584</v>
      </c>
      <c r="G674" s="10" t="s">
        <v>3585</v>
      </c>
      <c r="H674" s="10" t="s">
        <v>3586</v>
      </c>
      <c r="I674" s="10"/>
    </row>
    <row r="675" spans="1:9" ht="14.25" customHeight="1" x14ac:dyDescent="0.25">
      <c r="A675" s="7" t="s">
        <v>3587</v>
      </c>
      <c r="B675" s="8" t="s">
        <v>3588</v>
      </c>
      <c r="C675" s="8" t="s">
        <v>3589</v>
      </c>
      <c r="D675" s="8"/>
      <c r="E675" s="8"/>
      <c r="F675" s="9" t="s">
        <v>3590</v>
      </c>
      <c r="G675" s="10" t="s">
        <v>3591</v>
      </c>
      <c r="H675" s="10" t="s">
        <v>3592</v>
      </c>
      <c r="I675" s="10"/>
    </row>
    <row r="676" spans="1:9" ht="14.25" customHeight="1" x14ac:dyDescent="0.25">
      <c r="A676" s="7" t="s">
        <v>3593</v>
      </c>
      <c r="B676" s="8" t="s">
        <v>3594</v>
      </c>
      <c r="C676" s="8" t="s">
        <v>3595</v>
      </c>
      <c r="D676" s="8"/>
      <c r="E676" s="8"/>
      <c r="F676" s="9" t="s">
        <v>3596</v>
      </c>
      <c r="G676" s="10" t="s">
        <v>3597</v>
      </c>
      <c r="H676" s="10" t="s">
        <v>3598</v>
      </c>
      <c r="I676" s="10"/>
    </row>
    <row r="677" spans="1:9" ht="14.25" customHeight="1" x14ac:dyDescent="0.25">
      <c r="A677" s="7"/>
      <c r="B677" s="8" t="s">
        <v>3599</v>
      </c>
      <c r="C677" s="8" t="s">
        <v>3600</v>
      </c>
      <c r="D677" s="8"/>
      <c r="E677" s="8"/>
      <c r="F677" s="9" t="s">
        <v>3601</v>
      </c>
      <c r="G677" s="10" t="s">
        <v>3602</v>
      </c>
      <c r="H677" s="10" t="s">
        <v>3603</v>
      </c>
      <c r="I677" s="10"/>
    </row>
    <row r="678" spans="1:9" ht="14.25" customHeight="1" x14ac:dyDescent="0.25">
      <c r="A678" s="14" t="s">
        <v>3604</v>
      </c>
      <c r="B678" s="15" t="s">
        <v>3605</v>
      </c>
      <c r="C678" s="15" t="s">
        <v>457</v>
      </c>
      <c r="D678" s="15"/>
      <c r="E678" s="15"/>
      <c r="F678" s="16" t="s">
        <v>3606</v>
      </c>
      <c r="G678" s="17" t="s">
        <v>3607</v>
      </c>
      <c r="H678" s="17" t="s">
        <v>3608</v>
      </c>
      <c r="I678" s="17"/>
    </row>
    <row r="679" spans="1:9" ht="14.25" customHeight="1" x14ac:dyDescent="0.25">
      <c r="A679" s="7" t="s">
        <v>3609</v>
      </c>
      <c r="B679" s="8" t="s">
        <v>3610</v>
      </c>
      <c r="C679" s="8" t="s">
        <v>3611</v>
      </c>
      <c r="D679" s="8"/>
      <c r="E679" s="8"/>
      <c r="F679" s="9" t="s">
        <v>3612</v>
      </c>
      <c r="G679" s="10"/>
      <c r="H679" s="10"/>
      <c r="I679" s="10"/>
    </row>
    <row r="680" spans="1:9" ht="14.25" customHeight="1" x14ac:dyDescent="0.25">
      <c r="A680" s="7" t="s">
        <v>3613</v>
      </c>
      <c r="B680" s="8" t="s">
        <v>3614</v>
      </c>
      <c r="C680" s="8" t="s">
        <v>3615</v>
      </c>
      <c r="D680" s="8" t="s">
        <v>411</v>
      </c>
      <c r="E680" s="8"/>
      <c r="F680" s="9" t="s">
        <v>3616</v>
      </c>
      <c r="G680" s="10" t="s">
        <v>3617</v>
      </c>
      <c r="H680" s="10" t="s">
        <v>3618</v>
      </c>
      <c r="I680" s="10"/>
    </row>
    <row r="681" spans="1:9" ht="14.25" customHeight="1" x14ac:dyDescent="0.25">
      <c r="A681" s="7" t="s">
        <v>3619</v>
      </c>
      <c r="B681" s="8" t="s">
        <v>2899</v>
      </c>
      <c r="C681" s="8" t="s">
        <v>3620</v>
      </c>
      <c r="D681" s="8" t="s">
        <v>411</v>
      </c>
      <c r="E681" s="8" t="s">
        <v>412</v>
      </c>
      <c r="F681" s="9" t="s">
        <v>3621</v>
      </c>
      <c r="G681" s="10"/>
      <c r="H681" s="10"/>
      <c r="I681" s="10"/>
    </row>
    <row r="682" spans="1:9" ht="14.25" customHeight="1" x14ac:dyDescent="0.25">
      <c r="A682" s="7" t="s">
        <v>3622</v>
      </c>
      <c r="B682" s="8" t="s">
        <v>3623</v>
      </c>
      <c r="C682" s="8" t="s">
        <v>3624</v>
      </c>
      <c r="D682" s="8" t="s">
        <v>411</v>
      </c>
      <c r="E682" s="8"/>
      <c r="F682" s="9" t="s">
        <v>3625</v>
      </c>
      <c r="G682" s="10"/>
      <c r="H682" s="10"/>
      <c r="I682" s="10"/>
    </row>
    <row r="683" spans="1:9" ht="14.25" customHeight="1" x14ac:dyDescent="0.25">
      <c r="A683" s="7" t="s">
        <v>3626</v>
      </c>
      <c r="B683" s="8" t="s">
        <v>3627</v>
      </c>
      <c r="C683" s="8" t="s">
        <v>3628</v>
      </c>
      <c r="D683" s="8" t="s">
        <v>411</v>
      </c>
      <c r="E683" s="8"/>
      <c r="F683" s="18" t="s">
        <v>3629</v>
      </c>
      <c r="G683" s="10"/>
      <c r="H683" s="10"/>
      <c r="I683" s="10"/>
    </row>
    <row r="684" spans="1:9" ht="14.25" customHeight="1" x14ac:dyDescent="0.25">
      <c r="A684" s="7" t="s">
        <v>3630</v>
      </c>
      <c r="B684" s="8" t="s">
        <v>3157</v>
      </c>
      <c r="C684" s="8" t="s">
        <v>3631</v>
      </c>
      <c r="D684" s="8"/>
      <c r="E684" s="8"/>
      <c r="F684" s="9" t="s">
        <v>3632</v>
      </c>
      <c r="G684" s="10"/>
      <c r="H684" s="10"/>
      <c r="I684" s="10"/>
    </row>
    <row r="685" spans="1:9" ht="14.25" customHeight="1" x14ac:dyDescent="0.25">
      <c r="A685" s="7"/>
      <c r="B685" s="8" t="s">
        <v>1567</v>
      </c>
      <c r="C685" s="8" t="s">
        <v>1568</v>
      </c>
      <c r="D685" s="8"/>
      <c r="E685" s="8"/>
      <c r="F685" s="9" t="s">
        <v>1569</v>
      </c>
      <c r="G685" s="10"/>
      <c r="H685" s="10"/>
      <c r="I685" s="10"/>
    </row>
    <row r="686" spans="1:9" ht="14.25" customHeight="1" x14ac:dyDescent="0.25">
      <c r="A686" s="7"/>
      <c r="B686" s="8" t="s">
        <v>3633</v>
      </c>
      <c r="C686" s="8" t="s">
        <v>3634</v>
      </c>
      <c r="D686" s="8"/>
      <c r="E686" s="8"/>
      <c r="F686" s="8"/>
      <c r="G686" s="10"/>
      <c r="H686" s="10"/>
      <c r="I686" s="10"/>
    </row>
    <row r="687" spans="1:9" ht="14.25" customHeight="1" x14ac:dyDescent="0.25">
      <c r="A687" s="7" t="s">
        <v>3582</v>
      </c>
      <c r="B687" s="8" t="s">
        <v>3573</v>
      </c>
      <c r="C687" s="8" t="s">
        <v>3583</v>
      </c>
      <c r="D687" s="8"/>
      <c r="E687" s="8"/>
      <c r="F687" s="9" t="s">
        <v>3584</v>
      </c>
      <c r="G687" s="10"/>
      <c r="H687" s="10"/>
      <c r="I687" s="10"/>
    </row>
    <row r="688" spans="1:9" ht="14.25" customHeight="1" x14ac:dyDescent="0.25">
      <c r="A688" s="7" t="s">
        <v>2312</v>
      </c>
      <c r="B688" s="8" t="s">
        <v>2313</v>
      </c>
      <c r="C688" s="8" t="s">
        <v>2314</v>
      </c>
      <c r="D688" s="8"/>
      <c r="E688" s="8"/>
      <c r="F688" s="9" t="s">
        <v>2315</v>
      </c>
      <c r="G688" s="10"/>
      <c r="H688" s="10"/>
      <c r="I688" s="10"/>
    </row>
    <row r="689" spans="1:9" ht="14.25" customHeight="1" x14ac:dyDescent="0.25">
      <c r="A689" s="7" t="s">
        <v>32</v>
      </c>
      <c r="B689" s="8" t="s">
        <v>33</v>
      </c>
      <c r="C689" s="8" t="s">
        <v>34</v>
      </c>
      <c r="D689" s="8"/>
      <c r="E689" s="8"/>
      <c r="F689" s="8"/>
      <c r="G689" s="10"/>
      <c r="H689" s="10"/>
      <c r="I689" s="10"/>
    </row>
    <row r="690" spans="1:9" ht="14.25" customHeight="1" x14ac:dyDescent="0.25">
      <c r="A690" s="7" t="s">
        <v>3630</v>
      </c>
      <c r="B690" s="8" t="s">
        <v>3157</v>
      </c>
      <c r="C690" s="8" t="s">
        <v>3631</v>
      </c>
      <c r="D690" s="8"/>
      <c r="E690" s="8"/>
      <c r="F690" s="9" t="s">
        <v>3632</v>
      </c>
      <c r="G690" s="10"/>
      <c r="H690" s="10"/>
      <c r="I690" s="10"/>
    </row>
    <row r="691" spans="1:9" ht="14.25" customHeight="1" x14ac:dyDescent="0.25">
      <c r="A691" s="7" t="s">
        <v>2852</v>
      </c>
      <c r="B691" s="8" t="s">
        <v>2847</v>
      </c>
      <c r="C691" s="8" t="s">
        <v>2784</v>
      </c>
      <c r="D691" s="8"/>
      <c r="E691" s="8"/>
      <c r="F691" s="8"/>
      <c r="G691" s="10"/>
      <c r="H691" s="10"/>
      <c r="I691" s="10"/>
    </row>
    <row r="692" spans="1:9" ht="14.25" customHeight="1" x14ac:dyDescent="0.25">
      <c r="A692" s="7" t="s">
        <v>3635</v>
      </c>
      <c r="B692" s="8" t="s">
        <v>3437</v>
      </c>
      <c r="C692" s="8" t="s">
        <v>3451</v>
      </c>
      <c r="D692" s="8"/>
      <c r="E692" s="8"/>
      <c r="F692" s="9" t="s">
        <v>3452</v>
      </c>
      <c r="G692" s="10"/>
      <c r="H692" s="10"/>
      <c r="I692" s="10"/>
    </row>
    <row r="693" spans="1:9" ht="14.25" customHeight="1" x14ac:dyDescent="0.25">
      <c r="A693" s="7" t="s">
        <v>3636</v>
      </c>
      <c r="B693" s="8" t="s">
        <v>3637</v>
      </c>
      <c r="C693" s="8" t="s">
        <v>3638</v>
      </c>
      <c r="D693" s="8"/>
      <c r="E693" s="8"/>
      <c r="F693" s="8"/>
      <c r="G693" s="10"/>
      <c r="H693" s="10"/>
      <c r="I693" s="10"/>
    </row>
    <row r="694" spans="1:9" ht="14.25" customHeight="1" x14ac:dyDescent="0.25">
      <c r="A694" s="7" t="s">
        <v>3639</v>
      </c>
      <c r="B694" s="8" t="s">
        <v>2889</v>
      </c>
      <c r="C694" s="8" t="s">
        <v>3640</v>
      </c>
      <c r="D694" s="8"/>
      <c r="E694" s="8"/>
      <c r="F694" s="9" t="s">
        <v>3641</v>
      </c>
      <c r="G694" s="10"/>
      <c r="H694" s="10"/>
      <c r="I694" s="10"/>
    </row>
    <row r="695" spans="1:9" ht="14.25" customHeight="1" x14ac:dyDescent="0.25">
      <c r="A695" s="7" t="s">
        <v>3642</v>
      </c>
      <c r="B695" s="8" t="s">
        <v>40</v>
      </c>
      <c r="C695" s="8" t="s">
        <v>3643</v>
      </c>
      <c r="D695" s="8"/>
      <c r="E695" s="8"/>
      <c r="F695" s="9" t="s">
        <v>3644</v>
      </c>
      <c r="G695" s="10"/>
      <c r="H695" s="10"/>
      <c r="I695" s="10"/>
    </row>
    <row r="696" spans="1:9" ht="14.25" customHeight="1" x14ac:dyDescent="0.25">
      <c r="A696" s="7"/>
      <c r="B696" s="8" t="s">
        <v>2595</v>
      </c>
      <c r="C696" s="8" t="s">
        <v>2596</v>
      </c>
      <c r="D696" s="8"/>
      <c r="E696" s="8"/>
      <c r="F696" s="8"/>
      <c r="G696" s="10"/>
      <c r="H696" s="10"/>
      <c r="I696" s="10"/>
    </row>
    <row r="697" spans="1:9" ht="14.25" customHeight="1" x14ac:dyDescent="0.25">
      <c r="A697" s="7"/>
      <c r="B697" s="8" t="s">
        <v>2757</v>
      </c>
      <c r="C697" s="8" t="s">
        <v>2758</v>
      </c>
      <c r="D697" s="8"/>
      <c r="E697" s="8"/>
      <c r="F697" s="8"/>
      <c r="G697" s="10"/>
      <c r="H697" s="10"/>
      <c r="I697" s="10"/>
    </row>
    <row r="698" spans="1:9" ht="14.25" customHeight="1" x14ac:dyDescent="0.25">
      <c r="A698" s="7"/>
      <c r="B698" s="8" t="s">
        <v>1612</v>
      </c>
      <c r="C698" s="8"/>
      <c r="D698" s="8"/>
      <c r="E698" s="8"/>
      <c r="F698" s="8"/>
      <c r="G698" s="10"/>
      <c r="H698" s="10"/>
      <c r="I698" s="10"/>
    </row>
    <row r="699" spans="1:9" ht="14.25" customHeight="1" x14ac:dyDescent="0.25">
      <c r="A699" s="7"/>
      <c r="B699" s="8" t="s">
        <v>2847</v>
      </c>
      <c r="C699" s="8" t="s">
        <v>3645</v>
      </c>
      <c r="D699" s="8"/>
      <c r="E699" s="8"/>
      <c r="F699" s="8"/>
      <c r="G699" s="10"/>
      <c r="H699" s="10"/>
      <c r="I699" s="10"/>
    </row>
    <row r="700" spans="1:9" ht="14.25" customHeight="1" x14ac:dyDescent="0.25">
      <c r="A700" s="7"/>
      <c r="B700" s="8" t="s">
        <v>2757</v>
      </c>
      <c r="C700" s="8" t="s">
        <v>3646</v>
      </c>
      <c r="D700" s="8"/>
      <c r="E700" s="8"/>
      <c r="F700" s="8"/>
      <c r="G700" s="10"/>
      <c r="H700" s="10"/>
      <c r="I700" s="10"/>
    </row>
    <row r="701" spans="1:9" ht="14.25" customHeight="1" x14ac:dyDescent="0.25">
      <c r="A701" s="7"/>
      <c r="B701" s="8" t="s">
        <v>3058</v>
      </c>
      <c r="C701" s="8" t="s">
        <v>3064</v>
      </c>
      <c r="D701" s="8"/>
      <c r="E701" s="8"/>
      <c r="F701" s="8"/>
      <c r="G701" s="10"/>
      <c r="H701" s="10"/>
      <c r="I701" s="10"/>
    </row>
    <row r="702" spans="1:9" ht="14.25" customHeight="1" x14ac:dyDescent="0.25">
      <c r="A702" s="7" t="s">
        <v>2312</v>
      </c>
      <c r="B702" s="8" t="s">
        <v>2313</v>
      </c>
      <c r="C702" s="8" t="s">
        <v>2314</v>
      </c>
      <c r="D702" s="8"/>
      <c r="E702" s="8"/>
      <c r="F702" s="9" t="s">
        <v>2315</v>
      </c>
      <c r="G702" s="10"/>
      <c r="H702" s="10"/>
      <c r="I702" s="10"/>
    </row>
    <row r="703" spans="1:9" ht="14.25" customHeight="1" x14ac:dyDescent="0.25">
      <c r="A703" s="7" t="s">
        <v>3647</v>
      </c>
      <c r="B703" s="8" t="s">
        <v>155</v>
      </c>
      <c r="C703" s="8" t="s">
        <v>3648</v>
      </c>
      <c r="D703" s="8"/>
      <c r="E703" s="8"/>
      <c r="F703" s="8"/>
      <c r="G703" s="10"/>
      <c r="H703" s="10"/>
      <c r="I703" s="10"/>
    </row>
    <row r="704" spans="1:9" ht="14.25" customHeight="1" x14ac:dyDescent="0.25">
      <c r="A704" s="7" t="s">
        <v>3647</v>
      </c>
      <c r="B704" s="8" t="s">
        <v>2522</v>
      </c>
      <c r="C704" s="8" t="s">
        <v>3648</v>
      </c>
      <c r="D704" s="8"/>
      <c r="E704" s="8"/>
      <c r="F704" s="8"/>
      <c r="G704" s="10"/>
      <c r="H704" s="10"/>
      <c r="I704" s="10"/>
    </row>
    <row r="705" spans="1:9" ht="14.25" customHeight="1" x14ac:dyDescent="0.25">
      <c r="A705" s="7" t="s">
        <v>3649</v>
      </c>
      <c r="B705" s="8" t="s">
        <v>3650</v>
      </c>
      <c r="C705" s="8" t="s">
        <v>3651</v>
      </c>
      <c r="D705" s="8"/>
      <c r="E705" s="8"/>
      <c r="F705" s="8"/>
      <c r="G705" s="10"/>
      <c r="H705" s="10"/>
      <c r="I705" s="10"/>
    </row>
    <row r="706" spans="1:9" ht="14.25" customHeight="1" x14ac:dyDescent="0.25">
      <c r="A706" s="7"/>
      <c r="B706" s="8" t="s">
        <v>1706</v>
      </c>
      <c r="C706" s="8" t="s">
        <v>3652</v>
      </c>
      <c r="D706" s="8"/>
      <c r="E706" s="8"/>
      <c r="F706" s="8"/>
      <c r="G706" s="10"/>
      <c r="H706" s="10"/>
      <c r="I706" s="10"/>
    </row>
    <row r="707" spans="1:9" ht="14.25" customHeight="1" x14ac:dyDescent="0.25">
      <c r="A707" s="7"/>
      <c r="B707" s="8" t="s">
        <v>3653</v>
      </c>
      <c r="C707" s="8" t="s">
        <v>3652</v>
      </c>
      <c r="D707" s="8"/>
      <c r="E707" s="8"/>
      <c r="F707" s="8"/>
      <c r="G707" s="10"/>
      <c r="H707" s="10"/>
      <c r="I707" s="10"/>
    </row>
    <row r="708" spans="1:9" ht="14.25" customHeight="1" x14ac:dyDescent="0.25">
      <c r="A708" s="7"/>
      <c r="B708" s="8" t="s">
        <v>247</v>
      </c>
      <c r="C708" s="8" t="s">
        <v>3654</v>
      </c>
      <c r="D708" s="8"/>
      <c r="E708" s="8"/>
      <c r="F708" s="8"/>
      <c r="G708" s="10"/>
      <c r="H708" s="10"/>
      <c r="I708" s="10"/>
    </row>
    <row r="709" spans="1:9" ht="14.25" customHeight="1" x14ac:dyDescent="0.25">
      <c r="A709" s="7" t="s">
        <v>32</v>
      </c>
      <c r="B709" s="8" t="s">
        <v>33</v>
      </c>
      <c r="C709" s="8" t="s">
        <v>34</v>
      </c>
      <c r="D709" s="8"/>
      <c r="E709" s="8"/>
      <c r="F709" s="8"/>
      <c r="G709" s="10"/>
      <c r="H709" s="10"/>
      <c r="I709" s="10"/>
    </row>
    <row r="710" spans="1:9" ht="14.25" customHeight="1" x14ac:dyDescent="0.25">
      <c r="A710" s="7"/>
      <c r="B710" s="8" t="s">
        <v>214</v>
      </c>
      <c r="C710" s="8" t="s">
        <v>215</v>
      </c>
      <c r="D710" s="8"/>
      <c r="E710" s="8"/>
      <c r="F710" s="8"/>
      <c r="G710" s="10"/>
      <c r="H710" s="10"/>
      <c r="I710" s="10"/>
    </row>
    <row r="711" spans="1:9" ht="14.25" customHeight="1" x14ac:dyDescent="0.25">
      <c r="A711" s="7"/>
      <c r="B711" s="8" t="s">
        <v>2972</v>
      </c>
      <c r="C711" s="8" t="s">
        <v>3655</v>
      </c>
      <c r="D711" s="8"/>
      <c r="E711" s="8"/>
      <c r="F711" s="8"/>
      <c r="G711" s="10"/>
      <c r="H711" s="10"/>
      <c r="I711" s="10"/>
    </row>
    <row r="712" spans="1:9" ht="14.25" customHeight="1" x14ac:dyDescent="0.25">
      <c r="A712" s="7"/>
      <c r="B712" s="8" t="s">
        <v>3656</v>
      </c>
      <c r="C712" s="8"/>
      <c r="D712" s="8"/>
      <c r="E712" s="8"/>
      <c r="F712" s="8"/>
      <c r="G712" s="10"/>
      <c r="H712" s="10"/>
      <c r="I712" s="10"/>
    </row>
    <row r="713" spans="1:9" ht="14.25" customHeight="1" x14ac:dyDescent="0.25">
      <c r="A713" s="7"/>
      <c r="B713" s="8" t="s">
        <v>3614</v>
      </c>
      <c r="C713" s="8" t="s">
        <v>3657</v>
      </c>
      <c r="D713" s="8"/>
      <c r="E713" s="8"/>
      <c r="F713" s="8"/>
      <c r="G713" s="10"/>
      <c r="H713" s="10"/>
      <c r="I713" s="10"/>
    </row>
    <row r="714" spans="1:9" ht="14.25" customHeight="1" x14ac:dyDescent="0.25">
      <c r="A714" s="7"/>
      <c r="B714" s="8" t="s">
        <v>349</v>
      </c>
      <c r="C714" s="8" t="s">
        <v>3658</v>
      </c>
      <c r="D714" s="8"/>
      <c r="E714" s="8"/>
      <c r="F714" s="8"/>
      <c r="G714" s="10"/>
      <c r="H714" s="10"/>
      <c r="I714" s="10"/>
    </row>
    <row r="715" spans="1:9" ht="14.25" customHeight="1" x14ac:dyDescent="0.25">
      <c r="A715" s="7"/>
      <c r="B715" s="8" t="s">
        <v>590</v>
      </c>
      <c r="C715" s="8" t="s">
        <v>3659</v>
      </c>
      <c r="D715" s="8"/>
      <c r="E715" s="8"/>
      <c r="F715" s="8"/>
      <c r="G715" s="10"/>
      <c r="H715" s="10"/>
      <c r="I715" s="10"/>
    </row>
    <row r="716" spans="1:9" ht="14.25" customHeight="1" x14ac:dyDescent="0.25">
      <c r="A716" s="7" t="s">
        <v>3660</v>
      </c>
      <c r="B716" s="8" t="s">
        <v>3321</v>
      </c>
      <c r="C716" s="8" t="s">
        <v>3661</v>
      </c>
      <c r="D716" s="8"/>
      <c r="E716" s="8"/>
      <c r="F716" s="8"/>
      <c r="G716" s="10"/>
      <c r="H716" s="10"/>
      <c r="I716" s="10"/>
    </row>
    <row r="717" spans="1:9" ht="14.25" customHeight="1" x14ac:dyDescent="0.25">
      <c r="A717" s="7"/>
      <c r="B717" s="8" t="s">
        <v>2070</v>
      </c>
      <c r="C717" s="8" t="s">
        <v>2081</v>
      </c>
      <c r="D717" s="8"/>
      <c r="E717" s="8"/>
      <c r="F717" s="8"/>
      <c r="G717" s="10"/>
      <c r="H717" s="10"/>
      <c r="I717" s="10"/>
    </row>
    <row r="718" spans="1:9" ht="14.25" customHeight="1" x14ac:dyDescent="0.25">
      <c r="A718" s="7"/>
      <c r="B718" s="8" t="s">
        <v>1228</v>
      </c>
      <c r="C718" s="8" t="s">
        <v>1257</v>
      </c>
      <c r="D718" s="8"/>
      <c r="E718" s="8"/>
      <c r="F718" s="8"/>
      <c r="G718" s="10"/>
      <c r="H718" s="10"/>
      <c r="I718" s="10"/>
    </row>
    <row r="719" spans="1:9" ht="14.25" customHeight="1" x14ac:dyDescent="0.25">
      <c r="A719" s="7"/>
      <c r="B719" s="8" t="s">
        <v>3633</v>
      </c>
      <c r="C719" s="8" t="s">
        <v>3634</v>
      </c>
      <c r="D719" s="8"/>
      <c r="E719" s="8"/>
      <c r="F719" s="8"/>
      <c r="G719" s="10"/>
      <c r="H719" s="10"/>
      <c r="I719" s="10"/>
    </row>
    <row r="720" spans="1:9" ht="14.25" customHeight="1" x14ac:dyDescent="0.25">
      <c r="A720" s="7"/>
      <c r="B720" s="8" t="s">
        <v>3662</v>
      </c>
      <c r="C720" s="8"/>
      <c r="D720" s="8"/>
      <c r="E720" s="8"/>
      <c r="F720" s="8"/>
      <c r="G720" s="10"/>
      <c r="H720" s="10"/>
      <c r="I720" s="10"/>
    </row>
    <row r="721" spans="1:9" ht="14.25" customHeight="1" x14ac:dyDescent="0.25">
      <c r="A721" s="7"/>
      <c r="B721" s="8" t="s">
        <v>3653</v>
      </c>
      <c r="C721" s="8" t="s">
        <v>1568</v>
      </c>
      <c r="D721" s="8"/>
      <c r="E721" s="8"/>
      <c r="F721" s="8"/>
      <c r="G721" s="10"/>
      <c r="H721" s="10"/>
      <c r="I721" s="10"/>
    </row>
    <row r="722" spans="1:9" ht="14.25" customHeight="1" x14ac:dyDescent="0.25">
      <c r="A722" s="7"/>
      <c r="B722" s="8" t="s">
        <v>3663</v>
      </c>
      <c r="C722" s="8"/>
      <c r="D722" s="8"/>
      <c r="E722" s="8"/>
      <c r="F722" s="8"/>
      <c r="G722" s="10"/>
      <c r="H722" s="10"/>
      <c r="I722" s="10"/>
    </row>
    <row r="723" spans="1:9" ht="14.25" customHeight="1" x14ac:dyDescent="0.25">
      <c r="A723" s="7"/>
      <c r="B723" s="8" t="s">
        <v>3664</v>
      </c>
      <c r="C723" s="8" t="s">
        <v>3665</v>
      </c>
      <c r="D723" s="8"/>
      <c r="E723" s="8"/>
      <c r="F723" s="8"/>
      <c r="G723" s="10"/>
      <c r="H723" s="10"/>
      <c r="I723" s="10"/>
    </row>
    <row r="724" spans="1:9" ht="14.25" customHeight="1" x14ac:dyDescent="0.25">
      <c r="A724" s="7" t="s">
        <v>3381</v>
      </c>
      <c r="B724" s="8" t="s">
        <v>3382</v>
      </c>
      <c r="C724" s="8" t="s">
        <v>3666</v>
      </c>
      <c r="D724" s="8"/>
      <c r="E724" s="8"/>
      <c r="F724" s="9" t="s">
        <v>3384</v>
      </c>
      <c r="G724" s="10"/>
      <c r="H724" s="10"/>
      <c r="I724" s="10"/>
    </row>
    <row r="725" spans="1:9" ht="14.25" customHeight="1" x14ac:dyDescent="0.25">
      <c r="A725" s="7" t="s">
        <v>3667</v>
      </c>
      <c r="B725" s="8" t="s">
        <v>3356</v>
      </c>
      <c r="C725" s="8" t="s">
        <v>3668</v>
      </c>
      <c r="D725" s="8"/>
      <c r="E725" s="8"/>
      <c r="F725" s="9" t="s">
        <v>3669</v>
      </c>
      <c r="G725" s="10"/>
      <c r="H725" s="10"/>
      <c r="I725" s="10"/>
    </row>
    <row r="726" spans="1:9" ht="14.25" customHeight="1" x14ac:dyDescent="0.25">
      <c r="A726" s="7" t="s">
        <v>3670</v>
      </c>
      <c r="B726" s="8" t="s">
        <v>2382</v>
      </c>
      <c r="C726" s="8" t="s">
        <v>3671</v>
      </c>
      <c r="D726" s="8"/>
      <c r="E726" s="8"/>
      <c r="F726" s="9" t="s">
        <v>3672</v>
      </c>
      <c r="G726" s="10"/>
      <c r="H726" s="10"/>
      <c r="I726" s="10"/>
    </row>
    <row r="727" spans="1:9" ht="14.25" customHeight="1" x14ac:dyDescent="0.25">
      <c r="A727" s="7" t="s">
        <v>3162</v>
      </c>
      <c r="B727" s="8" t="s">
        <v>3157</v>
      </c>
      <c r="C727" s="8" t="s">
        <v>537</v>
      </c>
      <c r="D727" s="8" t="s">
        <v>3163</v>
      </c>
      <c r="E727" s="8" t="s">
        <v>412</v>
      </c>
      <c r="F727" s="8"/>
      <c r="G727" s="10"/>
      <c r="H727" s="10"/>
      <c r="I727" s="10"/>
    </row>
    <row r="728" spans="1:9" ht="14.25" customHeight="1" x14ac:dyDescent="0.25">
      <c r="A728" s="7"/>
      <c r="B728" s="8" t="s">
        <v>2502</v>
      </c>
      <c r="C728" s="8" t="s">
        <v>3673</v>
      </c>
      <c r="D728" s="8"/>
      <c r="E728" s="8"/>
      <c r="F728" s="8"/>
      <c r="G728" s="10"/>
      <c r="H728" s="10"/>
      <c r="I728" s="10"/>
    </row>
    <row r="729" spans="1:9" ht="14.25" customHeight="1" x14ac:dyDescent="0.25">
      <c r="A729" s="7"/>
      <c r="B729" s="8" t="s">
        <v>3674</v>
      </c>
      <c r="C729" s="8" t="s">
        <v>3675</v>
      </c>
      <c r="D729" s="8"/>
      <c r="E729" s="8"/>
      <c r="F729" s="8"/>
      <c r="G729" s="10"/>
      <c r="H729" s="10"/>
      <c r="I729" s="10"/>
    </row>
    <row r="730" spans="1:9" ht="14.25" customHeight="1" x14ac:dyDescent="0.25">
      <c r="A730" s="7" t="s">
        <v>3676</v>
      </c>
      <c r="B730" s="8" t="s">
        <v>3677</v>
      </c>
      <c r="C730" s="8" t="s">
        <v>3678</v>
      </c>
      <c r="D730" s="8"/>
      <c r="E730" s="8"/>
      <c r="F730" s="9" t="s">
        <v>3679</v>
      </c>
      <c r="G730" s="10"/>
      <c r="H730" s="10"/>
      <c r="I730" s="10"/>
    </row>
    <row r="731" spans="1:9" ht="14.25" customHeight="1" x14ac:dyDescent="0.25">
      <c r="A731" s="7"/>
      <c r="B731" s="8" t="s">
        <v>3680</v>
      </c>
      <c r="C731" s="8" t="s">
        <v>3681</v>
      </c>
      <c r="D731" s="8"/>
      <c r="E731" s="8"/>
      <c r="F731" s="8"/>
      <c r="G731" s="10"/>
      <c r="H731" s="10"/>
      <c r="I731" s="10"/>
    </row>
    <row r="732" spans="1:9" ht="14.25" customHeight="1" x14ac:dyDescent="0.25">
      <c r="A732" s="7"/>
      <c r="B732" s="8" t="s">
        <v>247</v>
      </c>
      <c r="C732" s="8"/>
      <c r="D732" s="8"/>
      <c r="E732" s="8"/>
      <c r="F732" s="8"/>
      <c r="G732" s="10"/>
      <c r="H732" s="10"/>
      <c r="I732" s="10"/>
    </row>
    <row r="733" spans="1:9" ht="14.25" customHeight="1" x14ac:dyDescent="0.25">
      <c r="A733" s="7"/>
      <c r="B733" s="8" t="s">
        <v>787</v>
      </c>
      <c r="C733" s="8" t="s">
        <v>3682</v>
      </c>
      <c r="D733" s="8"/>
      <c r="E733" s="8"/>
      <c r="F733" s="9" t="s">
        <v>3683</v>
      </c>
      <c r="G733" s="10"/>
      <c r="H733" s="10"/>
      <c r="I733" s="10"/>
    </row>
    <row r="734" spans="1:9" ht="14.25" customHeight="1" x14ac:dyDescent="0.25">
      <c r="A734" s="7" t="s">
        <v>3684</v>
      </c>
      <c r="B734" s="8" t="s">
        <v>40</v>
      </c>
      <c r="C734" s="8" t="s">
        <v>3643</v>
      </c>
      <c r="D734" s="8"/>
      <c r="E734" s="8"/>
      <c r="F734" s="9" t="s">
        <v>3644</v>
      </c>
      <c r="G734" s="10"/>
      <c r="H734" s="10"/>
      <c r="I734" s="10"/>
    </row>
    <row r="735" spans="1:9" ht="14.25" customHeight="1" x14ac:dyDescent="0.25">
      <c r="A735" s="7" t="s">
        <v>3685</v>
      </c>
      <c r="B735" s="8" t="s">
        <v>3686</v>
      </c>
      <c r="C735" s="8" t="s">
        <v>3687</v>
      </c>
      <c r="D735" s="8"/>
      <c r="E735" s="8"/>
      <c r="F735" s="9" t="s">
        <v>3688</v>
      </c>
      <c r="G735" s="10"/>
      <c r="H735" s="10"/>
      <c r="I735" s="10"/>
    </row>
    <row r="736" spans="1:9" ht="14.25" customHeight="1" x14ac:dyDescent="0.25">
      <c r="A736" s="7" t="s">
        <v>3689</v>
      </c>
      <c r="B736" s="8" t="s">
        <v>3690</v>
      </c>
      <c r="C736" s="8" t="s">
        <v>3691</v>
      </c>
      <c r="D736" s="8"/>
      <c r="E736" s="8"/>
      <c r="F736" s="9" t="s">
        <v>3692</v>
      </c>
      <c r="G736" s="10"/>
      <c r="H736" s="10"/>
      <c r="I736" s="10"/>
    </row>
    <row r="737" spans="1:9" ht="14.25" customHeight="1" x14ac:dyDescent="0.25">
      <c r="A737" s="7" t="s">
        <v>3693</v>
      </c>
      <c r="B737" s="8" t="s">
        <v>3694</v>
      </c>
      <c r="C737" s="8" t="s">
        <v>3695</v>
      </c>
      <c r="D737" s="8"/>
      <c r="E737" s="8"/>
      <c r="F737" s="9" t="s">
        <v>3696</v>
      </c>
      <c r="G737" s="10"/>
      <c r="H737" s="10"/>
      <c r="I737" s="10"/>
    </row>
    <row r="738" spans="1:9" ht="14.25" customHeight="1" x14ac:dyDescent="0.25">
      <c r="A738" s="7" t="s">
        <v>3697</v>
      </c>
      <c r="B738" s="8" t="s">
        <v>630</v>
      </c>
      <c r="C738" s="8" t="s">
        <v>3698</v>
      </c>
      <c r="D738" s="8"/>
      <c r="E738" s="8"/>
      <c r="F738" s="9" t="s">
        <v>3699</v>
      </c>
      <c r="G738" s="10"/>
      <c r="H738" s="10"/>
      <c r="I738" s="10"/>
    </row>
    <row r="739" spans="1:9" ht="14.25" customHeight="1" x14ac:dyDescent="0.25">
      <c r="A739" s="7" t="s">
        <v>3700</v>
      </c>
      <c r="B739" s="8" t="s">
        <v>3701</v>
      </c>
      <c r="C739" s="8" t="s">
        <v>3702</v>
      </c>
      <c r="D739" s="8"/>
      <c r="E739" s="8"/>
      <c r="F739" s="9" t="s">
        <v>3703</v>
      </c>
      <c r="G739" s="10"/>
      <c r="H739" s="10"/>
      <c r="I739" s="10"/>
    </row>
    <row r="740" spans="1:9" ht="14.25" customHeight="1" x14ac:dyDescent="0.25">
      <c r="A740" s="7" t="s">
        <v>3704</v>
      </c>
      <c r="B740" s="8" t="s">
        <v>950</v>
      </c>
      <c r="C740" s="8" t="s">
        <v>3705</v>
      </c>
      <c r="D740" s="8"/>
      <c r="E740" s="8"/>
      <c r="F740" s="9" t="s">
        <v>3706</v>
      </c>
      <c r="G740" s="10"/>
      <c r="H740" s="10"/>
      <c r="I740" s="10"/>
    </row>
    <row r="741" spans="1:9" ht="14.25" customHeight="1" x14ac:dyDescent="0.25">
      <c r="A741" s="7" t="s">
        <v>3707</v>
      </c>
      <c r="B741" s="8" t="s">
        <v>3708</v>
      </c>
      <c r="C741" s="8" t="s">
        <v>3709</v>
      </c>
      <c r="D741" s="8"/>
      <c r="E741" s="8"/>
      <c r="F741" s="9" t="s">
        <v>3710</v>
      </c>
      <c r="G741" s="10"/>
      <c r="H741" s="10"/>
      <c r="I741" s="10"/>
    </row>
    <row r="742" spans="1:9" ht="14.25" customHeight="1" x14ac:dyDescent="0.25">
      <c r="A742" s="7" t="s">
        <v>3711</v>
      </c>
      <c r="B742" s="8" t="s">
        <v>2144</v>
      </c>
      <c r="C742" s="8" t="s">
        <v>3712</v>
      </c>
      <c r="D742" s="8"/>
      <c r="E742" s="8"/>
      <c r="F742" s="9" t="s">
        <v>3713</v>
      </c>
      <c r="G742" s="10"/>
      <c r="H742" s="10"/>
      <c r="I742" s="10"/>
    </row>
    <row r="743" spans="1:9" ht="14.25" customHeight="1" x14ac:dyDescent="0.25">
      <c r="A743" s="7" t="s">
        <v>3714</v>
      </c>
      <c r="B743" s="8" t="s">
        <v>3715</v>
      </c>
      <c r="C743" s="8" t="s">
        <v>462</v>
      </c>
      <c r="D743" s="8"/>
      <c r="E743" s="8"/>
      <c r="F743" s="9" t="s">
        <v>3716</v>
      </c>
      <c r="G743" s="10"/>
      <c r="H743" s="10"/>
      <c r="I743" s="10"/>
    </row>
    <row r="744" spans="1:9" ht="14.25" customHeight="1" x14ac:dyDescent="0.25">
      <c r="A744" s="7" t="s">
        <v>3717</v>
      </c>
      <c r="B744" s="8" t="s">
        <v>3718</v>
      </c>
      <c r="C744" s="8" t="s">
        <v>3719</v>
      </c>
      <c r="D744" s="8"/>
      <c r="E744" s="8"/>
      <c r="F744" s="9" t="s">
        <v>3720</v>
      </c>
      <c r="G744" s="10"/>
      <c r="H744" s="10"/>
      <c r="I744" s="10"/>
    </row>
    <row r="745" spans="1:9" ht="14.25" customHeight="1" x14ac:dyDescent="0.25">
      <c r="A745" s="7" t="s">
        <v>3721</v>
      </c>
      <c r="B745" s="8" t="s">
        <v>3722</v>
      </c>
      <c r="C745" s="8" t="s">
        <v>3723</v>
      </c>
      <c r="D745" s="8" t="s">
        <v>411</v>
      </c>
      <c r="E745" s="8"/>
      <c r="F745" s="9" t="s">
        <v>3724</v>
      </c>
      <c r="G745" s="10"/>
      <c r="H745" s="10"/>
      <c r="I745" s="10"/>
    </row>
    <row r="746" spans="1:9" ht="14.25" customHeight="1" x14ac:dyDescent="0.25">
      <c r="A746" s="7" t="s">
        <v>3725</v>
      </c>
      <c r="B746" s="8" t="s">
        <v>3271</v>
      </c>
      <c r="C746" s="8" t="s">
        <v>3726</v>
      </c>
      <c r="D746" s="8" t="s">
        <v>411</v>
      </c>
      <c r="E746" s="8"/>
      <c r="F746" s="9" t="s">
        <v>3727</v>
      </c>
      <c r="G746" s="10"/>
      <c r="H746" s="10"/>
      <c r="I746" s="10"/>
    </row>
    <row r="747" spans="1:9" ht="14.25" customHeight="1" x14ac:dyDescent="0.25">
      <c r="A747" s="7" t="s">
        <v>3728</v>
      </c>
      <c r="B747" s="8" t="s">
        <v>3729</v>
      </c>
      <c r="C747" s="8"/>
      <c r="D747" s="8" t="s">
        <v>3163</v>
      </c>
      <c r="E747" s="8"/>
      <c r="F747" s="9"/>
      <c r="G747" s="10"/>
      <c r="H747" s="10"/>
      <c r="I747" s="10"/>
    </row>
    <row r="748" spans="1:9" ht="14.25" customHeight="1" x14ac:dyDescent="0.25">
      <c r="A748" s="8" t="s">
        <v>3730</v>
      </c>
      <c r="B748" s="8" t="s">
        <v>1841</v>
      </c>
      <c r="C748" s="8" t="s">
        <v>3731</v>
      </c>
      <c r="D748" s="8" t="s">
        <v>411</v>
      </c>
      <c r="E748" s="8"/>
      <c r="F748" s="9"/>
      <c r="G748" s="10"/>
      <c r="H748" s="10"/>
      <c r="I748" s="10"/>
    </row>
    <row r="749" spans="1:9" ht="14.25" customHeight="1" x14ac:dyDescent="0.25">
      <c r="A749" s="8" t="s">
        <v>3732</v>
      </c>
      <c r="B749" s="8" t="s">
        <v>3733</v>
      </c>
      <c r="C749" s="8" t="s">
        <v>3734</v>
      </c>
      <c r="D749" s="8"/>
      <c r="E749" s="8"/>
      <c r="F749" s="9"/>
      <c r="G749" s="10"/>
      <c r="H749" s="10"/>
      <c r="I749" s="10"/>
    </row>
    <row r="750" spans="1:9" ht="14.25" customHeight="1" x14ac:dyDescent="0.25">
      <c r="A750" s="8" t="s">
        <v>3619</v>
      </c>
      <c r="B750" s="8" t="s">
        <v>2899</v>
      </c>
      <c r="C750" s="8" t="s">
        <v>3620</v>
      </c>
      <c r="D750" s="8" t="s">
        <v>411</v>
      </c>
      <c r="E750" s="8"/>
      <c r="F750" s="9"/>
      <c r="G750" s="10"/>
      <c r="H750" s="10"/>
      <c r="I750" s="10"/>
    </row>
    <row r="751" spans="1:9" ht="14.25" customHeight="1" x14ac:dyDescent="0.25">
      <c r="A751" s="8" t="s">
        <v>3735</v>
      </c>
      <c r="B751" s="8" t="s">
        <v>1352</v>
      </c>
      <c r="C751" s="8" t="s">
        <v>3736</v>
      </c>
      <c r="D751" s="8" t="s">
        <v>411</v>
      </c>
      <c r="E751" s="8"/>
      <c r="F751" s="9"/>
      <c r="G751" s="10"/>
      <c r="H751" s="10"/>
      <c r="I751" s="10"/>
    </row>
    <row r="752" spans="1:9" ht="14.25" customHeight="1" x14ac:dyDescent="0.25">
      <c r="A752" s="8" t="s">
        <v>3737</v>
      </c>
      <c r="B752" s="8" t="s">
        <v>1651</v>
      </c>
      <c r="C752" s="8" t="s">
        <v>3738</v>
      </c>
      <c r="D752" s="8" t="s">
        <v>411</v>
      </c>
      <c r="E752" s="8"/>
      <c r="F752" s="9" t="s">
        <v>3739</v>
      </c>
      <c r="G752" s="10"/>
      <c r="H752" s="10"/>
      <c r="I752" s="10"/>
    </row>
    <row r="753" spans="1:9" ht="14.25" customHeight="1" x14ac:dyDescent="0.25">
      <c r="A753" s="8" t="s">
        <v>3740</v>
      </c>
      <c r="B753" s="8" t="s">
        <v>1651</v>
      </c>
      <c r="C753" s="8" t="s">
        <v>3741</v>
      </c>
      <c r="D753" s="8" t="s">
        <v>411</v>
      </c>
      <c r="E753" s="8"/>
      <c r="F753" s="9"/>
      <c r="G753" s="10"/>
      <c r="H753" s="10"/>
      <c r="I753" s="10"/>
    </row>
    <row r="754" spans="1:9" ht="14.25" customHeight="1" x14ac:dyDescent="0.25">
      <c r="A754" s="8" t="s">
        <v>3742</v>
      </c>
      <c r="B754" s="8" t="s">
        <v>3743</v>
      </c>
      <c r="C754" s="8" t="s">
        <v>3026</v>
      </c>
      <c r="D754" s="8"/>
      <c r="E754" s="8"/>
      <c r="F754" s="9"/>
      <c r="G754" s="10"/>
      <c r="H754" s="10"/>
      <c r="I754" s="10"/>
    </row>
    <row r="755" spans="1:9" ht="14.25" customHeight="1" x14ac:dyDescent="0.25">
      <c r="A755" s="7" t="s">
        <v>3744</v>
      </c>
      <c r="B755" s="8" t="s">
        <v>1826</v>
      </c>
      <c r="C755" s="8" t="s">
        <v>3745</v>
      </c>
      <c r="D755" s="8"/>
      <c r="E755" s="8"/>
      <c r="F755" s="9" t="s">
        <v>3746</v>
      </c>
      <c r="G755" s="10"/>
      <c r="H755" s="10"/>
      <c r="I755" s="10"/>
    </row>
    <row r="756" spans="1:9" ht="14.25" customHeight="1" x14ac:dyDescent="0.25">
      <c r="A756" s="7" t="s">
        <v>3747</v>
      </c>
      <c r="B756" s="8" t="s">
        <v>3748</v>
      </c>
      <c r="C756" s="8" t="s">
        <v>354</v>
      </c>
      <c r="D756" s="8" t="s">
        <v>3163</v>
      </c>
      <c r="E756" s="8" t="s">
        <v>3749</v>
      </c>
      <c r="F756" s="9"/>
      <c r="G756" s="10"/>
      <c r="H756" s="10"/>
      <c r="I756" s="10"/>
    </row>
    <row r="757" spans="1:9" ht="14.25" customHeight="1" x14ac:dyDescent="0.25">
      <c r="A757" s="7" t="s">
        <v>3750</v>
      </c>
      <c r="B757" s="8" t="s">
        <v>3751</v>
      </c>
      <c r="C757" s="8" t="s">
        <v>3752</v>
      </c>
      <c r="D757" s="8" t="s">
        <v>411</v>
      </c>
      <c r="E757" s="8"/>
      <c r="F757" s="9" t="s">
        <v>3753</v>
      </c>
      <c r="G757" s="10"/>
      <c r="H757" s="10"/>
      <c r="I757" s="10"/>
    </row>
    <row r="758" spans="1:9" ht="14.25" customHeight="1" x14ac:dyDescent="0.25">
      <c r="A758" s="7" t="s">
        <v>3754</v>
      </c>
      <c r="B758" s="8" t="s">
        <v>2070</v>
      </c>
      <c r="C758" s="8" t="s">
        <v>2085</v>
      </c>
      <c r="D758" s="8" t="s">
        <v>411</v>
      </c>
      <c r="E758" s="8" t="s">
        <v>412</v>
      </c>
      <c r="F758" s="9" t="s">
        <v>2086</v>
      </c>
      <c r="G758" s="10" t="s">
        <v>3755</v>
      </c>
      <c r="H758" s="10" t="s">
        <v>49</v>
      </c>
      <c r="I758" s="10" t="s">
        <v>3756</v>
      </c>
    </row>
    <row r="759" spans="1:9" ht="14.25" customHeight="1" x14ac:dyDescent="0.25">
      <c r="A759" s="7" t="s">
        <v>3757</v>
      </c>
      <c r="B759" s="8" t="s">
        <v>3758</v>
      </c>
      <c r="C759" s="8" t="s">
        <v>3759</v>
      </c>
      <c r="D759" s="8" t="s">
        <v>411</v>
      </c>
      <c r="E759" s="8"/>
      <c r="F759" s="18" t="s">
        <v>3760</v>
      </c>
      <c r="G759" s="10"/>
      <c r="H759" s="10"/>
      <c r="I759" s="10"/>
    </row>
    <row r="760" spans="1:9" ht="14.25" customHeight="1" x14ac:dyDescent="0.25">
      <c r="A760" s="7" t="s">
        <v>3761</v>
      </c>
      <c r="B760" s="8" t="s">
        <v>3762</v>
      </c>
      <c r="C760" s="8" t="s">
        <v>3615</v>
      </c>
      <c r="D760" s="8" t="s">
        <v>411</v>
      </c>
      <c r="E760" s="8"/>
      <c r="F760" s="8" t="s">
        <v>3763</v>
      </c>
      <c r="G760" s="10"/>
      <c r="H760" s="10"/>
      <c r="I760" s="10"/>
    </row>
    <row r="761" spans="1:9" ht="14.25" customHeight="1" x14ac:dyDescent="0.25">
      <c r="A761" s="7" t="s">
        <v>3764</v>
      </c>
      <c r="B761" s="8" t="s">
        <v>3765</v>
      </c>
      <c r="C761" s="8" t="s">
        <v>3766</v>
      </c>
      <c r="D761" s="8"/>
      <c r="E761" s="8"/>
      <c r="F761" s="18" t="s">
        <v>3767</v>
      </c>
      <c r="G761" s="10"/>
      <c r="H761" s="10"/>
      <c r="I761" s="10"/>
    </row>
    <row r="762" spans="1:9" ht="14.25" customHeight="1" x14ac:dyDescent="0.25">
      <c r="A762" s="7" t="s">
        <v>3768</v>
      </c>
      <c r="B762" s="8" t="s">
        <v>2674</v>
      </c>
      <c r="C762" s="8" t="s">
        <v>3769</v>
      </c>
      <c r="D762" s="8"/>
      <c r="E762" s="8"/>
      <c r="F762" s="18" t="s">
        <v>3770</v>
      </c>
      <c r="G762" s="10"/>
      <c r="H762" s="10"/>
      <c r="I762" s="10"/>
    </row>
    <row r="763" spans="1:9" ht="14.25" customHeight="1" x14ac:dyDescent="0.25">
      <c r="A763" s="7" t="s">
        <v>3771</v>
      </c>
      <c r="B763" s="8" t="s">
        <v>3772</v>
      </c>
      <c r="C763" s="8" t="s">
        <v>3773</v>
      </c>
      <c r="D763" s="8"/>
      <c r="E763" s="8"/>
      <c r="F763" s="8"/>
      <c r="G763" s="10"/>
      <c r="H763" s="10"/>
      <c r="I763" s="10"/>
    </row>
    <row r="764" spans="1:9" ht="14.25" customHeight="1" x14ac:dyDescent="0.25">
      <c r="A764" s="7" t="s">
        <v>3774</v>
      </c>
      <c r="B764" s="8" t="s">
        <v>276</v>
      </c>
      <c r="C764" s="8" t="s">
        <v>3775</v>
      </c>
      <c r="D764" s="8"/>
      <c r="E764" s="8" t="s">
        <v>412</v>
      </c>
      <c r="F764" s="9" t="s">
        <v>3776</v>
      </c>
      <c r="G764" s="10"/>
      <c r="H764" s="10"/>
      <c r="I764" s="10"/>
    </row>
    <row r="765" spans="1:9" ht="14.25" customHeight="1" x14ac:dyDescent="0.25">
      <c r="A765" s="7" t="s">
        <v>3777</v>
      </c>
      <c r="B765" s="8" t="s">
        <v>398</v>
      </c>
      <c r="C765" s="8" t="s">
        <v>3778</v>
      </c>
      <c r="D765" s="8"/>
      <c r="E765" s="8"/>
      <c r="F765" s="9" t="s">
        <v>3779</v>
      </c>
      <c r="G765" s="10"/>
      <c r="H765" s="10"/>
      <c r="I765" s="10"/>
    </row>
    <row r="766" spans="1:9" ht="14.25" customHeight="1" x14ac:dyDescent="0.25">
      <c r="A766" s="7" t="s">
        <v>3780</v>
      </c>
      <c r="B766" s="8" t="s">
        <v>3781</v>
      </c>
      <c r="C766" s="8" t="s">
        <v>3782</v>
      </c>
      <c r="D766" s="8"/>
      <c r="E766" s="8"/>
      <c r="F766" s="9" t="s">
        <v>3783</v>
      </c>
      <c r="G766" s="10"/>
      <c r="H766" s="10"/>
      <c r="I766" s="10"/>
    </row>
    <row r="767" spans="1:9" ht="14.25" customHeight="1" x14ac:dyDescent="0.25">
      <c r="A767" s="7" t="s">
        <v>3784</v>
      </c>
      <c r="B767" s="8" t="s">
        <v>3058</v>
      </c>
      <c r="C767" s="8" t="s">
        <v>3785</v>
      </c>
      <c r="D767" s="8"/>
      <c r="E767" s="8"/>
      <c r="F767" s="9" t="s">
        <v>3786</v>
      </c>
      <c r="G767" s="10"/>
      <c r="H767" s="10"/>
      <c r="I767" s="10"/>
    </row>
    <row r="768" spans="1:9" ht="14.25" customHeight="1" x14ac:dyDescent="0.25">
      <c r="A768" s="7" t="s">
        <v>3787</v>
      </c>
      <c r="B768" s="8" t="s">
        <v>3788</v>
      </c>
      <c r="C768" s="8" t="s">
        <v>3615</v>
      </c>
      <c r="D768" s="8" t="s">
        <v>3163</v>
      </c>
      <c r="E768" s="8" t="s">
        <v>3749</v>
      </c>
      <c r="F768" s="9" t="s">
        <v>3789</v>
      </c>
      <c r="G768" s="10"/>
      <c r="H768" s="10"/>
      <c r="I768" s="10"/>
    </row>
    <row r="769" spans="1:9" ht="14.25" customHeight="1" x14ac:dyDescent="0.25">
      <c r="A769" s="7" t="s">
        <v>3790</v>
      </c>
      <c r="B769" s="8" t="s">
        <v>3791</v>
      </c>
      <c r="C769" s="8" t="s">
        <v>3792</v>
      </c>
      <c r="D769" s="8"/>
      <c r="E769" s="8"/>
      <c r="F769" s="8"/>
      <c r="G769" s="10"/>
      <c r="H769" s="10"/>
      <c r="I769" s="10"/>
    </row>
    <row r="770" spans="1:9" ht="14.25" customHeight="1" x14ac:dyDescent="0.25">
      <c r="A770" s="7" t="s">
        <v>3793</v>
      </c>
      <c r="B770" s="8" t="s">
        <v>1797</v>
      </c>
      <c r="C770" s="8" t="s">
        <v>3794</v>
      </c>
      <c r="D770" s="8"/>
      <c r="E770" s="8"/>
      <c r="F770" s="8"/>
      <c r="G770" s="10"/>
      <c r="H770" s="10"/>
      <c r="I770" s="10"/>
    </row>
    <row r="771" spans="1:9" ht="14.25" customHeight="1" x14ac:dyDescent="0.25">
      <c r="A771" s="7" t="s">
        <v>3795</v>
      </c>
      <c r="B771" s="8" t="s">
        <v>715</v>
      </c>
      <c r="C771" s="8" t="s">
        <v>3620</v>
      </c>
      <c r="D771" s="8"/>
      <c r="E771" s="8"/>
      <c r="F771" s="8"/>
      <c r="G771" s="10"/>
      <c r="H771" s="10"/>
      <c r="I771" s="10"/>
    </row>
    <row r="772" spans="1:9" ht="14.25" customHeight="1" x14ac:dyDescent="0.25">
      <c r="A772" s="7" t="s">
        <v>3796</v>
      </c>
      <c r="B772" s="8" t="s">
        <v>3271</v>
      </c>
      <c r="C772" s="8" t="s">
        <v>3797</v>
      </c>
      <c r="D772" s="8"/>
      <c r="E772" s="8"/>
      <c r="F772" s="8"/>
      <c r="G772" s="10"/>
      <c r="H772" s="10"/>
      <c r="I772" s="10"/>
    </row>
    <row r="773" spans="1:9" ht="14.25" customHeight="1" x14ac:dyDescent="0.25">
      <c r="A773" s="7" t="s">
        <v>3798</v>
      </c>
      <c r="B773" s="8" t="s">
        <v>3799</v>
      </c>
      <c r="C773" s="8" t="s">
        <v>3800</v>
      </c>
      <c r="D773" s="8"/>
      <c r="E773" s="8"/>
      <c r="F773" s="8"/>
      <c r="G773" s="10"/>
      <c r="H773" s="10"/>
      <c r="I773" s="10"/>
    </row>
    <row r="774" spans="1:9" ht="14.25" customHeight="1" x14ac:dyDescent="0.25">
      <c r="A774" s="7" t="s">
        <v>3801</v>
      </c>
      <c r="B774" s="8" t="s">
        <v>853</v>
      </c>
      <c r="C774" s="8" t="s">
        <v>3615</v>
      </c>
      <c r="D774" s="8"/>
      <c r="E774" s="8"/>
      <c r="F774" s="8"/>
      <c r="G774" s="10"/>
      <c r="H774" s="10"/>
      <c r="I774" s="10"/>
    </row>
    <row r="775" spans="1:9" ht="14.25" customHeight="1" x14ac:dyDescent="0.25">
      <c r="A775" s="7" t="s">
        <v>3802</v>
      </c>
      <c r="B775" s="8" t="s">
        <v>3762</v>
      </c>
      <c r="C775" s="8" t="s">
        <v>3803</v>
      </c>
      <c r="D775" s="8"/>
      <c r="E775" s="8"/>
      <c r="F775" s="8"/>
      <c r="G775" s="10"/>
      <c r="H775" s="10"/>
      <c r="I775" s="10"/>
    </row>
    <row r="776" spans="1:9" ht="14.25" customHeight="1" x14ac:dyDescent="0.25">
      <c r="A776" s="7" t="s">
        <v>3804</v>
      </c>
      <c r="B776" s="8" t="s">
        <v>3805</v>
      </c>
      <c r="C776" s="8" t="s">
        <v>3806</v>
      </c>
      <c r="D776" s="8"/>
      <c r="E776" s="8"/>
      <c r="F776" s="8"/>
      <c r="G776" s="10"/>
      <c r="H776" s="10"/>
      <c r="I776" s="10"/>
    </row>
    <row r="777" spans="1:9" ht="14.25" customHeight="1" x14ac:dyDescent="0.25">
      <c r="A777" s="7" t="s">
        <v>3807</v>
      </c>
      <c r="B777" s="8" t="s">
        <v>2972</v>
      </c>
      <c r="C777" s="8" t="s">
        <v>3808</v>
      </c>
      <c r="D777" s="8"/>
      <c r="E777" s="8"/>
      <c r="F777" s="8"/>
      <c r="G777" s="10"/>
      <c r="H777" s="10"/>
      <c r="I777" s="10"/>
    </row>
    <row r="778" spans="1:9" ht="14.25" customHeight="1" x14ac:dyDescent="0.25">
      <c r="A778" s="7" t="s">
        <v>3809</v>
      </c>
      <c r="B778" s="8" t="s">
        <v>3810</v>
      </c>
      <c r="C778" s="8" t="s">
        <v>2749</v>
      </c>
      <c r="D778" s="8"/>
      <c r="E778" s="8"/>
      <c r="F778" s="9" t="s">
        <v>3811</v>
      </c>
      <c r="G778" s="10"/>
      <c r="H778" s="10"/>
      <c r="I778" s="10"/>
    </row>
    <row r="779" spans="1:9" ht="14.25" customHeight="1" x14ac:dyDescent="0.25">
      <c r="A779" s="7" t="s">
        <v>3812</v>
      </c>
      <c r="B779" s="8" t="s">
        <v>3623</v>
      </c>
      <c r="C779" s="8" t="s">
        <v>3734</v>
      </c>
      <c r="D779" s="8"/>
      <c r="E779" s="8" t="s">
        <v>412</v>
      </c>
      <c r="F779" s="11" t="s">
        <v>3813</v>
      </c>
      <c r="G779" s="10" t="s">
        <v>3814</v>
      </c>
      <c r="H779" s="10" t="s">
        <v>3815</v>
      </c>
      <c r="I779" s="10"/>
    </row>
    <row r="780" spans="1:9" ht="14.25" customHeight="1" x14ac:dyDescent="0.25">
      <c r="A780" s="7" t="s">
        <v>3816</v>
      </c>
      <c r="B780" s="8" t="s">
        <v>3817</v>
      </c>
      <c r="C780" s="8" t="s">
        <v>1257</v>
      </c>
      <c r="D780" s="8" t="s">
        <v>411</v>
      </c>
      <c r="E780" s="8" t="s">
        <v>412</v>
      </c>
      <c r="F780" s="9" t="s">
        <v>3818</v>
      </c>
      <c r="G780" s="10" t="s">
        <v>3819</v>
      </c>
      <c r="H780" s="10" t="s">
        <v>3820</v>
      </c>
      <c r="I780" s="10"/>
    </row>
    <row r="781" spans="1:9" ht="14.25" customHeight="1" x14ac:dyDescent="0.25">
      <c r="A781" s="7" t="s">
        <v>3821</v>
      </c>
      <c r="B781" s="8" t="s">
        <v>3822</v>
      </c>
      <c r="C781" s="8" t="s">
        <v>3823</v>
      </c>
      <c r="D781" s="8" t="s">
        <v>3163</v>
      </c>
      <c r="E781" s="8"/>
      <c r="F781" s="9" t="s">
        <v>3824</v>
      </c>
      <c r="G781" s="10"/>
      <c r="H781" s="10"/>
      <c r="I781" s="10"/>
    </row>
    <row r="782" spans="1:9" ht="14.25" customHeight="1" x14ac:dyDescent="0.25">
      <c r="A782" s="7" t="s">
        <v>3825</v>
      </c>
      <c r="B782" s="8" t="s">
        <v>57</v>
      </c>
      <c r="C782" s="8" t="s">
        <v>3826</v>
      </c>
      <c r="D782" s="8"/>
      <c r="E782" s="8"/>
      <c r="F782" s="18" t="s">
        <v>3827</v>
      </c>
      <c r="G782" s="10"/>
      <c r="H782" s="10"/>
      <c r="I782" s="10"/>
    </row>
    <row r="783" spans="1:9" ht="14.25" customHeight="1" x14ac:dyDescent="0.25">
      <c r="A783" s="7" t="s">
        <v>3828</v>
      </c>
      <c r="B783" s="8" t="s">
        <v>3829</v>
      </c>
      <c r="C783" s="8" t="s">
        <v>3830</v>
      </c>
      <c r="D783" s="8"/>
      <c r="E783" s="8"/>
      <c r="F783" s="18" t="s">
        <v>3831</v>
      </c>
      <c r="G783" s="10"/>
      <c r="H783" s="10"/>
      <c r="I783" s="10"/>
    </row>
    <row r="784" spans="1:9" ht="14.25" customHeight="1" x14ac:dyDescent="0.25">
      <c r="A784" s="7" t="s">
        <v>3832</v>
      </c>
      <c r="B784" s="8" t="s">
        <v>1629</v>
      </c>
      <c r="C784" s="8" t="s">
        <v>3833</v>
      </c>
      <c r="D784" s="8"/>
      <c r="E784" s="8"/>
      <c r="F784" s="9"/>
      <c r="G784" s="10"/>
      <c r="H784" s="10"/>
      <c r="I784" s="10"/>
    </row>
    <row r="785" spans="1:9" ht="14.25" customHeight="1" x14ac:dyDescent="0.25">
      <c r="A785" s="7" t="s">
        <v>3834</v>
      </c>
      <c r="B785" s="8" t="s">
        <v>3835</v>
      </c>
      <c r="C785" s="8" t="s">
        <v>3836</v>
      </c>
      <c r="D785" s="8"/>
      <c r="E785" s="8"/>
      <c r="F785" s="9"/>
      <c r="G785" s="10"/>
      <c r="H785" s="10"/>
      <c r="I785" s="10"/>
    </row>
    <row r="786" spans="1:9" ht="14.25" customHeight="1" x14ac:dyDescent="0.25">
      <c r="A786" s="7" t="s">
        <v>3837</v>
      </c>
      <c r="B786" s="8" t="s">
        <v>1021</v>
      </c>
      <c r="C786" s="8" t="s">
        <v>3838</v>
      </c>
      <c r="D786" s="8"/>
      <c r="E786" s="8" t="s">
        <v>412</v>
      </c>
      <c r="F786" s="18" t="s">
        <v>3839</v>
      </c>
      <c r="G786" s="10"/>
      <c r="H786" s="10"/>
      <c r="I786" s="10"/>
    </row>
    <row r="787" spans="1:9" ht="14.25" customHeight="1" x14ac:dyDescent="0.25">
      <c r="A787" s="7" t="s">
        <v>3840</v>
      </c>
      <c r="B787" s="8" t="s">
        <v>2847</v>
      </c>
      <c r="C787" s="8" t="s">
        <v>3841</v>
      </c>
      <c r="D787" s="8"/>
      <c r="E787" s="8" t="s">
        <v>412</v>
      </c>
      <c r="F787" s="18" t="s">
        <v>3842</v>
      </c>
      <c r="G787" s="10"/>
      <c r="H787" s="10"/>
      <c r="I787" s="10"/>
    </row>
    <row r="788" spans="1:9" ht="14.25" customHeight="1" x14ac:dyDescent="0.25">
      <c r="A788" s="7" t="s">
        <v>3843</v>
      </c>
      <c r="B788" s="8" t="s">
        <v>3844</v>
      </c>
      <c r="C788" s="8" t="s">
        <v>3845</v>
      </c>
      <c r="D788" s="8"/>
      <c r="E788" s="8"/>
      <c r="F788" s="9"/>
      <c r="G788" s="10"/>
      <c r="H788" s="10"/>
      <c r="I788" s="10"/>
    </row>
    <row r="789" spans="1:9" ht="14.25" customHeight="1" x14ac:dyDescent="0.25">
      <c r="A789" s="7" t="s">
        <v>3846</v>
      </c>
      <c r="B789" s="8" t="s">
        <v>3847</v>
      </c>
      <c r="C789" s="8" t="s">
        <v>3848</v>
      </c>
      <c r="D789" s="8"/>
      <c r="E789" s="8"/>
      <c r="F789" s="9"/>
      <c r="G789" s="10"/>
      <c r="H789" s="10"/>
      <c r="I789" s="10"/>
    </row>
    <row r="790" spans="1:9" ht="14.25" customHeight="1" x14ac:dyDescent="0.25">
      <c r="A790" s="7" t="s">
        <v>3849</v>
      </c>
      <c r="B790" s="8" t="s">
        <v>1228</v>
      </c>
      <c r="C790" s="8" t="s">
        <v>3848</v>
      </c>
      <c r="D790" s="8"/>
      <c r="E790" s="8"/>
      <c r="F790" s="9"/>
      <c r="G790" s="10"/>
      <c r="H790" s="10"/>
      <c r="I790" s="10"/>
    </row>
    <row r="791" spans="1:9" ht="14.25" customHeight="1" x14ac:dyDescent="0.25">
      <c r="A791" s="7" t="s">
        <v>3850</v>
      </c>
      <c r="B791" s="8" t="s">
        <v>3851</v>
      </c>
      <c r="C791" s="8" t="s">
        <v>3852</v>
      </c>
      <c r="D791" s="8"/>
      <c r="E791" s="8"/>
      <c r="F791" s="9"/>
      <c r="G791" s="10"/>
      <c r="H791" s="10"/>
      <c r="I791" s="10"/>
    </row>
    <row r="792" spans="1:9" ht="14.25" customHeight="1" x14ac:dyDescent="0.25">
      <c r="A792" s="7" t="s">
        <v>3853</v>
      </c>
      <c r="B792" s="8" t="s">
        <v>276</v>
      </c>
      <c r="C792" s="8" t="s">
        <v>3854</v>
      </c>
      <c r="D792" s="8"/>
      <c r="E792" s="8"/>
      <c r="F792" s="9"/>
      <c r="G792" s="10"/>
      <c r="H792" s="10"/>
      <c r="I792" s="10"/>
    </row>
    <row r="793" spans="1:9" ht="14.25" customHeight="1" x14ac:dyDescent="0.25">
      <c r="A793" s="7" t="s">
        <v>3855</v>
      </c>
      <c r="B793" s="8" t="s">
        <v>3856</v>
      </c>
      <c r="C793" s="8" t="s">
        <v>3857</v>
      </c>
      <c r="D793" s="8"/>
      <c r="E793" s="8"/>
      <c r="F793" s="18" t="s">
        <v>3858</v>
      </c>
      <c r="G793" s="10"/>
      <c r="H793" s="10"/>
      <c r="I793" s="10"/>
    </row>
    <row r="794" spans="1:9" ht="14.25" customHeight="1" x14ac:dyDescent="0.25">
      <c r="A794" s="7" t="s">
        <v>3859</v>
      </c>
      <c r="B794" s="8" t="s">
        <v>447</v>
      </c>
      <c r="C794" s="8" t="s">
        <v>3860</v>
      </c>
      <c r="D794" s="8"/>
      <c r="E794" s="8"/>
      <c r="F794" s="18" t="s">
        <v>3861</v>
      </c>
      <c r="G794" s="10"/>
      <c r="H794" s="10"/>
      <c r="I794" s="10"/>
    </row>
    <row r="795" spans="1:9" ht="14.25" customHeight="1" x14ac:dyDescent="0.25">
      <c r="A795" s="7" t="s">
        <v>3862</v>
      </c>
      <c r="B795" s="8" t="s">
        <v>3863</v>
      </c>
      <c r="C795" s="8" t="s">
        <v>3864</v>
      </c>
      <c r="D795" s="8"/>
      <c r="E795" s="8" t="s">
        <v>3865</v>
      </c>
      <c r="F795" s="18" t="s">
        <v>3866</v>
      </c>
      <c r="G795" s="10"/>
      <c r="H795" s="10"/>
      <c r="I795" s="10"/>
    </row>
    <row r="796" spans="1:9" ht="14.25" customHeight="1" x14ac:dyDescent="0.25">
      <c r="A796" s="7" t="s">
        <v>3867</v>
      </c>
      <c r="B796" s="8" t="s">
        <v>3868</v>
      </c>
      <c r="C796" s="8" t="s">
        <v>3869</v>
      </c>
      <c r="D796" s="8"/>
      <c r="E796" s="8"/>
      <c r="F796" s="9"/>
      <c r="G796" s="10"/>
      <c r="H796" s="10"/>
      <c r="I796" s="10"/>
    </row>
    <row r="797" spans="1:9" ht="14.25" customHeight="1" x14ac:dyDescent="0.25">
      <c r="A797" s="7" t="s">
        <v>3870</v>
      </c>
      <c r="B797" s="8" t="s">
        <v>1578</v>
      </c>
      <c r="C797" s="8" t="s">
        <v>3871</v>
      </c>
      <c r="D797" s="8"/>
      <c r="E797" s="8"/>
      <c r="F797" s="18" t="s">
        <v>3872</v>
      </c>
      <c r="G797" s="10"/>
      <c r="H797" s="10"/>
      <c r="I797" s="10"/>
    </row>
    <row r="798" spans="1:9" ht="14.25" customHeight="1" x14ac:dyDescent="0.25">
      <c r="A798" s="7" t="s">
        <v>3873</v>
      </c>
      <c r="B798" s="8" t="s">
        <v>3874</v>
      </c>
      <c r="C798" s="8" t="s">
        <v>1403</v>
      </c>
      <c r="D798" s="8"/>
      <c r="E798" s="8"/>
      <c r="F798" s="18" t="s">
        <v>3875</v>
      </c>
      <c r="G798" s="10"/>
      <c r="H798" s="10"/>
      <c r="I798" s="10"/>
    </row>
    <row r="799" spans="1:9" ht="14.25" customHeight="1" x14ac:dyDescent="0.25">
      <c r="A799" s="19" t="s">
        <v>3876</v>
      </c>
      <c r="B799" s="8" t="s">
        <v>3877</v>
      </c>
      <c r="C799" s="8" t="s">
        <v>3878</v>
      </c>
      <c r="D799" s="8"/>
      <c r="E799" s="8" t="s">
        <v>412</v>
      </c>
      <c r="F799" s="18" t="s">
        <v>3879</v>
      </c>
      <c r="G799" s="10" t="s">
        <v>3880</v>
      </c>
      <c r="H799" s="10" t="s">
        <v>3881</v>
      </c>
      <c r="I799" s="10"/>
    </row>
    <row r="800" spans="1:9" ht="14.25" customHeight="1" x14ac:dyDescent="0.25">
      <c r="A800" s="7" t="s">
        <v>3882</v>
      </c>
      <c r="B800" s="8" t="s">
        <v>3883</v>
      </c>
      <c r="C800" s="8" t="s">
        <v>3884</v>
      </c>
      <c r="D800" s="8" t="s">
        <v>411</v>
      </c>
      <c r="E800" s="8" t="s">
        <v>412</v>
      </c>
      <c r="F800" s="13" t="s">
        <v>3885</v>
      </c>
      <c r="G800" s="10"/>
      <c r="H800" s="10"/>
      <c r="I800" s="10"/>
    </row>
    <row r="801" spans="1:9" ht="14.25" customHeight="1" x14ac:dyDescent="0.25">
      <c r="A801" s="7" t="s">
        <v>3886</v>
      </c>
      <c r="B801" s="8" t="s">
        <v>3887</v>
      </c>
      <c r="C801" s="8" t="s">
        <v>3888</v>
      </c>
      <c r="D801" s="8"/>
      <c r="E801" s="8"/>
      <c r="F801" s="9"/>
      <c r="G801" s="10"/>
      <c r="H801" s="10"/>
      <c r="I801" s="10"/>
    </row>
    <row r="802" spans="1:9" ht="14.25" customHeight="1" x14ac:dyDescent="0.25">
      <c r="A802" s="7" t="s">
        <v>3889</v>
      </c>
      <c r="B802" s="8" t="s">
        <v>3321</v>
      </c>
      <c r="C802" s="8" t="s">
        <v>3878</v>
      </c>
      <c r="D802" s="8"/>
      <c r="E802" s="8" t="s">
        <v>3890</v>
      </c>
      <c r="F802" s="9"/>
      <c r="G802" s="10"/>
      <c r="H802" s="10"/>
      <c r="I802" s="10"/>
    </row>
    <row r="803" spans="1:9" ht="14.25" customHeight="1" x14ac:dyDescent="0.25">
      <c r="A803" s="7" t="s">
        <v>3891</v>
      </c>
      <c r="B803" s="8" t="s">
        <v>3892</v>
      </c>
      <c r="C803" s="8" t="s">
        <v>3893</v>
      </c>
      <c r="D803" s="8"/>
      <c r="E803" s="8"/>
      <c r="F803" s="9"/>
      <c r="G803" s="10"/>
      <c r="H803" s="10"/>
      <c r="I803" s="10"/>
    </row>
    <row r="804" spans="1:9" ht="14.25" customHeight="1" x14ac:dyDescent="0.25">
      <c r="A804" s="7" t="s">
        <v>3894</v>
      </c>
      <c r="B804" s="8" t="s">
        <v>3421</v>
      </c>
      <c r="C804" s="8" t="s">
        <v>3895</v>
      </c>
      <c r="D804" s="8"/>
      <c r="E804" s="8"/>
      <c r="F804" s="9"/>
      <c r="G804" s="10"/>
      <c r="H804" s="10"/>
      <c r="I804" s="10"/>
    </row>
    <row r="805" spans="1:9" ht="14.25" customHeight="1" x14ac:dyDescent="0.25">
      <c r="A805" s="7" t="s">
        <v>3896</v>
      </c>
      <c r="B805" s="8" t="s">
        <v>3762</v>
      </c>
      <c r="C805" s="8" t="s">
        <v>3897</v>
      </c>
      <c r="D805" s="8"/>
      <c r="E805" s="8"/>
      <c r="F805" s="9"/>
      <c r="G805" s="10"/>
      <c r="H805" s="10"/>
      <c r="I805" s="10"/>
    </row>
    <row r="806" spans="1:9" ht="14.25" customHeight="1" x14ac:dyDescent="0.25">
      <c r="A806" s="7" t="s">
        <v>3898</v>
      </c>
      <c r="B806" s="8" t="s">
        <v>3899</v>
      </c>
      <c r="C806" s="8" t="s">
        <v>3900</v>
      </c>
      <c r="D806" s="8"/>
      <c r="E806" s="8"/>
      <c r="F806" s="9"/>
      <c r="G806" s="10"/>
      <c r="H806" s="10"/>
      <c r="I806" s="10"/>
    </row>
    <row r="807" spans="1:9" ht="14.25" customHeight="1" x14ac:dyDescent="0.25">
      <c r="A807" s="7" t="s">
        <v>3901</v>
      </c>
      <c r="B807" s="8" t="s">
        <v>3902</v>
      </c>
      <c r="C807" s="8" t="s">
        <v>3903</v>
      </c>
      <c r="D807" s="8"/>
      <c r="E807" s="8"/>
      <c r="F807" s="11" t="s">
        <v>3904</v>
      </c>
      <c r="G807" s="10" t="s">
        <v>3905</v>
      </c>
      <c r="H807" s="10" t="s">
        <v>49</v>
      </c>
      <c r="I807" s="10"/>
    </row>
    <row r="808" spans="1:9" ht="14.25" customHeight="1" x14ac:dyDescent="0.25">
      <c r="A808" s="7" t="s">
        <v>3906</v>
      </c>
      <c r="B808" s="8" t="s">
        <v>382</v>
      </c>
      <c r="C808" s="8" t="s">
        <v>3907</v>
      </c>
      <c r="D808" s="8"/>
      <c r="E808" s="8"/>
      <c r="F808" s="11" t="s">
        <v>3908</v>
      </c>
      <c r="G808" s="10"/>
      <c r="H808" s="10"/>
      <c r="I808" s="10"/>
    </row>
    <row r="809" spans="1:9" ht="14.25" customHeight="1" x14ac:dyDescent="0.25">
      <c r="A809" s="7" t="s">
        <v>3909</v>
      </c>
      <c r="B809" s="8" t="s">
        <v>3910</v>
      </c>
      <c r="C809" s="8" t="s">
        <v>3911</v>
      </c>
      <c r="D809" s="8"/>
      <c r="E809" s="8" t="s">
        <v>412</v>
      </c>
      <c r="F809" s="9" t="s">
        <v>3912</v>
      </c>
      <c r="G809" s="10"/>
      <c r="H809" s="10"/>
      <c r="I809" s="10"/>
    </row>
    <row r="810" spans="1:9" ht="14.25" customHeight="1" x14ac:dyDescent="0.25">
      <c r="A810" s="7" t="s">
        <v>3913</v>
      </c>
      <c r="B810" s="8" t="s">
        <v>3914</v>
      </c>
      <c r="C810" s="8" t="s">
        <v>3915</v>
      </c>
      <c r="D810" s="8"/>
      <c r="E810" s="8" t="s">
        <v>412</v>
      </c>
      <c r="F810" s="11" t="s">
        <v>3916</v>
      </c>
      <c r="G810" s="10" t="s">
        <v>3917</v>
      </c>
      <c r="H810" s="10" t="s">
        <v>3918</v>
      </c>
      <c r="I810" s="10"/>
    </row>
    <row r="811" spans="1:9" ht="14.25" customHeight="1" x14ac:dyDescent="0.25">
      <c r="A811" s="7" t="s">
        <v>3919</v>
      </c>
      <c r="B811" s="8" t="s">
        <v>3920</v>
      </c>
      <c r="C811" s="8" t="s">
        <v>3921</v>
      </c>
      <c r="D811" s="8"/>
      <c r="E811" s="8" t="s">
        <v>412</v>
      </c>
      <c r="F811" s="18" t="s">
        <v>3922</v>
      </c>
      <c r="G811" s="10"/>
      <c r="H811" s="10"/>
      <c r="I811" s="10"/>
    </row>
    <row r="812" spans="1:9" ht="14.25" customHeight="1" x14ac:dyDescent="0.25">
      <c r="A812" s="7" t="s">
        <v>3923</v>
      </c>
      <c r="B812" s="8" t="s">
        <v>3877</v>
      </c>
      <c r="C812" s="8" t="s">
        <v>150</v>
      </c>
      <c r="D812" s="8"/>
      <c r="E812" s="8" t="s">
        <v>412</v>
      </c>
      <c r="F812" s="9" t="s">
        <v>3924</v>
      </c>
      <c r="G812" s="10"/>
      <c r="H812" s="10"/>
      <c r="I812" s="10"/>
    </row>
    <row r="813" spans="1:9" ht="14.25" customHeight="1" x14ac:dyDescent="0.25">
      <c r="A813" s="7" t="s">
        <v>3925</v>
      </c>
      <c r="B813" s="8" t="s">
        <v>3926</v>
      </c>
      <c r="C813" s="8" t="s">
        <v>3927</v>
      </c>
      <c r="D813" s="8"/>
      <c r="E813" s="8" t="s">
        <v>412</v>
      </c>
      <c r="F813" s="18" t="s">
        <v>3928</v>
      </c>
      <c r="G813" s="10"/>
      <c r="H813" s="10"/>
      <c r="I813" s="10"/>
    </row>
    <row r="814" spans="1:9" ht="14.25" customHeight="1" x14ac:dyDescent="0.25">
      <c r="A814" s="7" t="s">
        <v>3929</v>
      </c>
      <c r="B814" s="8" t="s">
        <v>3930</v>
      </c>
      <c r="C814" s="8" t="s">
        <v>3931</v>
      </c>
      <c r="D814" s="8"/>
      <c r="E814" s="8" t="s">
        <v>412</v>
      </c>
      <c r="F814" s="9" t="s">
        <v>3932</v>
      </c>
      <c r="G814" s="10"/>
      <c r="H814" s="10"/>
      <c r="I814" s="10"/>
    </row>
    <row r="815" spans="1:9" ht="14.25" customHeight="1" x14ac:dyDescent="0.25">
      <c r="A815" s="7" t="s">
        <v>3933</v>
      </c>
      <c r="B815" s="8" t="s">
        <v>3934</v>
      </c>
      <c r="C815" s="8" t="s">
        <v>371</v>
      </c>
      <c r="D815" s="8"/>
      <c r="E815" s="8" t="s">
        <v>412</v>
      </c>
      <c r="F815" s="13" t="s">
        <v>3935</v>
      </c>
      <c r="G815" s="10"/>
      <c r="H815" s="10"/>
      <c r="I815" s="10"/>
    </row>
    <row r="816" spans="1:9" ht="14.25" customHeight="1" x14ac:dyDescent="0.25">
      <c r="A816" s="7" t="s">
        <v>3721</v>
      </c>
      <c r="B816" s="8" t="s">
        <v>3722</v>
      </c>
      <c r="C816" s="8" t="s">
        <v>3723</v>
      </c>
      <c r="D816" s="8"/>
      <c r="E816" s="8" t="s">
        <v>412</v>
      </c>
      <c r="F816" s="13" t="s">
        <v>3724</v>
      </c>
      <c r="G816" s="10"/>
      <c r="H816" s="10"/>
      <c r="I816" s="10"/>
    </row>
    <row r="817" spans="1:9" ht="14.25" customHeight="1" x14ac:dyDescent="0.25">
      <c r="A817" s="7" t="s">
        <v>432</v>
      </c>
      <c r="B817" s="8" t="s">
        <v>3936</v>
      </c>
      <c r="C817" s="8" t="s">
        <v>433</v>
      </c>
      <c r="D817" s="8"/>
      <c r="E817" s="8" t="s">
        <v>412</v>
      </c>
      <c r="F817" s="13" t="s">
        <v>434</v>
      </c>
      <c r="G817" s="10"/>
      <c r="H817" s="10"/>
      <c r="I817" s="10"/>
    </row>
    <row r="818" spans="1:9" ht="14.25" customHeight="1" x14ac:dyDescent="0.25">
      <c r="A818" s="7" t="s">
        <v>3937</v>
      </c>
      <c r="B818" s="8" t="s">
        <v>3938</v>
      </c>
      <c r="C818" s="8" t="s">
        <v>3939</v>
      </c>
      <c r="D818" s="8"/>
      <c r="E818" s="8" t="s">
        <v>412</v>
      </c>
      <c r="F818" s="13" t="s">
        <v>3940</v>
      </c>
      <c r="G818" s="10"/>
      <c r="H818" s="10"/>
      <c r="I818" s="10"/>
    </row>
    <row r="819" spans="1:9" ht="14.25" customHeight="1" x14ac:dyDescent="0.25">
      <c r="A819" s="7" t="s">
        <v>3941</v>
      </c>
      <c r="B819" s="8" t="s">
        <v>57</v>
      </c>
      <c r="C819" s="8" t="s">
        <v>1995</v>
      </c>
      <c r="D819" s="8"/>
      <c r="E819" s="8" t="s">
        <v>412</v>
      </c>
      <c r="F819" s="13" t="s">
        <v>3942</v>
      </c>
      <c r="G819" s="10"/>
      <c r="H819" s="10"/>
      <c r="I819" s="10"/>
    </row>
    <row r="820" spans="1:9" ht="14.25" customHeight="1" x14ac:dyDescent="0.25">
      <c r="A820" s="7" t="s">
        <v>3943</v>
      </c>
      <c r="B820" s="8" t="s">
        <v>3944</v>
      </c>
      <c r="C820" s="8" t="s">
        <v>3945</v>
      </c>
      <c r="D820" s="8"/>
      <c r="E820" s="8" t="s">
        <v>412</v>
      </c>
      <c r="F820" s="8"/>
      <c r="G820" s="10"/>
      <c r="H820" s="10"/>
      <c r="I820" s="10"/>
    </row>
    <row r="821" spans="1:9" ht="14.25" customHeight="1" x14ac:dyDescent="0.25">
      <c r="A821" s="7" t="s">
        <v>3946</v>
      </c>
      <c r="B821" s="8" t="s">
        <v>3947</v>
      </c>
      <c r="C821" s="8" t="s">
        <v>3948</v>
      </c>
      <c r="D821" s="8"/>
      <c r="E821" s="8" t="s">
        <v>412</v>
      </c>
      <c r="F821" s="8"/>
      <c r="G821" s="10"/>
      <c r="H821" s="10"/>
      <c r="I821" s="10"/>
    </row>
    <row r="822" spans="1:9" ht="14.25" customHeight="1" x14ac:dyDescent="0.25">
      <c r="A822" s="7" t="s">
        <v>3949</v>
      </c>
      <c r="B822" s="8" t="s">
        <v>2230</v>
      </c>
      <c r="C822" s="8" t="s">
        <v>3950</v>
      </c>
      <c r="D822" s="8"/>
      <c r="E822" s="8" t="s">
        <v>412</v>
      </c>
      <c r="F822" s="13" t="s">
        <v>3951</v>
      </c>
      <c r="G822" s="10"/>
      <c r="H822" s="10"/>
      <c r="I822" s="10"/>
    </row>
    <row r="823" spans="1:9" ht="14.25" customHeight="1" x14ac:dyDescent="0.25">
      <c r="A823" s="7" t="s">
        <v>3952</v>
      </c>
      <c r="B823" s="8" t="s">
        <v>3953</v>
      </c>
      <c r="C823" s="8" t="s">
        <v>3954</v>
      </c>
      <c r="D823" s="8"/>
      <c r="E823" s="8" t="s">
        <v>3865</v>
      </c>
      <c r="F823" s="8"/>
      <c r="G823" s="10"/>
      <c r="H823" s="10"/>
      <c r="I823" s="10"/>
    </row>
    <row r="824" spans="1:9" ht="14.25" customHeight="1" x14ac:dyDescent="0.25">
      <c r="A824" s="7" t="s">
        <v>3955</v>
      </c>
      <c r="B824" s="8" t="s">
        <v>3956</v>
      </c>
      <c r="C824" s="8" t="s">
        <v>3957</v>
      </c>
      <c r="D824" s="8"/>
      <c r="E824" s="8" t="s">
        <v>412</v>
      </c>
      <c r="F824" s="13" t="s">
        <v>3958</v>
      </c>
      <c r="G824" s="10"/>
      <c r="H824" s="10"/>
      <c r="I824" s="10"/>
    </row>
    <row r="825" spans="1:9" ht="14.25" customHeight="1" x14ac:dyDescent="0.25">
      <c r="A825" s="7" t="s">
        <v>3959</v>
      </c>
      <c r="B825" s="8" t="s">
        <v>3960</v>
      </c>
      <c r="C825" s="8" t="s">
        <v>3961</v>
      </c>
      <c r="D825" s="8"/>
      <c r="E825" s="8" t="s">
        <v>412</v>
      </c>
      <c r="F825" s="13" t="s">
        <v>3962</v>
      </c>
      <c r="G825" s="10"/>
      <c r="H825" s="10"/>
      <c r="I825" s="10"/>
    </row>
    <row r="826" spans="1:9" ht="14.25" customHeight="1" x14ac:dyDescent="0.25">
      <c r="A826" s="7" t="s">
        <v>3963</v>
      </c>
      <c r="B826" s="8" t="s">
        <v>910</v>
      </c>
      <c r="C826" s="8" t="s">
        <v>3860</v>
      </c>
      <c r="D826" s="8"/>
      <c r="E826" s="8" t="s">
        <v>412</v>
      </c>
      <c r="F826" s="13" t="s">
        <v>3964</v>
      </c>
      <c r="G826" s="10"/>
      <c r="H826" s="10"/>
      <c r="I826" s="10"/>
    </row>
    <row r="827" spans="1:9" ht="14.25" customHeight="1" x14ac:dyDescent="0.25">
      <c r="A827" s="7" t="s">
        <v>3965</v>
      </c>
      <c r="B827" s="8" t="s">
        <v>3966</v>
      </c>
      <c r="C827" s="8" t="s">
        <v>2085</v>
      </c>
      <c r="D827" s="8"/>
      <c r="E827" s="8" t="s">
        <v>412</v>
      </c>
      <c r="F827" s="8"/>
      <c r="G827" s="10"/>
      <c r="H827" s="10"/>
      <c r="I827" s="10"/>
    </row>
    <row r="828" spans="1:9" ht="14.25" customHeight="1" x14ac:dyDescent="0.25">
      <c r="A828" s="7" t="s">
        <v>3967</v>
      </c>
      <c r="B828" s="8" t="s">
        <v>3968</v>
      </c>
      <c r="C828" s="8" t="s">
        <v>3969</v>
      </c>
      <c r="D828" s="8"/>
      <c r="E828" s="8" t="s">
        <v>412</v>
      </c>
      <c r="F828" s="8"/>
      <c r="G828" s="10"/>
      <c r="H828" s="10"/>
      <c r="I828" s="10"/>
    </row>
    <row r="829" spans="1:9" ht="14.25" customHeight="1" x14ac:dyDescent="0.25">
      <c r="A829" s="7" t="s">
        <v>3970</v>
      </c>
      <c r="B829" s="8" t="s">
        <v>1717</v>
      </c>
      <c r="C829" s="8" t="s">
        <v>3971</v>
      </c>
      <c r="D829" s="8"/>
      <c r="E829" s="8" t="s">
        <v>3890</v>
      </c>
      <c r="F829" s="13" t="s">
        <v>3972</v>
      </c>
      <c r="G829" s="10"/>
      <c r="H829" s="10"/>
      <c r="I829" s="10"/>
    </row>
    <row r="830" spans="1:9" ht="14.25" customHeight="1" x14ac:dyDescent="0.25">
      <c r="A830" s="7" t="s">
        <v>3973</v>
      </c>
      <c r="B830" s="8" t="s">
        <v>3974</v>
      </c>
      <c r="C830" s="8" t="s">
        <v>3975</v>
      </c>
      <c r="D830" s="8"/>
      <c r="E830" s="8" t="s">
        <v>3890</v>
      </c>
      <c r="F830" s="8"/>
      <c r="G830" s="10"/>
      <c r="H830" s="10"/>
      <c r="I830" s="10"/>
    </row>
    <row r="831" spans="1:9" ht="14.25" customHeight="1" x14ac:dyDescent="0.25">
      <c r="A831" s="7" t="s">
        <v>3976</v>
      </c>
      <c r="B831" s="8" t="s">
        <v>3977</v>
      </c>
      <c r="C831" s="8" t="s">
        <v>3978</v>
      </c>
      <c r="D831" s="8"/>
      <c r="E831" s="8" t="s">
        <v>412</v>
      </c>
      <c r="F831" s="13" t="s">
        <v>3979</v>
      </c>
      <c r="G831" s="10"/>
      <c r="H831" s="10"/>
      <c r="I831" s="10"/>
    </row>
    <row r="832" spans="1:9" ht="14.25" customHeight="1" x14ac:dyDescent="0.25">
      <c r="A832" s="7" t="s">
        <v>3980</v>
      </c>
      <c r="B832" s="8" t="s">
        <v>3121</v>
      </c>
      <c r="C832" s="8" t="s">
        <v>3911</v>
      </c>
      <c r="D832" s="8"/>
      <c r="E832" s="8" t="s">
        <v>412</v>
      </c>
      <c r="F832" s="13" t="s">
        <v>3981</v>
      </c>
      <c r="G832" s="10"/>
      <c r="H832" s="10"/>
      <c r="I832" s="10"/>
    </row>
    <row r="833" spans="1:9" ht="14.25" customHeight="1" x14ac:dyDescent="0.25">
      <c r="A833" s="7" t="s">
        <v>3982</v>
      </c>
      <c r="B833" s="8" t="s">
        <v>3983</v>
      </c>
      <c r="C833" s="8" t="s">
        <v>3984</v>
      </c>
      <c r="D833" s="8"/>
      <c r="E833" s="8" t="s">
        <v>412</v>
      </c>
      <c r="F833" s="8"/>
      <c r="G833" s="10"/>
      <c r="H833" s="10"/>
      <c r="I833" s="10"/>
    </row>
    <row r="834" spans="1:9" ht="14.25" customHeight="1" x14ac:dyDescent="0.25">
      <c r="A834" s="7" t="s">
        <v>3867</v>
      </c>
      <c r="B834" s="8" t="s">
        <v>3985</v>
      </c>
      <c r="C834" s="8" t="s">
        <v>3869</v>
      </c>
      <c r="D834" s="8"/>
      <c r="E834" s="8" t="s">
        <v>412</v>
      </c>
      <c r="F834" s="8"/>
      <c r="G834" s="10"/>
      <c r="H834" s="10"/>
      <c r="I834" s="10"/>
    </row>
    <row r="835" spans="1:9" ht="14.25" customHeight="1" x14ac:dyDescent="0.25">
      <c r="A835" s="7" t="s">
        <v>3901</v>
      </c>
      <c r="B835" s="8" t="s">
        <v>3986</v>
      </c>
      <c r="C835" s="8" t="s">
        <v>3987</v>
      </c>
      <c r="D835" s="8"/>
      <c r="E835" s="8" t="s">
        <v>3865</v>
      </c>
      <c r="F835" s="13" t="s">
        <v>3988</v>
      </c>
      <c r="G835" s="10"/>
      <c r="H835" s="10"/>
      <c r="I835" s="10"/>
    </row>
    <row r="836" spans="1:9" ht="14.25" customHeight="1" x14ac:dyDescent="0.25">
      <c r="A836" s="7" t="s">
        <v>3906</v>
      </c>
      <c r="B836" s="8" t="s">
        <v>3989</v>
      </c>
      <c r="C836" s="8" t="s">
        <v>3907</v>
      </c>
      <c r="D836" s="8"/>
      <c r="E836" s="8" t="s">
        <v>412</v>
      </c>
      <c r="F836" s="13" t="s">
        <v>3908</v>
      </c>
      <c r="G836" s="10"/>
      <c r="H836" s="10"/>
      <c r="I836" s="10"/>
    </row>
    <row r="837" spans="1:9" ht="14.25" customHeight="1" x14ac:dyDescent="0.25">
      <c r="A837" s="7" t="s">
        <v>3990</v>
      </c>
      <c r="B837" s="8" t="s">
        <v>3991</v>
      </c>
      <c r="C837" s="8" t="s">
        <v>3992</v>
      </c>
      <c r="D837" s="8"/>
      <c r="E837" s="8" t="s">
        <v>412</v>
      </c>
      <c r="F837" s="13" t="s">
        <v>3993</v>
      </c>
      <c r="G837" s="10"/>
      <c r="H837" s="10"/>
      <c r="I837" s="10"/>
    </row>
    <row r="838" spans="1:9" ht="14.25" customHeight="1" x14ac:dyDescent="0.25">
      <c r="A838" s="7" t="s">
        <v>3994</v>
      </c>
      <c r="B838" s="8" t="s">
        <v>3995</v>
      </c>
      <c r="C838" s="8" t="s">
        <v>3996</v>
      </c>
      <c r="D838" s="8"/>
      <c r="E838" s="8" t="s">
        <v>412</v>
      </c>
      <c r="F838" s="11" t="s">
        <v>3997</v>
      </c>
      <c r="G838" s="10" t="s">
        <v>3998</v>
      </c>
      <c r="H838" s="10" t="s">
        <v>37</v>
      </c>
      <c r="I838" s="10"/>
    </row>
    <row r="839" spans="1:9" ht="14.25" customHeight="1" x14ac:dyDescent="0.25">
      <c r="A839" s="7" t="s">
        <v>3999</v>
      </c>
      <c r="B839" s="8" t="s">
        <v>4000</v>
      </c>
      <c r="C839" s="8" t="s">
        <v>4001</v>
      </c>
      <c r="D839" s="8"/>
      <c r="E839" s="8" t="s">
        <v>412</v>
      </c>
      <c r="F839" s="13" t="s">
        <v>4002</v>
      </c>
      <c r="G839" s="10"/>
      <c r="H839" s="10"/>
      <c r="I839" s="10"/>
    </row>
    <row r="840" spans="1:9" ht="14.25" customHeight="1" x14ac:dyDescent="0.25">
      <c r="A840" s="7" t="s">
        <v>4003</v>
      </c>
      <c r="B840" s="8" t="s">
        <v>602</v>
      </c>
      <c r="C840" s="8" t="s">
        <v>4004</v>
      </c>
      <c r="D840" s="8"/>
      <c r="E840" s="8" t="s">
        <v>412</v>
      </c>
      <c r="F840" s="13" t="s">
        <v>4005</v>
      </c>
      <c r="G840" s="10"/>
      <c r="H840" s="10"/>
      <c r="I840" s="10"/>
    </row>
    <row r="841" spans="1:9" ht="14.25" customHeight="1" x14ac:dyDescent="0.25">
      <c r="A841" s="7" t="s">
        <v>2852</v>
      </c>
      <c r="B841" s="8" t="s">
        <v>4006</v>
      </c>
      <c r="C841" s="8" t="s">
        <v>2784</v>
      </c>
      <c r="D841" s="8"/>
      <c r="E841" s="8" t="s">
        <v>412</v>
      </c>
      <c r="F841" s="13" t="s">
        <v>2853</v>
      </c>
      <c r="G841" s="10"/>
      <c r="H841" s="10"/>
      <c r="I841" s="10"/>
    </row>
    <row r="842" spans="1:9" ht="14.25" customHeight="1" x14ac:dyDescent="0.25">
      <c r="A842" s="7" t="s">
        <v>4007</v>
      </c>
      <c r="B842" s="8" t="s">
        <v>4008</v>
      </c>
      <c r="C842" s="8" t="s">
        <v>3833</v>
      </c>
      <c r="D842" s="8"/>
      <c r="E842" s="8" t="s">
        <v>412</v>
      </c>
      <c r="F842" s="8"/>
      <c r="G842" s="10"/>
      <c r="H842" s="10"/>
      <c r="I842" s="10"/>
    </row>
    <row r="843" spans="1:9" ht="14.25" customHeight="1" x14ac:dyDescent="0.25">
      <c r="A843" s="7" t="s">
        <v>4009</v>
      </c>
      <c r="B843" s="8" t="s">
        <v>4010</v>
      </c>
      <c r="C843" s="8" t="s">
        <v>4011</v>
      </c>
      <c r="D843" s="8"/>
      <c r="E843" s="8" t="s">
        <v>412</v>
      </c>
      <c r="F843" s="13" t="s">
        <v>4012</v>
      </c>
      <c r="G843" s="10"/>
      <c r="H843" s="10"/>
      <c r="I843" s="10"/>
    </row>
    <row r="844" spans="1:9" ht="14.25" customHeight="1" x14ac:dyDescent="0.25">
      <c r="A844" s="7" t="s">
        <v>4013</v>
      </c>
      <c r="B844" s="8" t="s">
        <v>2601</v>
      </c>
      <c r="C844" s="8" t="s">
        <v>4011</v>
      </c>
      <c r="D844" s="8"/>
      <c r="E844" s="8" t="s">
        <v>412</v>
      </c>
      <c r="F844" s="8"/>
      <c r="G844" s="10"/>
      <c r="H844" s="10"/>
      <c r="I844" s="10"/>
    </row>
    <row r="845" spans="1:9" ht="14.25" customHeight="1" x14ac:dyDescent="0.25">
      <c r="A845" s="7" t="s">
        <v>4014</v>
      </c>
      <c r="B845" s="8" t="s">
        <v>1375</v>
      </c>
      <c r="C845" s="8" t="s">
        <v>491</v>
      </c>
      <c r="D845" s="8"/>
      <c r="E845" s="8" t="s">
        <v>3865</v>
      </c>
      <c r="F845" s="8"/>
      <c r="G845" s="10"/>
      <c r="H845" s="10"/>
      <c r="I845" s="10"/>
    </row>
    <row r="846" spans="1:9" ht="14.25" customHeight="1" x14ac:dyDescent="0.25">
      <c r="A846" s="7" t="s">
        <v>4015</v>
      </c>
      <c r="B846" s="8" t="s">
        <v>2260</v>
      </c>
      <c r="C846" s="8" t="s">
        <v>4016</v>
      </c>
      <c r="D846" s="8" t="s">
        <v>411</v>
      </c>
      <c r="E846" s="8" t="s">
        <v>412</v>
      </c>
      <c r="F846" s="8" t="s">
        <v>4017</v>
      </c>
      <c r="G846" s="10"/>
      <c r="H846" s="10"/>
      <c r="I846" s="10"/>
    </row>
    <row r="847" spans="1:9" ht="14.25" customHeight="1" x14ac:dyDescent="0.25">
      <c r="A847" s="7" t="s">
        <v>4018</v>
      </c>
      <c r="B847" s="8" t="s">
        <v>4019</v>
      </c>
      <c r="C847" s="8" t="s">
        <v>4020</v>
      </c>
      <c r="D847" s="8"/>
      <c r="E847" s="8" t="s">
        <v>4021</v>
      </c>
      <c r="F847" s="13" t="s">
        <v>4022</v>
      </c>
      <c r="G847" s="10"/>
      <c r="H847" s="10"/>
      <c r="I847" s="10"/>
    </row>
    <row r="848" spans="1:9" ht="14.25" customHeight="1" x14ac:dyDescent="0.25">
      <c r="A848" s="7" t="s">
        <v>4023</v>
      </c>
      <c r="B848" s="8" t="s">
        <v>4006</v>
      </c>
      <c r="C848" s="8" t="s">
        <v>607</v>
      </c>
      <c r="D848" s="8" t="s">
        <v>411</v>
      </c>
      <c r="E848" s="8" t="s">
        <v>412</v>
      </c>
      <c r="F848" s="11" t="s">
        <v>4024</v>
      </c>
      <c r="G848" s="10" t="s">
        <v>4025</v>
      </c>
      <c r="H848" s="10" t="s">
        <v>4026</v>
      </c>
      <c r="I848" s="10"/>
    </row>
    <row r="849" spans="1:9" ht="14.25" customHeight="1" x14ac:dyDescent="0.25">
      <c r="A849" s="7" t="s">
        <v>4027</v>
      </c>
      <c r="B849" s="8" t="s">
        <v>4028</v>
      </c>
      <c r="C849" s="8" t="s">
        <v>4029</v>
      </c>
      <c r="D849" s="8" t="s">
        <v>3163</v>
      </c>
      <c r="E849" s="8" t="s">
        <v>412</v>
      </c>
      <c r="F849" s="8"/>
      <c r="G849" s="10"/>
      <c r="H849" s="10"/>
      <c r="I849" s="10"/>
    </row>
    <row r="850" spans="1:9" ht="14.25" customHeight="1" x14ac:dyDescent="0.25">
      <c r="A850" s="7" t="s">
        <v>3732</v>
      </c>
      <c r="B850" s="8" t="s">
        <v>3733</v>
      </c>
      <c r="C850" s="8" t="s">
        <v>4030</v>
      </c>
      <c r="D850" s="8" t="s">
        <v>411</v>
      </c>
      <c r="E850" s="8" t="s">
        <v>3749</v>
      </c>
      <c r="F850" s="8"/>
      <c r="G850" s="10"/>
      <c r="H850" s="10"/>
      <c r="I850" s="10"/>
    </row>
    <row r="851" spans="1:9" ht="14.25" customHeight="1" x14ac:dyDescent="0.25">
      <c r="A851" s="7" t="s">
        <v>3886</v>
      </c>
      <c r="B851" s="8" t="s">
        <v>3887</v>
      </c>
      <c r="C851" s="8" t="s">
        <v>4031</v>
      </c>
      <c r="D851" s="8" t="s">
        <v>411</v>
      </c>
      <c r="E851" s="8" t="s">
        <v>412</v>
      </c>
      <c r="F851" s="8"/>
      <c r="G851" s="10"/>
      <c r="H851" s="10"/>
      <c r="I851" s="10"/>
    </row>
    <row r="852" spans="1:9" ht="14.25" customHeight="1" x14ac:dyDescent="0.25">
      <c r="A852" s="7" t="s">
        <v>4032</v>
      </c>
      <c r="B852" s="8" t="s">
        <v>4033</v>
      </c>
      <c r="C852" s="8" t="s">
        <v>4034</v>
      </c>
      <c r="D852" s="8" t="s">
        <v>3163</v>
      </c>
      <c r="E852" s="8" t="s">
        <v>412</v>
      </c>
      <c r="F852" s="13" t="s">
        <v>4035</v>
      </c>
      <c r="G852" s="10"/>
      <c r="H852" s="10"/>
      <c r="I852" s="10"/>
    </row>
    <row r="853" spans="1:9" ht="14.25" customHeight="1" x14ac:dyDescent="0.25">
      <c r="A853" s="7" t="s">
        <v>4036</v>
      </c>
      <c r="B853" s="8" t="s">
        <v>45</v>
      </c>
      <c r="C853" s="8" t="s">
        <v>999</v>
      </c>
      <c r="D853" s="8" t="s">
        <v>411</v>
      </c>
      <c r="E853" s="8" t="s">
        <v>412</v>
      </c>
      <c r="F853" s="11" t="s">
        <v>4037</v>
      </c>
      <c r="G853" s="10" t="s">
        <v>4038</v>
      </c>
      <c r="H853" s="10" t="s">
        <v>72</v>
      </c>
      <c r="I853" s="10" t="s">
        <v>4039</v>
      </c>
    </row>
    <row r="854" spans="1:9" ht="14.25" customHeight="1" x14ac:dyDescent="0.25">
      <c r="A854" s="7" t="s">
        <v>4040</v>
      </c>
      <c r="B854" s="8" t="s">
        <v>4041</v>
      </c>
      <c r="C854" s="8" t="s">
        <v>999</v>
      </c>
      <c r="D854" s="8" t="s">
        <v>411</v>
      </c>
      <c r="E854" s="8" t="s">
        <v>412</v>
      </c>
      <c r="F854" s="11" t="s">
        <v>4042</v>
      </c>
      <c r="G854" s="10" t="s">
        <v>4043</v>
      </c>
      <c r="H854" s="10" t="s">
        <v>2212</v>
      </c>
      <c r="I854" s="10" t="s">
        <v>4039</v>
      </c>
    </row>
    <row r="855" spans="1:9" ht="14.25" customHeight="1" x14ac:dyDescent="0.25">
      <c r="A855" s="7" t="s">
        <v>4044</v>
      </c>
      <c r="B855" s="8" t="s">
        <v>4045</v>
      </c>
      <c r="C855" s="8" t="s">
        <v>4046</v>
      </c>
      <c r="D855" s="8" t="s">
        <v>411</v>
      </c>
      <c r="E855" s="8" t="s">
        <v>412</v>
      </c>
      <c r="F855" s="13" t="s">
        <v>4047</v>
      </c>
      <c r="G855" s="10"/>
      <c r="H855" s="10"/>
      <c r="I855" s="10"/>
    </row>
    <row r="856" spans="1:9" ht="14.25" customHeight="1" x14ac:dyDescent="0.25">
      <c r="A856" s="7" t="s">
        <v>4048</v>
      </c>
      <c r="B856" s="8" t="s">
        <v>4049</v>
      </c>
      <c r="C856" s="8" t="s">
        <v>3931</v>
      </c>
      <c r="D856" s="8" t="s">
        <v>3163</v>
      </c>
      <c r="E856" s="8" t="s">
        <v>412</v>
      </c>
      <c r="F856" s="8"/>
      <c r="G856" s="10"/>
      <c r="H856" s="10"/>
      <c r="I856" s="10"/>
    </row>
    <row r="857" spans="1:9" ht="14.25" customHeight="1" x14ac:dyDescent="0.25">
      <c r="A857" s="7" t="s">
        <v>4050</v>
      </c>
      <c r="B857" s="8" t="s">
        <v>1150</v>
      </c>
      <c r="C857" s="8" t="s">
        <v>4051</v>
      </c>
      <c r="D857" s="8" t="s">
        <v>411</v>
      </c>
      <c r="E857" s="8" t="s">
        <v>412</v>
      </c>
      <c r="F857" s="8"/>
      <c r="G857" s="10"/>
      <c r="H857" s="10"/>
      <c r="I857" s="10"/>
    </row>
    <row r="858" spans="1:9" ht="14.25" customHeight="1" x14ac:dyDescent="0.25">
      <c r="A858" s="7" t="s">
        <v>4052</v>
      </c>
      <c r="B858" s="8" t="s">
        <v>4053</v>
      </c>
      <c r="C858" s="8" t="s">
        <v>4054</v>
      </c>
      <c r="D858" s="8" t="s">
        <v>3163</v>
      </c>
      <c r="E858" s="8" t="s">
        <v>3865</v>
      </c>
      <c r="F858" s="8"/>
      <c r="G858" s="10"/>
      <c r="H858" s="10"/>
      <c r="I858" s="10"/>
    </row>
    <row r="859" spans="1:9" ht="14.25" customHeight="1" x14ac:dyDescent="0.25">
      <c r="A859" s="7" t="s">
        <v>4055</v>
      </c>
      <c r="B859" s="8" t="s">
        <v>2230</v>
      </c>
      <c r="C859" s="8" t="s">
        <v>4056</v>
      </c>
      <c r="D859" s="8" t="s">
        <v>411</v>
      </c>
      <c r="E859" s="8" t="s">
        <v>412</v>
      </c>
      <c r="F859" s="8" t="s">
        <v>4057</v>
      </c>
      <c r="G859" s="10" t="s">
        <v>4058</v>
      </c>
      <c r="H859" s="10" t="s">
        <v>4059</v>
      </c>
      <c r="I859" s="10"/>
    </row>
    <row r="860" spans="1:9" ht="14.25" customHeight="1" x14ac:dyDescent="0.25">
      <c r="A860" s="7" t="s">
        <v>4060</v>
      </c>
      <c r="B860" s="8" t="s">
        <v>3788</v>
      </c>
      <c r="C860" s="8" t="s">
        <v>4061</v>
      </c>
      <c r="D860" s="8" t="s">
        <v>3163</v>
      </c>
      <c r="E860" s="8" t="s">
        <v>412</v>
      </c>
      <c r="F860" s="20" t="s">
        <v>4062</v>
      </c>
      <c r="G860" s="10"/>
      <c r="H860" s="10"/>
      <c r="I860" s="10"/>
    </row>
    <row r="861" spans="1:9" ht="14.25" customHeight="1" x14ac:dyDescent="0.25">
      <c r="A861" s="7" t="s">
        <v>4063</v>
      </c>
      <c r="B861" s="8" t="s">
        <v>4064</v>
      </c>
      <c r="C861" s="8" t="s">
        <v>4065</v>
      </c>
      <c r="D861" s="8" t="s">
        <v>3163</v>
      </c>
      <c r="E861" s="8" t="s">
        <v>3865</v>
      </c>
      <c r="F861" s="20" t="s">
        <v>4066</v>
      </c>
      <c r="G861" s="10"/>
      <c r="H861" s="10"/>
      <c r="I861" s="10"/>
    </row>
    <row r="862" spans="1:9" ht="14.25" customHeight="1" x14ac:dyDescent="0.25">
      <c r="A862" s="7" t="s">
        <v>4067</v>
      </c>
      <c r="B862" s="8" t="s">
        <v>4068</v>
      </c>
      <c r="C862" s="8" t="s">
        <v>4069</v>
      </c>
      <c r="D862" s="8" t="s">
        <v>3163</v>
      </c>
      <c r="E862" s="8" t="s">
        <v>412</v>
      </c>
      <c r="F862" s="20" t="s">
        <v>4070</v>
      </c>
      <c r="G862" s="10" t="s">
        <v>4071</v>
      </c>
      <c r="H862" s="10" t="s">
        <v>49</v>
      </c>
      <c r="I862" s="10"/>
    </row>
    <row r="863" spans="1:9" ht="14.25" customHeight="1" x14ac:dyDescent="0.25">
      <c r="A863" s="21" t="s">
        <v>4072</v>
      </c>
      <c r="B863" s="8" t="s">
        <v>4073</v>
      </c>
      <c r="C863" s="8" t="s">
        <v>4074</v>
      </c>
      <c r="D863" s="8" t="s">
        <v>411</v>
      </c>
      <c r="E863" s="8" t="s">
        <v>412</v>
      </c>
      <c r="F863" s="13" t="s">
        <v>4075</v>
      </c>
      <c r="G863" s="10" t="s">
        <v>4076</v>
      </c>
      <c r="H863" s="10" t="s">
        <v>4077</v>
      </c>
      <c r="I863" s="10"/>
    </row>
    <row r="864" spans="1:9" ht="14.25" customHeight="1" x14ac:dyDescent="0.25">
      <c r="A864" s="21" t="s">
        <v>4078</v>
      </c>
      <c r="B864" s="8" t="s">
        <v>4079</v>
      </c>
      <c r="C864" s="8" t="s">
        <v>4080</v>
      </c>
      <c r="D864" s="8" t="s">
        <v>3163</v>
      </c>
      <c r="E864" s="8" t="s">
        <v>412</v>
      </c>
      <c r="F864" s="8"/>
      <c r="G864" s="10"/>
      <c r="H864" s="10"/>
      <c r="I864" s="10"/>
    </row>
    <row r="865" spans="1:9" ht="14.25" customHeight="1" x14ac:dyDescent="0.25">
      <c r="A865" s="7" t="s">
        <v>4081</v>
      </c>
      <c r="B865" s="8" t="s">
        <v>4082</v>
      </c>
      <c r="C865" s="8" t="s">
        <v>4083</v>
      </c>
      <c r="D865" s="8" t="s">
        <v>3163</v>
      </c>
      <c r="E865" s="8" t="s">
        <v>412</v>
      </c>
      <c r="F865" s="8"/>
      <c r="G865" s="10"/>
      <c r="H865" s="10"/>
      <c r="I865" s="10"/>
    </row>
    <row r="866" spans="1:9" ht="14.25" customHeight="1" x14ac:dyDescent="0.25">
      <c r="A866" s="19" t="s">
        <v>4084</v>
      </c>
      <c r="B866" s="8" t="s">
        <v>2365</v>
      </c>
      <c r="C866" s="8" t="s">
        <v>4085</v>
      </c>
      <c r="D866" s="8" t="s">
        <v>3163</v>
      </c>
      <c r="E866" s="8" t="s">
        <v>412</v>
      </c>
      <c r="F866" s="8" t="s">
        <v>4086</v>
      </c>
      <c r="G866" s="10" t="s">
        <v>4087</v>
      </c>
      <c r="H866" s="10" t="s">
        <v>92</v>
      </c>
      <c r="I866" s="10" t="s">
        <v>3756</v>
      </c>
    </row>
    <row r="867" spans="1:9" ht="14.25" customHeight="1" x14ac:dyDescent="0.25">
      <c r="A867" s="7" t="s">
        <v>4088</v>
      </c>
      <c r="B867" s="8" t="s">
        <v>4089</v>
      </c>
      <c r="C867" s="8" t="s">
        <v>4090</v>
      </c>
      <c r="D867" s="8" t="s">
        <v>411</v>
      </c>
      <c r="E867" s="8" t="s">
        <v>412</v>
      </c>
      <c r="F867" s="8"/>
      <c r="G867" s="10"/>
      <c r="H867" s="10"/>
      <c r="I867" s="10"/>
    </row>
    <row r="868" spans="1:9" ht="14.25" customHeight="1" x14ac:dyDescent="0.25">
      <c r="A868" s="19" t="s">
        <v>4091</v>
      </c>
      <c r="B868" s="8" t="s">
        <v>4092</v>
      </c>
      <c r="C868" s="8" t="s">
        <v>4093</v>
      </c>
      <c r="D868" s="8" t="s">
        <v>411</v>
      </c>
      <c r="E868" s="8" t="s">
        <v>412</v>
      </c>
      <c r="F868" s="8"/>
      <c r="G868" s="10"/>
      <c r="H868" s="10"/>
      <c r="I868" s="10"/>
    </row>
    <row r="869" spans="1:9" ht="14.25" customHeight="1" x14ac:dyDescent="0.25">
      <c r="A869" s="7" t="s">
        <v>4094</v>
      </c>
      <c r="B869" s="8" t="s">
        <v>4095</v>
      </c>
      <c r="C869" s="8" t="s">
        <v>1358</v>
      </c>
      <c r="D869" s="8" t="s">
        <v>411</v>
      </c>
      <c r="E869" s="8" t="s">
        <v>412</v>
      </c>
      <c r="F869" s="9" t="s">
        <v>4096</v>
      </c>
      <c r="G869" s="10"/>
      <c r="H869" s="10"/>
      <c r="I869" s="10"/>
    </row>
    <row r="870" spans="1:9" ht="14.25" customHeight="1" x14ac:dyDescent="0.25">
      <c r="A870" s="7" t="s">
        <v>4097</v>
      </c>
      <c r="B870" s="8" t="s">
        <v>4098</v>
      </c>
      <c r="C870" s="8" t="s">
        <v>1358</v>
      </c>
      <c r="D870" s="8" t="s">
        <v>411</v>
      </c>
      <c r="E870" s="8" t="s">
        <v>412</v>
      </c>
      <c r="F870" s="13" t="s">
        <v>4099</v>
      </c>
      <c r="G870" s="10"/>
      <c r="H870" s="10"/>
      <c r="I870" s="10"/>
    </row>
    <row r="871" spans="1:9" ht="14.25" customHeight="1" x14ac:dyDescent="0.25">
      <c r="A871" s="7" t="s">
        <v>4100</v>
      </c>
      <c r="B871" s="8" t="s">
        <v>4101</v>
      </c>
      <c r="C871" s="8" t="s">
        <v>4102</v>
      </c>
      <c r="D871" s="8" t="s">
        <v>411</v>
      </c>
      <c r="E871" s="8" t="s">
        <v>412</v>
      </c>
      <c r="F871" s="8"/>
      <c r="G871" s="10"/>
      <c r="H871" s="10"/>
      <c r="I871" s="10"/>
    </row>
    <row r="872" spans="1:9" ht="14.25" customHeight="1" x14ac:dyDescent="0.25">
      <c r="A872" s="7" t="s">
        <v>4103</v>
      </c>
      <c r="B872" s="8" t="s">
        <v>4104</v>
      </c>
      <c r="C872" s="8" t="s">
        <v>4105</v>
      </c>
      <c r="D872" s="8" t="s">
        <v>3163</v>
      </c>
      <c r="E872" s="8" t="s">
        <v>3865</v>
      </c>
      <c r="F872" s="13" t="s">
        <v>4106</v>
      </c>
      <c r="G872" s="10"/>
      <c r="H872" s="10"/>
      <c r="I872" s="10"/>
    </row>
    <row r="873" spans="1:9" ht="14.25" customHeight="1" x14ac:dyDescent="0.25">
      <c r="A873" s="7" t="s">
        <v>4107</v>
      </c>
      <c r="B873" s="8" t="s">
        <v>4108</v>
      </c>
      <c r="C873" s="8" t="s">
        <v>4109</v>
      </c>
      <c r="D873" s="8" t="s">
        <v>3163</v>
      </c>
      <c r="E873" s="8" t="s">
        <v>3890</v>
      </c>
      <c r="F873" s="13" t="s">
        <v>4110</v>
      </c>
      <c r="G873" s="10"/>
      <c r="H873" s="10"/>
      <c r="I873" s="10"/>
    </row>
    <row r="874" spans="1:9" ht="14.25" customHeight="1" x14ac:dyDescent="0.25">
      <c r="A874" s="7" t="s">
        <v>4111</v>
      </c>
      <c r="B874" s="8" t="s">
        <v>2382</v>
      </c>
      <c r="C874" s="8" t="s">
        <v>4112</v>
      </c>
      <c r="D874" s="8" t="s">
        <v>411</v>
      </c>
      <c r="E874" s="8" t="s">
        <v>3890</v>
      </c>
      <c r="F874" s="8"/>
      <c r="G874" s="10"/>
      <c r="H874" s="10"/>
      <c r="I874" s="10"/>
    </row>
    <row r="875" spans="1:9" ht="14.25" customHeight="1" x14ac:dyDescent="0.25">
      <c r="A875" s="7" t="s">
        <v>4113</v>
      </c>
      <c r="B875" s="8" t="s">
        <v>3058</v>
      </c>
      <c r="C875" s="8" t="s">
        <v>4114</v>
      </c>
      <c r="D875" s="8" t="s">
        <v>411</v>
      </c>
      <c r="E875" s="8" t="s">
        <v>412</v>
      </c>
      <c r="F875" s="9" t="s">
        <v>4115</v>
      </c>
      <c r="G875" s="10" t="s">
        <v>4116</v>
      </c>
      <c r="H875" s="10" t="s">
        <v>4117</v>
      </c>
      <c r="I875" s="10"/>
    </row>
    <row r="876" spans="1:9" ht="14.25" customHeight="1" x14ac:dyDescent="0.25">
      <c r="A876" s="7" t="s">
        <v>4118</v>
      </c>
      <c r="B876" s="8" t="s">
        <v>4119</v>
      </c>
      <c r="C876" s="8" t="s">
        <v>4120</v>
      </c>
      <c r="D876" s="8" t="s">
        <v>411</v>
      </c>
      <c r="E876" s="8" t="s">
        <v>3865</v>
      </c>
      <c r="F876" s="13" t="s">
        <v>4121</v>
      </c>
      <c r="G876" s="10"/>
      <c r="H876" s="10"/>
      <c r="I876" s="10"/>
    </row>
    <row r="877" spans="1:9" ht="14.25" customHeight="1" x14ac:dyDescent="0.25">
      <c r="A877" s="7" t="s">
        <v>4122</v>
      </c>
      <c r="B877" s="8" t="s">
        <v>4123</v>
      </c>
      <c r="C877" s="8" t="s">
        <v>994</v>
      </c>
      <c r="D877" s="8" t="s">
        <v>3163</v>
      </c>
      <c r="E877" s="8" t="s">
        <v>412</v>
      </c>
      <c r="F877" s="13" t="s">
        <v>4124</v>
      </c>
      <c r="G877" s="10"/>
      <c r="H877" s="10"/>
      <c r="I877" s="10"/>
    </row>
    <row r="878" spans="1:9" ht="14.25" customHeight="1" x14ac:dyDescent="0.25">
      <c r="A878" s="7" t="s">
        <v>3725</v>
      </c>
      <c r="B878" s="8" t="s">
        <v>3271</v>
      </c>
      <c r="C878" s="8" t="s">
        <v>3726</v>
      </c>
      <c r="D878" s="8" t="s">
        <v>411</v>
      </c>
      <c r="E878" s="8" t="s">
        <v>3890</v>
      </c>
      <c r="F878" s="13" t="s">
        <v>3727</v>
      </c>
      <c r="G878" s="10"/>
      <c r="H878" s="10"/>
      <c r="I878" s="10"/>
    </row>
    <row r="879" spans="1:9" ht="14.25" customHeight="1" x14ac:dyDescent="0.25">
      <c r="A879" s="7" t="s">
        <v>3728</v>
      </c>
      <c r="B879" s="8" t="s">
        <v>4125</v>
      </c>
      <c r="C879" s="8" t="s">
        <v>231</v>
      </c>
      <c r="D879" s="8" t="s">
        <v>3163</v>
      </c>
      <c r="E879" s="8" t="s">
        <v>3890</v>
      </c>
      <c r="F879" s="8"/>
      <c r="G879" s="10"/>
      <c r="H879" s="10"/>
      <c r="I879" s="10"/>
    </row>
    <row r="880" spans="1:9" ht="14.25" customHeight="1" x14ac:dyDescent="0.25">
      <c r="A880" s="19" t="s">
        <v>4126</v>
      </c>
      <c r="B880" s="8" t="s">
        <v>382</v>
      </c>
      <c r="C880" s="8" t="s">
        <v>4127</v>
      </c>
      <c r="D880" s="8" t="s">
        <v>411</v>
      </c>
      <c r="E880" s="8" t="s">
        <v>412</v>
      </c>
      <c r="F880" s="13" t="s">
        <v>4128</v>
      </c>
      <c r="G880" s="10"/>
      <c r="H880" s="10"/>
      <c r="I880" s="10"/>
    </row>
    <row r="881" spans="1:9" ht="14.25" customHeight="1" x14ac:dyDescent="0.25">
      <c r="A881" s="7" t="s">
        <v>4129</v>
      </c>
      <c r="B881" s="8" t="s">
        <v>4130</v>
      </c>
      <c r="C881" s="8" t="s">
        <v>4131</v>
      </c>
      <c r="D881" s="8" t="s">
        <v>3163</v>
      </c>
      <c r="E881" s="8" t="s">
        <v>3865</v>
      </c>
      <c r="F881" s="13" t="s">
        <v>4132</v>
      </c>
      <c r="G881" s="10"/>
      <c r="H881" s="10"/>
      <c r="I881" s="10"/>
    </row>
    <row r="882" spans="1:9" ht="14.25" customHeight="1" x14ac:dyDescent="0.25">
      <c r="A882" s="19" t="s">
        <v>4133</v>
      </c>
      <c r="B882" s="8" t="s">
        <v>417</v>
      </c>
      <c r="C882" s="8" t="s">
        <v>4134</v>
      </c>
      <c r="D882" s="8" t="s">
        <v>411</v>
      </c>
      <c r="E882" s="8" t="s">
        <v>412</v>
      </c>
      <c r="F882" s="13" t="s">
        <v>4135</v>
      </c>
      <c r="G882" s="10"/>
      <c r="H882" s="10"/>
      <c r="I882" s="10"/>
    </row>
    <row r="883" spans="1:9" ht="14.25" customHeight="1" x14ac:dyDescent="0.25">
      <c r="A883" s="7" t="s">
        <v>4055</v>
      </c>
      <c r="B883" s="8" t="s">
        <v>2230</v>
      </c>
      <c r="C883" s="8" t="s">
        <v>4056</v>
      </c>
      <c r="D883" s="8" t="s">
        <v>411</v>
      </c>
      <c r="E883" s="8" t="s">
        <v>412</v>
      </c>
      <c r="F883" s="13" t="s">
        <v>4057</v>
      </c>
      <c r="G883" s="10"/>
      <c r="H883" s="10"/>
      <c r="I883" s="10"/>
    </row>
    <row r="884" spans="1:9" ht="14.25" customHeight="1" x14ac:dyDescent="0.25">
      <c r="A884" s="7" t="s">
        <v>4136</v>
      </c>
      <c r="B884" s="8" t="s">
        <v>4137</v>
      </c>
      <c r="C884" s="8" t="s">
        <v>4090</v>
      </c>
      <c r="D884" s="8" t="s">
        <v>411</v>
      </c>
      <c r="E884" s="8" t="s">
        <v>412</v>
      </c>
      <c r="F884" s="8"/>
      <c r="G884" s="10"/>
      <c r="H884" s="10"/>
      <c r="I884" s="10"/>
    </row>
    <row r="885" spans="1:9" ht="14.25" customHeight="1" x14ac:dyDescent="0.25">
      <c r="A885" s="7" t="s">
        <v>4138</v>
      </c>
      <c r="B885" s="8" t="s">
        <v>4139</v>
      </c>
      <c r="C885" s="8" t="s">
        <v>4140</v>
      </c>
      <c r="D885" s="8" t="s">
        <v>411</v>
      </c>
      <c r="E885" s="8" t="s">
        <v>412</v>
      </c>
      <c r="F885" s="13" t="s">
        <v>4141</v>
      </c>
      <c r="G885" s="10"/>
      <c r="H885" s="10"/>
      <c r="I885" s="10"/>
    </row>
    <row r="886" spans="1:9" ht="14.25" customHeight="1" x14ac:dyDescent="0.25">
      <c r="A886" s="7" t="s">
        <v>4142</v>
      </c>
      <c r="B886" s="8" t="s">
        <v>4143</v>
      </c>
      <c r="C886" s="8" t="s">
        <v>4144</v>
      </c>
      <c r="D886" s="8" t="s">
        <v>3163</v>
      </c>
      <c r="E886" s="8" t="s">
        <v>412</v>
      </c>
      <c r="F886" s="13" t="s">
        <v>4145</v>
      </c>
      <c r="G886" s="10"/>
      <c r="H886" s="10"/>
      <c r="I886" s="10"/>
    </row>
    <row r="887" spans="1:9" ht="14.25" customHeight="1" x14ac:dyDescent="0.25">
      <c r="A887" s="7" t="s">
        <v>4146</v>
      </c>
      <c r="B887" s="8" t="s">
        <v>3718</v>
      </c>
      <c r="C887" s="8" t="s">
        <v>4147</v>
      </c>
      <c r="D887" s="8" t="s">
        <v>411</v>
      </c>
      <c r="E887" s="8" t="s">
        <v>3865</v>
      </c>
      <c r="F887" s="20" t="s">
        <v>4148</v>
      </c>
      <c r="G887" s="10"/>
      <c r="H887" s="10"/>
      <c r="I887" s="10"/>
    </row>
    <row r="888" spans="1:9" ht="14.25" customHeight="1" x14ac:dyDescent="0.25">
      <c r="A888" s="7" t="s">
        <v>4149</v>
      </c>
      <c r="B888" s="8" t="s">
        <v>4150</v>
      </c>
      <c r="C888" s="8" t="s">
        <v>4151</v>
      </c>
      <c r="D888" s="8" t="s">
        <v>411</v>
      </c>
      <c r="E888" s="8" t="s">
        <v>412</v>
      </c>
      <c r="F888" s="20" t="s">
        <v>4152</v>
      </c>
      <c r="G888" s="10"/>
      <c r="H888" s="10"/>
      <c r="I888" s="10"/>
    </row>
    <row r="889" spans="1:9" ht="14.25" customHeight="1" x14ac:dyDescent="0.25">
      <c r="A889" s="7" t="s">
        <v>4153</v>
      </c>
      <c r="B889" s="8" t="s">
        <v>2297</v>
      </c>
      <c r="C889" s="8" t="s">
        <v>2523</v>
      </c>
      <c r="D889" s="8" t="s">
        <v>411</v>
      </c>
      <c r="E889" s="8" t="s">
        <v>412</v>
      </c>
      <c r="F889" s="20" t="s">
        <v>4154</v>
      </c>
      <c r="G889" s="10"/>
      <c r="H889" s="10"/>
      <c r="I889" s="10"/>
    </row>
    <row r="890" spans="1:9" ht="14.25" customHeight="1" x14ac:dyDescent="0.25">
      <c r="A890" s="7" t="s">
        <v>4155</v>
      </c>
      <c r="B890" s="8" t="s">
        <v>4156</v>
      </c>
      <c r="C890" s="8" t="s">
        <v>4157</v>
      </c>
      <c r="D890" s="8" t="s">
        <v>411</v>
      </c>
      <c r="E890" s="8" t="s">
        <v>412</v>
      </c>
      <c r="F890" s="20" t="s">
        <v>4158</v>
      </c>
      <c r="G890" s="10"/>
      <c r="H890" s="10"/>
      <c r="I890" s="10"/>
    </row>
    <row r="891" spans="1:9" ht="14.25" customHeight="1" x14ac:dyDescent="0.25">
      <c r="A891" s="7" t="s">
        <v>4159</v>
      </c>
      <c r="B891" s="8" t="s">
        <v>4160</v>
      </c>
      <c r="C891" s="8" t="s">
        <v>4161</v>
      </c>
      <c r="D891" s="8"/>
      <c r="E891" s="8" t="s">
        <v>412</v>
      </c>
      <c r="F891" s="20" t="s">
        <v>4162</v>
      </c>
      <c r="G891" s="10"/>
      <c r="H891" s="10"/>
      <c r="I891" s="10"/>
    </row>
    <row r="892" spans="1:9" ht="14.25" customHeight="1" x14ac:dyDescent="0.25">
      <c r="A892" s="7" t="s">
        <v>4163</v>
      </c>
      <c r="B892" s="8" t="s">
        <v>349</v>
      </c>
      <c r="C892" s="8" t="s">
        <v>4164</v>
      </c>
      <c r="D892" s="8" t="s">
        <v>411</v>
      </c>
      <c r="E892" s="8" t="s">
        <v>412</v>
      </c>
      <c r="F892" s="20" t="s">
        <v>4165</v>
      </c>
      <c r="G892" s="10"/>
      <c r="H892" s="10"/>
      <c r="I892" s="10"/>
    </row>
    <row r="893" spans="1:9" ht="14.25" customHeight="1" x14ac:dyDescent="0.25">
      <c r="A893" s="7" t="s">
        <v>4166</v>
      </c>
      <c r="B893" s="8" t="s">
        <v>838</v>
      </c>
      <c r="C893" s="8" t="s">
        <v>4167</v>
      </c>
      <c r="D893" s="8" t="s">
        <v>411</v>
      </c>
      <c r="E893" s="8" t="s">
        <v>412</v>
      </c>
      <c r="F893" s="20" t="s">
        <v>4168</v>
      </c>
      <c r="G893" s="10"/>
      <c r="H893" s="10"/>
      <c r="I893" s="10"/>
    </row>
    <row r="894" spans="1:9" ht="14.25" customHeight="1" x14ac:dyDescent="0.25">
      <c r="A894" s="7" t="s">
        <v>4169</v>
      </c>
      <c r="B894" s="8" t="s">
        <v>2956</v>
      </c>
      <c r="C894" s="8" t="s">
        <v>4170</v>
      </c>
      <c r="D894" s="8" t="s">
        <v>411</v>
      </c>
      <c r="E894" s="8" t="s">
        <v>412</v>
      </c>
      <c r="F894" s="20" t="s">
        <v>4171</v>
      </c>
      <c r="G894" s="10"/>
      <c r="H894" s="10"/>
      <c r="I894" s="10"/>
    </row>
    <row r="895" spans="1:9" ht="14.25" customHeight="1" x14ac:dyDescent="0.25">
      <c r="A895" s="7" t="s">
        <v>4172</v>
      </c>
      <c r="B895" s="8" t="s">
        <v>4173</v>
      </c>
      <c r="C895" s="8" t="s">
        <v>4174</v>
      </c>
      <c r="D895" s="8"/>
      <c r="E895" s="8" t="s">
        <v>412</v>
      </c>
      <c r="F895" s="20" t="s">
        <v>4175</v>
      </c>
      <c r="G895" s="10"/>
      <c r="H895" s="10"/>
      <c r="I895" s="10"/>
    </row>
    <row r="896" spans="1:9" ht="14.25" customHeight="1" x14ac:dyDescent="0.25">
      <c r="A896" s="7" t="s">
        <v>4176</v>
      </c>
      <c r="B896" s="8" t="s">
        <v>659</v>
      </c>
      <c r="C896" s="8" t="s">
        <v>4177</v>
      </c>
      <c r="D896" s="8"/>
      <c r="E896" s="8" t="s">
        <v>412</v>
      </c>
      <c r="F896" s="8"/>
      <c r="G896" s="10"/>
      <c r="H896" s="10"/>
      <c r="I896" s="10"/>
    </row>
    <row r="897" spans="1:9" ht="14.25" customHeight="1" x14ac:dyDescent="0.25">
      <c r="A897" s="7" t="s">
        <v>4178</v>
      </c>
      <c r="B897" s="8" t="s">
        <v>4179</v>
      </c>
      <c r="C897" s="8" t="s">
        <v>4056</v>
      </c>
      <c r="D897" s="8"/>
      <c r="E897" s="8" t="s">
        <v>412</v>
      </c>
      <c r="F897" s="8"/>
      <c r="G897" s="10"/>
      <c r="H897" s="10"/>
      <c r="I897" s="10"/>
    </row>
    <row r="898" spans="1:9" ht="14.25" customHeight="1" x14ac:dyDescent="0.25">
      <c r="A898" s="7" t="s">
        <v>4180</v>
      </c>
      <c r="B898" s="8" t="s">
        <v>355</v>
      </c>
      <c r="C898" s="8" t="s">
        <v>4170</v>
      </c>
      <c r="D898" s="8"/>
      <c r="E898" s="8" t="s">
        <v>412</v>
      </c>
      <c r="F898" s="8"/>
      <c r="G898" s="10"/>
      <c r="H898" s="10"/>
      <c r="I898" s="10"/>
    </row>
    <row r="899" spans="1:9" ht="14.25" customHeight="1" x14ac:dyDescent="0.25">
      <c r="A899" s="7" t="s">
        <v>4181</v>
      </c>
      <c r="B899" s="8" t="s">
        <v>602</v>
      </c>
      <c r="C899" s="8" t="s">
        <v>4182</v>
      </c>
      <c r="D899" s="8"/>
      <c r="E899" s="8" t="s">
        <v>3865</v>
      </c>
      <c r="F899" s="20" t="s">
        <v>4183</v>
      </c>
      <c r="G899" s="10"/>
      <c r="H899" s="10"/>
      <c r="I899" s="10"/>
    </row>
    <row r="900" spans="1:9" ht="14.25" customHeight="1" x14ac:dyDescent="0.25">
      <c r="A900" s="7" t="s">
        <v>4184</v>
      </c>
      <c r="B900" s="8" t="s">
        <v>799</v>
      </c>
      <c r="C900" s="8" t="s">
        <v>4157</v>
      </c>
      <c r="D900" s="8"/>
      <c r="E900" s="8" t="s">
        <v>412</v>
      </c>
      <c r="F900" s="8"/>
      <c r="G900" s="10"/>
      <c r="H900" s="10"/>
      <c r="I900" s="10"/>
    </row>
    <row r="901" spans="1:9" ht="14.25" customHeight="1" x14ac:dyDescent="0.25">
      <c r="A901" s="7" t="s">
        <v>4185</v>
      </c>
      <c r="B901" s="8" t="s">
        <v>2507</v>
      </c>
      <c r="C901" s="8" t="s">
        <v>150</v>
      </c>
      <c r="D901" s="8"/>
      <c r="E901" s="8" t="s">
        <v>412</v>
      </c>
      <c r="F901" s="20" t="s">
        <v>4186</v>
      </c>
      <c r="G901" s="10"/>
      <c r="H901" s="10"/>
      <c r="I901" s="10"/>
    </row>
    <row r="902" spans="1:9" ht="14.25" customHeight="1" x14ac:dyDescent="0.25">
      <c r="A902" s="7" t="s">
        <v>4187</v>
      </c>
      <c r="B902" s="8" t="s">
        <v>2731</v>
      </c>
      <c r="C902" s="8" t="s">
        <v>4188</v>
      </c>
      <c r="D902" s="8"/>
      <c r="E902" s="8" t="s">
        <v>412</v>
      </c>
      <c r="F902" s="20" t="s">
        <v>4189</v>
      </c>
      <c r="G902" s="10"/>
      <c r="H902" s="10"/>
      <c r="I902" s="10"/>
    </row>
    <row r="903" spans="1:9" ht="14.25" customHeight="1" x14ac:dyDescent="0.25">
      <c r="A903" s="7" t="s">
        <v>4190</v>
      </c>
      <c r="B903" s="8" t="s">
        <v>4191</v>
      </c>
      <c r="C903" s="8" t="s">
        <v>4192</v>
      </c>
      <c r="D903" s="8"/>
      <c r="E903" s="8" t="s">
        <v>3890</v>
      </c>
      <c r="F903" s="8"/>
      <c r="G903" s="10"/>
      <c r="H903" s="10"/>
      <c r="I903" s="10"/>
    </row>
    <row r="904" spans="1:9" ht="14.25" customHeight="1" x14ac:dyDescent="0.25">
      <c r="A904" s="7" t="s">
        <v>4193</v>
      </c>
      <c r="B904" s="8" t="s">
        <v>3974</v>
      </c>
      <c r="C904" s="8" t="s">
        <v>1490</v>
      </c>
      <c r="D904" s="8"/>
      <c r="E904" s="8" t="s">
        <v>3890</v>
      </c>
      <c r="F904" s="20" t="s">
        <v>4194</v>
      </c>
      <c r="G904" s="10"/>
      <c r="H904" s="10"/>
      <c r="I904" s="10"/>
    </row>
    <row r="905" spans="1:9" ht="14.25" customHeight="1" x14ac:dyDescent="0.25">
      <c r="A905" s="7" t="s">
        <v>4195</v>
      </c>
      <c r="B905" s="8" t="s">
        <v>331</v>
      </c>
      <c r="C905" s="8" t="s">
        <v>4196</v>
      </c>
      <c r="D905" s="8"/>
      <c r="E905" s="8" t="s">
        <v>412</v>
      </c>
      <c r="F905" s="20" t="s">
        <v>4197</v>
      </c>
      <c r="G905" s="10" t="s">
        <v>4198</v>
      </c>
      <c r="H905" s="10" t="s">
        <v>4199</v>
      </c>
      <c r="I905" s="10" t="s">
        <v>4039</v>
      </c>
    </row>
    <row r="906" spans="1:9" ht="14.25" customHeight="1" x14ac:dyDescent="0.25">
      <c r="A906" s="7" t="s">
        <v>4200</v>
      </c>
      <c r="B906" s="8" t="s">
        <v>4201</v>
      </c>
      <c r="C906" s="8" t="s">
        <v>4202</v>
      </c>
      <c r="D906" s="8"/>
      <c r="E906" s="8" t="s">
        <v>412</v>
      </c>
      <c r="F906" s="20" t="s">
        <v>4203</v>
      </c>
      <c r="G906" s="10"/>
      <c r="H906" s="10"/>
      <c r="I906" s="10" t="s">
        <v>4039</v>
      </c>
    </row>
    <row r="907" spans="1:9" ht="14.25" customHeight="1" x14ac:dyDescent="0.25">
      <c r="A907" s="7" t="s">
        <v>4204</v>
      </c>
      <c r="B907" s="8" t="s">
        <v>1676</v>
      </c>
      <c r="C907" s="8" t="s">
        <v>4205</v>
      </c>
      <c r="D907" s="8" t="s">
        <v>411</v>
      </c>
      <c r="E907" s="8" t="s">
        <v>412</v>
      </c>
      <c r="F907" s="20" t="s">
        <v>4206</v>
      </c>
      <c r="G907" s="10"/>
      <c r="H907" s="10"/>
      <c r="I907" s="10"/>
    </row>
    <row r="908" spans="1:9" ht="14.25" customHeight="1" x14ac:dyDescent="0.25">
      <c r="A908" s="7" t="s">
        <v>4207</v>
      </c>
      <c r="B908" s="8" t="s">
        <v>4208</v>
      </c>
      <c r="C908" s="8" t="s">
        <v>4209</v>
      </c>
      <c r="D908" s="8"/>
      <c r="E908" s="8" t="s">
        <v>412</v>
      </c>
      <c r="F908" s="20" t="s">
        <v>4210</v>
      </c>
      <c r="G908" s="10"/>
      <c r="H908" s="10"/>
      <c r="I908" s="10"/>
    </row>
    <row r="909" spans="1:9" ht="14.25" customHeight="1" x14ac:dyDescent="0.25">
      <c r="A909" s="7" t="s">
        <v>4211</v>
      </c>
      <c r="B909" s="8" t="s">
        <v>2956</v>
      </c>
      <c r="C909" s="8" t="s">
        <v>4212</v>
      </c>
      <c r="D909" s="8"/>
      <c r="E909" s="8" t="s">
        <v>3865</v>
      </c>
      <c r="F909" s="20" t="s">
        <v>4213</v>
      </c>
      <c r="G909" s="10"/>
      <c r="H909" s="10"/>
      <c r="I909" s="10"/>
    </row>
    <row r="910" spans="1:9" ht="14.25" customHeight="1" x14ac:dyDescent="0.25">
      <c r="A910" s="7" t="s">
        <v>4214</v>
      </c>
      <c r="B910" s="8" t="s">
        <v>4215</v>
      </c>
      <c r="C910" s="8" t="s">
        <v>4216</v>
      </c>
      <c r="D910" s="8"/>
      <c r="E910" s="8" t="s">
        <v>3865</v>
      </c>
      <c r="F910" s="20" t="s">
        <v>4217</v>
      </c>
      <c r="G910" s="10"/>
      <c r="H910" s="10"/>
      <c r="I910" s="10"/>
    </row>
    <row r="911" spans="1:9" ht="14.25" customHeight="1" x14ac:dyDescent="0.25">
      <c r="A911" s="7" t="s">
        <v>4218</v>
      </c>
      <c r="B911" s="8" t="s">
        <v>4219</v>
      </c>
      <c r="C911" s="8" t="s">
        <v>4220</v>
      </c>
      <c r="D911" s="8"/>
      <c r="E911" s="8" t="s">
        <v>3865</v>
      </c>
      <c r="F911" s="13" t="s">
        <v>4221</v>
      </c>
      <c r="G911" s="10"/>
      <c r="H911" s="10"/>
      <c r="I911" s="10"/>
    </row>
    <row r="912" spans="1:9" ht="14.25" customHeight="1" x14ac:dyDescent="0.25">
      <c r="A912" s="7" t="s">
        <v>4222</v>
      </c>
      <c r="B912" s="8" t="s">
        <v>214</v>
      </c>
      <c r="C912" s="8" t="s">
        <v>4223</v>
      </c>
      <c r="D912" s="8"/>
      <c r="E912" s="8" t="s">
        <v>412</v>
      </c>
      <c r="F912" s="13" t="s">
        <v>4224</v>
      </c>
      <c r="G912" s="10"/>
      <c r="H912" s="10"/>
      <c r="I912" s="10"/>
    </row>
    <row r="913" spans="1:9" ht="14.25" customHeight="1" x14ac:dyDescent="0.25">
      <c r="A913" s="7" t="s">
        <v>4225</v>
      </c>
      <c r="B913" s="8" t="s">
        <v>275</v>
      </c>
      <c r="C913" s="8" t="s">
        <v>4226</v>
      </c>
      <c r="D913" s="8"/>
      <c r="E913" s="8" t="s">
        <v>412</v>
      </c>
      <c r="F913" s="13" t="s">
        <v>4227</v>
      </c>
      <c r="G913" s="10"/>
      <c r="H913" s="10"/>
      <c r="I913" s="10"/>
    </row>
    <row r="914" spans="1:9" ht="14.25" customHeight="1" x14ac:dyDescent="0.25">
      <c r="A914" s="7" t="s">
        <v>4228</v>
      </c>
      <c r="B914" s="8" t="s">
        <v>4229</v>
      </c>
      <c r="C914" s="8" t="s">
        <v>4230</v>
      </c>
      <c r="D914" s="8"/>
      <c r="E914" s="8" t="s">
        <v>412</v>
      </c>
      <c r="F914" s="13" t="s">
        <v>4231</v>
      </c>
      <c r="G914" s="10"/>
      <c r="H914" s="10"/>
      <c r="I914" s="10"/>
    </row>
    <row r="915" spans="1:9" ht="14.25" customHeight="1" x14ac:dyDescent="0.25">
      <c r="A915" s="7" t="s">
        <v>4232</v>
      </c>
      <c r="B915" s="8" t="s">
        <v>726</v>
      </c>
      <c r="C915" s="8" t="s">
        <v>4233</v>
      </c>
      <c r="D915" s="8"/>
      <c r="E915" s="8" t="s">
        <v>412</v>
      </c>
      <c r="F915" s="13" t="s">
        <v>4234</v>
      </c>
      <c r="G915" s="10"/>
      <c r="H915" s="10"/>
      <c r="I915" s="10"/>
    </row>
    <row r="916" spans="1:9" ht="14.25" customHeight="1" x14ac:dyDescent="0.25">
      <c r="A916" s="7" t="s">
        <v>4235</v>
      </c>
      <c r="B916" s="8" t="s">
        <v>1912</v>
      </c>
      <c r="C916" s="8" t="s">
        <v>4236</v>
      </c>
      <c r="D916" s="8"/>
      <c r="E916" s="8" t="s">
        <v>3865</v>
      </c>
      <c r="F916" s="20" t="s">
        <v>4237</v>
      </c>
      <c r="G916" s="10"/>
      <c r="H916" s="10"/>
      <c r="I916" s="10"/>
    </row>
    <row r="917" spans="1:9" ht="14.25" customHeight="1" x14ac:dyDescent="0.25">
      <c r="A917" s="7" t="s">
        <v>4238</v>
      </c>
      <c r="B917" s="8" t="s">
        <v>4239</v>
      </c>
      <c r="C917" s="8" t="s">
        <v>4240</v>
      </c>
      <c r="D917" s="8"/>
      <c r="E917" s="8" t="s">
        <v>412</v>
      </c>
      <c r="F917" s="20" t="s">
        <v>4241</v>
      </c>
      <c r="G917" s="10"/>
      <c r="H917" s="10"/>
      <c r="I917" s="10"/>
    </row>
    <row r="918" spans="1:9" ht="14.25" customHeight="1" x14ac:dyDescent="0.25">
      <c r="A918" s="7" t="s">
        <v>4242</v>
      </c>
      <c r="B918" s="8" t="s">
        <v>4243</v>
      </c>
      <c r="C918" s="8" t="s">
        <v>4244</v>
      </c>
      <c r="D918" s="8"/>
      <c r="E918" s="8" t="s">
        <v>412</v>
      </c>
      <c r="F918" s="13" t="s">
        <v>4245</v>
      </c>
      <c r="G918" s="10"/>
      <c r="H918" s="10"/>
      <c r="I918" s="10"/>
    </row>
    <row r="919" spans="1:9" ht="14.25" customHeight="1" x14ac:dyDescent="0.25">
      <c r="A919" s="21" t="s">
        <v>4246</v>
      </c>
      <c r="B919" s="8" t="s">
        <v>1629</v>
      </c>
      <c r="C919" s="8" t="s">
        <v>4247</v>
      </c>
      <c r="D919" s="8"/>
      <c r="E919" s="8" t="s">
        <v>3890</v>
      </c>
      <c r="F919" s="13" t="s">
        <v>4248</v>
      </c>
      <c r="G919" s="10"/>
      <c r="H919" s="10"/>
      <c r="I919" s="10"/>
    </row>
    <row r="920" spans="1:9" ht="14.25" customHeight="1" x14ac:dyDescent="0.25">
      <c r="A920" s="7" t="s">
        <v>4249</v>
      </c>
      <c r="B920" s="8" t="s">
        <v>1015</v>
      </c>
      <c r="C920" s="8" t="s">
        <v>4250</v>
      </c>
      <c r="D920" s="8"/>
      <c r="E920" s="8" t="s">
        <v>3890</v>
      </c>
      <c r="F920" s="13" t="s">
        <v>4251</v>
      </c>
      <c r="G920" s="10"/>
      <c r="H920" s="10"/>
      <c r="I920" s="10"/>
    </row>
    <row r="921" spans="1:9" ht="14.25" customHeight="1" x14ac:dyDescent="0.25">
      <c r="A921" s="7" t="s">
        <v>4252</v>
      </c>
      <c r="B921" s="8" t="s">
        <v>1021</v>
      </c>
      <c r="C921" s="8" t="s">
        <v>4253</v>
      </c>
      <c r="D921" s="8"/>
      <c r="E921" s="8" t="s">
        <v>4254</v>
      </c>
      <c r="F921" s="13" t="s">
        <v>4255</v>
      </c>
      <c r="G921" s="10"/>
      <c r="H921" s="10"/>
      <c r="I921" s="10"/>
    </row>
    <row r="922" spans="1:9" ht="14.25" customHeight="1" x14ac:dyDescent="0.25">
      <c r="A922" s="7" t="s">
        <v>4256</v>
      </c>
      <c r="B922" s="8" t="s">
        <v>4257</v>
      </c>
      <c r="C922" s="8" t="s">
        <v>4258</v>
      </c>
      <c r="D922" s="8"/>
      <c r="E922" s="8" t="s">
        <v>412</v>
      </c>
      <c r="F922" s="13" t="s">
        <v>4259</v>
      </c>
      <c r="G922" s="10"/>
      <c r="H922" s="10"/>
      <c r="I922" s="10"/>
    </row>
    <row r="923" spans="1:9" ht="14.25" customHeight="1" x14ac:dyDescent="0.25">
      <c r="A923" s="7" t="s">
        <v>4260</v>
      </c>
      <c r="B923" s="8" t="s">
        <v>4261</v>
      </c>
      <c r="C923" s="8" t="s">
        <v>4262</v>
      </c>
      <c r="D923" s="8"/>
      <c r="E923" s="8" t="s">
        <v>412</v>
      </c>
      <c r="F923" s="13" t="s">
        <v>4263</v>
      </c>
      <c r="G923" s="10" t="s">
        <v>4264</v>
      </c>
      <c r="H923" s="10" t="s">
        <v>61</v>
      </c>
      <c r="I923" s="10"/>
    </row>
    <row r="924" spans="1:9" ht="14.25" customHeight="1" x14ac:dyDescent="0.25">
      <c r="A924" s="7" t="s">
        <v>4265</v>
      </c>
      <c r="B924" s="8" t="s">
        <v>2165</v>
      </c>
      <c r="C924" s="8" t="s">
        <v>4266</v>
      </c>
      <c r="D924" s="8"/>
      <c r="E924" s="8" t="s">
        <v>3890</v>
      </c>
      <c r="F924" s="13" t="s">
        <v>4267</v>
      </c>
      <c r="G924" s="10"/>
      <c r="H924" s="10"/>
      <c r="I924" s="10"/>
    </row>
    <row r="925" spans="1:9" ht="14.25" customHeight="1" x14ac:dyDescent="0.25">
      <c r="A925" s="19" t="s">
        <v>4268</v>
      </c>
      <c r="B925" s="8" t="s">
        <v>2522</v>
      </c>
      <c r="C925" s="8" t="s">
        <v>4269</v>
      </c>
      <c r="D925" s="8"/>
      <c r="E925" s="8" t="s">
        <v>412</v>
      </c>
      <c r="F925" s="13" t="s">
        <v>4270</v>
      </c>
      <c r="G925" s="10" t="s">
        <v>4271</v>
      </c>
      <c r="H925" s="10" t="s">
        <v>4272</v>
      </c>
      <c r="I925" s="10" t="s">
        <v>4039</v>
      </c>
    </row>
    <row r="926" spans="1:9" ht="14.25" customHeight="1" x14ac:dyDescent="0.25">
      <c r="A926" s="7" t="s">
        <v>4273</v>
      </c>
      <c r="B926" s="8" t="s">
        <v>532</v>
      </c>
      <c r="C926" s="8" t="s">
        <v>4274</v>
      </c>
      <c r="D926" s="8"/>
      <c r="E926" s="8" t="s">
        <v>3890</v>
      </c>
      <c r="F926" s="13" t="s">
        <v>4275</v>
      </c>
      <c r="G926" s="10"/>
      <c r="H926" s="10"/>
      <c r="I926" s="10"/>
    </row>
    <row r="927" spans="1:9" ht="14.25" customHeight="1" x14ac:dyDescent="0.25">
      <c r="A927" s="7" t="s">
        <v>4276</v>
      </c>
      <c r="B927" s="8" t="s">
        <v>331</v>
      </c>
      <c r="C927" s="8" t="s">
        <v>4274</v>
      </c>
      <c r="D927" s="8"/>
      <c r="E927" s="8" t="s">
        <v>3890</v>
      </c>
      <c r="F927" s="13" t="s">
        <v>4275</v>
      </c>
      <c r="G927" s="10"/>
      <c r="H927" s="10"/>
      <c r="I927" s="10"/>
    </row>
    <row r="928" spans="1:9" ht="14.25" customHeight="1" x14ac:dyDescent="0.25">
      <c r="A928" s="7" t="s">
        <v>4277</v>
      </c>
      <c r="B928" s="8" t="s">
        <v>4278</v>
      </c>
      <c r="C928" s="8" t="s">
        <v>4279</v>
      </c>
      <c r="D928" s="8"/>
      <c r="E928" s="8" t="s">
        <v>3890</v>
      </c>
      <c r="F928" s="13" t="s">
        <v>4280</v>
      </c>
      <c r="G928" s="10"/>
      <c r="H928" s="10"/>
      <c r="I928" s="10"/>
    </row>
    <row r="929" spans="1:9" ht="14.25" customHeight="1" x14ac:dyDescent="0.25">
      <c r="A929" s="7" t="s">
        <v>4281</v>
      </c>
      <c r="B929" s="8" t="s">
        <v>1398</v>
      </c>
      <c r="C929" s="8" t="s">
        <v>4279</v>
      </c>
      <c r="D929" s="8"/>
      <c r="E929" s="8" t="s">
        <v>3890</v>
      </c>
      <c r="F929" s="13"/>
      <c r="G929" s="10"/>
      <c r="H929" s="10"/>
      <c r="I929" s="10"/>
    </row>
    <row r="930" spans="1:9" ht="14.25" customHeight="1" x14ac:dyDescent="0.25">
      <c r="A930" s="7" t="s">
        <v>4282</v>
      </c>
      <c r="B930" s="8" t="s">
        <v>4283</v>
      </c>
      <c r="C930" s="8" t="s">
        <v>462</v>
      </c>
      <c r="D930" s="8"/>
      <c r="E930" s="8" t="s">
        <v>412</v>
      </c>
      <c r="F930" s="13" t="s">
        <v>4284</v>
      </c>
      <c r="G930" s="10"/>
      <c r="H930" s="10"/>
      <c r="I930" s="10"/>
    </row>
    <row r="931" spans="1:9" ht="14.25" customHeight="1" x14ac:dyDescent="0.25">
      <c r="A931" s="7" t="s">
        <v>4285</v>
      </c>
      <c r="B931" s="8" t="s">
        <v>4286</v>
      </c>
      <c r="C931" s="8" t="s">
        <v>4287</v>
      </c>
      <c r="D931" s="8"/>
      <c r="E931" s="8" t="s">
        <v>412</v>
      </c>
      <c r="F931" s="13" t="s">
        <v>4288</v>
      </c>
      <c r="G931" s="10"/>
      <c r="H931" s="10"/>
      <c r="I931" s="10"/>
    </row>
    <row r="932" spans="1:9" ht="14.25" customHeight="1" x14ac:dyDescent="0.25">
      <c r="A932" s="7" t="s">
        <v>4289</v>
      </c>
      <c r="B932" s="8" t="s">
        <v>933</v>
      </c>
      <c r="C932" s="8" t="s">
        <v>4290</v>
      </c>
      <c r="D932" s="8"/>
      <c r="E932" s="8" t="s">
        <v>3890</v>
      </c>
      <c r="F932" s="13" t="s">
        <v>4291</v>
      </c>
      <c r="G932" s="10"/>
      <c r="H932" s="10"/>
      <c r="I932" s="10"/>
    </row>
    <row r="933" spans="1:9" ht="14.25" customHeight="1" x14ac:dyDescent="0.25">
      <c r="A933" s="7" t="s">
        <v>4292</v>
      </c>
      <c r="B933" s="8" t="s">
        <v>2889</v>
      </c>
      <c r="C933" s="8" t="s">
        <v>4293</v>
      </c>
      <c r="D933" s="8" t="s">
        <v>3163</v>
      </c>
      <c r="E933" s="8" t="s">
        <v>1359</v>
      </c>
      <c r="F933" s="13" t="s">
        <v>4294</v>
      </c>
      <c r="G933" s="10" t="s">
        <v>4295</v>
      </c>
      <c r="H933" s="10" t="s">
        <v>25</v>
      </c>
      <c r="I933" s="10" t="s">
        <v>3756</v>
      </c>
    </row>
    <row r="934" spans="1:9" ht="14.25" customHeight="1" x14ac:dyDescent="0.25">
      <c r="A934" s="7" t="s">
        <v>4296</v>
      </c>
      <c r="B934" s="8" t="s">
        <v>4297</v>
      </c>
      <c r="C934" s="8" t="s">
        <v>1949</v>
      </c>
      <c r="D934" s="8" t="s">
        <v>411</v>
      </c>
      <c r="E934" s="8" t="s">
        <v>4254</v>
      </c>
      <c r="F934" s="13"/>
      <c r="G934" s="10"/>
      <c r="H934" s="10"/>
      <c r="I934" s="10"/>
    </row>
    <row r="935" spans="1:9" ht="14.25" customHeight="1" x14ac:dyDescent="0.25">
      <c r="A935" s="7" t="s">
        <v>4298</v>
      </c>
      <c r="B935" s="8" t="s">
        <v>1612</v>
      </c>
      <c r="C935" s="8" t="s">
        <v>4299</v>
      </c>
      <c r="D935" s="8" t="s">
        <v>3163</v>
      </c>
      <c r="E935" s="8" t="s">
        <v>3890</v>
      </c>
      <c r="F935" s="13"/>
      <c r="G935" s="10"/>
      <c r="H935" s="10"/>
      <c r="I935" s="10"/>
    </row>
    <row r="936" spans="1:9" ht="14.25" customHeight="1" x14ac:dyDescent="0.25">
      <c r="A936" s="7" t="s">
        <v>4300</v>
      </c>
      <c r="B936" s="8" t="s">
        <v>4301</v>
      </c>
      <c r="C936" s="8" t="s">
        <v>4302</v>
      </c>
      <c r="D936" s="8" t="s">
        <v>3163</v>
      </c>
      <c r="E936" s="8" t="s">
        <v>4254</v>
      </c>
      <c r="F936" s="13" t="s">
        <v>4303</v>
      </c>
      <c r="G936" s="10"/>
      <c r="H936" s="10"/>
      <c r="I936" s="10"/>
    </row>
    <row r="937" spans="1:9" ht="14.25" customHeight="1" x14ac:dyDescent="0.25">
      <c r="A937" s="7" t="s">
        <v>4304</v>
      </c>
      <c r="B937" s="8" t="s">
        <v>4305</v>
      </c>
      <c r="C937" s="8" t="s">
        <v>4302</v>
      </c>
      <c r="D937" s="8" t="s">
        <v>411</v>
      </c>
      <c r="E937" s="8" t="s">
        <v>3890</v>
      </c>
      <c r="F937" s="13"/>
      <c r="G937" s="10"/>
      <c r="H937" s="10"/>
      <c r="I937" s="10"/>
    </row>
    <row r="938" spans="1:9" ht="14.25" customHeight="1" x14ac:dyDescent="0.25">
      <c r="A938" s="7" t="s">
        <v>4306</v>
      </c>
      <c r="B938" s="8" t="s">
        <v>4307</v>
      </c>
      <c r="C938" s="8" t="s">
        <v>448</v>
      </c>
      <c r="D938" s="8"/>
      <c r="E938" s="8" t="s">
        <v>412</v>
      </c>
      <c r="F938" s="20" t="s">
        <v>4308</v>
      </c>
      <c r="G938" s="10"/>
      <c r="H938" s="10"/>
      <c r="I938" s="10"/>
    </row>
    <row r="939" spans="1:9" ht="14.25" customHeight="1" x14ac:dyDescent="0.25">
      <c r="A939" s="7" t="s">
        <v>4309</v>
      </c>
      <c r="B939" s="8" t="s">
        <v>1512</v>
      </c>
      <c r="C939" s="8" t="s">
        <v>4310</v>
      </c>
      <c r="D939" s="8" t="s">
        <v>3163</v>
      </c>
      <c r="E939" s="8" t="s">
        <v>4021</v>
      </c>
      <c r="F939" s="13" t="s">
        <v>4311</v>
      </c>
      <c r="G939" s="10"/>
      <c r="H939" s="10"/>
      <c r="I939" s="10" t="s">
        <v>4039</v>
      </c>
    </row>
    <row r="940" spans="1:9" ht="14.25" customHeight="1" x14ac:dyDescent="0.25">
      <c r="A940" s="7" t="s">
        <v>4312</v>
      </c>
      <c r="B940" s="8" t="s">
        <v>4313</v>
      </c>
      <c r="C940" s="8" t="s">
        <v>4314</v>
      </c>
      <c r="D940" s="8" t="s">
        <v>411</v>
      </c>
      <c r="E940" s="8" t="s">
        <v>4254</v>
      </c>
      <c r="F940" s="13" t="s">
        <v>4315</v>
      </c>
      <c r="G940" s="10" t="s">
        <v>4316</v>
      </c>
      <c r="H940" s="10" t="s">
        <v>4317</v>
      </c>
      <c r="I940" s="10"/>
    </row>
    <row r="941" spans="1:9" ht="14.25" customHeight="1" x14ac:dyDescent="0.25">
      <c r="A941" s="7" t="s">
        <v>4318</v>
      </c>
      <c r="B941" s="8" t="s">
        <v>4319</v>
      </c>
      <c r="C941" s="8" t="s">
        <v>4320</v>
      </c>
      <c r="D941" s="8" t="s">
        <v>3163</v>
      </c>
      <c r="E941" s="8" t="s">
        <v>4254</v>
      </c>
      <c r="F941" s="13" t="s">
        <v>4315</v>
      </c>
      <c r="G941" s="10" t="s">
        <v>4316</v>
      </c>
      <c r="H941" s="10" t="s">
        <v>4317</v>
      </c>
      <c r="I941" s="10"/>
    </row>
    <row r="942" spans="1:9" ht="14.25" customHeight="1" x14ac:dyDescent="0.25">
      <c r="A942" s="19" t="s">
        <v>4321</v>
      </c>
      <c r="B942" s="8" t="s">
        <v>4322</v>
      </c>
      <c r="C942" s="8" t="s">
        <v>4323</v>
      </c>
      <c r="D942" s="8" t="s">
        <v>411</v>
      </c>
      <c r="E942" s="8" t="s">
        <v>412</v>
      </c>
      <c r="F942" s="13" t="s">
        <v>4324</v>
      </c>
      <c r="G942" s="10"/>
      <c r="H942" s="10"/>
      <c r="I942" s="10" t="s">
        <v>4325</v>
      </c>
    </row>
    <row r="943" spans="1:9" ht="14.25" customHeight="1" x14ac:dyDescent="0.25">
      <c r="A943" s="7" t="s">
        <v>4326</v>
      </c>
      <c r="B943" s="8" t="s">
        <v>4137</v>
      </c>
      <c r="C943" s="8" t="s">
        <v>4327</v>
      </c>
      <c r="D943" s="8" t="s">
        <v>411</v>
      </c>
      <c r="E943" s="8" t="s">
        <v>412</v>
      </c>
      <c r="F943" s="13" t="s">
        <v>4328</v>
      </c>
      <c r="G943" s="10" t="s">
        <v>4329</v>
      </c>
      <c r="H943" s="10" t="s">
        <v>4330</v>
      </c>
      <c r="I943" s="10" t="s">
        <v>4039</v>
      </c>
    </row>
    <row r="944" spans="1:9" ht="14.25" customHeight="1" x14ac:dyDescent="0.25">
      <c r="A944" s="7" t="s">
        <v>4331</v>
      </c>
      <c r="B944" s="8" t="s">
        <v>4332</v>
      </c>
      <c r="C944" s="8" t="s">
        <v>4333</v>
      </c>
      <c r="D944" s="8" t="s">
        <v>3163</v>
      </c>
      <c r="E944" s="8" t="s">
        <v>412</v>
      </c>
      <c r="F944" s="13" t="s">
        <v>4334</v>
      </c>
      <c r="G944" s="10"/>
      <c r="H944" s="10"/>
      <c r="I944" s="10" t="s">
        <v>4039</v>
      </c>
    </row>
    <row r="945" spans="1:9" ht="14.25" customHeight="1" x14ac:dyDescent="0.25">
      <c r="A945" s="7" t="s">
        <v>4335</v>
      </c>
      <c r="B945" s="8" t="s">
        <v>956</v>
      </c>
      <c r="C945" s="8" t="s">
        <v>4336</v>
      </c>
      <c r="D945" s="8" t="s">
        <v>411</v>
      </c>
      <c r="E945" s="8" t="s">
        <v>412</v>
      </c>
      <c r="F945" s="13" t="s">
        <v>4337</v>
      </c>
      <c r="G945" s="10"/>
      <c r="H945" s="10"/>
      <c r="I945" s="10" t="s">
        <v>4039</v>
      </c>
    </row>
    <row r="946" spans="1:9" ht="14.25" customHeight="1" x14ac:dyDescent="0.25">
      <c r="A946" s="7" t="s">
        <v>4338</v>
      </c>
      <c r="B946" s="8" t="s">
        <v>1841</v>
      </c>
      <c r="C946" s="8" t="s">
        <v>4339</v>
      </c>
      <c r="D946" s="8" t="s">
        <v>411</v>
      </c>
      <c r="E946" s="8" t="s">
        <v>412</v>
      </c>
      <c r="F946" s="13" t="s">
        <v>4340</v>
      </c>
      <c r="G946" s="10"/>
      <c r="H946" s="10"/>
      <c r="I946" s="10" t="s">
        <v>4325</v>
      </c>
    </row>
    <row r="947" spans="1:9" ht="14.25" customHeight="1" x14ac:dyDescent="0.25">
      <c r="A947" s="7" t="s">
        <v>4341</v>
      </c>
      <c r="B947" s="8" t="s">
        <v>4342</v>
      </c>
      <c r="C947" s="8" t="s">
        <v>4343</v>
      </c>
      <c r="D947" s="8" t="s">
        <v>3163</v>
      </c>
      <c r="E947" s="8" t="s">
        <v>412</v>
      </c>
      <c r="F947" s="13" t="s">
        <v>4344</v>
      </c>
      <c r="G947" s="10" t="s">
        <v>4345</v>
      </c>
      <c r="H947" s="10" t="s">
        <v>3618</v>
      </c>
      <c r="I947" s="10" t="s">
        <v>4325</v>
      </c>
    </row>
    <row r="948" spans="1:9" ht="14.25" customHeight="1" x14ac:dyDescent="0.25">
      <c r="A948" s="7" t="s">
        <v>4346</v>
      </c>
      <c r="B948" s="8" t="s">
        <v>4347</v>
      </c>
      <c r="C948" s="8" t="s">
        <v>4348</v>
      </c>
      <c r="D948" s="8" t="s">
        <v>411</v>
      </c>
      <c r="E948" s="8" t="s">
        <v>412</v>
      </c>
      <c r="F948" s="13" t="s">
        <v>4349</v>
      </c>
      <c r="G948" s="10" t="s">
        <v>4350</v>
      </c>
      <c r="H948" s="10" t="s">
        <v>4330</v>
      </c>
      <c r="I948" s="10" t="s">
        <v>4039</v>
      </c>
    </row>
    <row r="949" spans="1:9" ht="14.25" customHeight="1" x14ac:dyDescent="0.25">
      <c r="A949" s="7" t="s">
        <v>4351</v>
      </c>
      <c r="B949" s="8" t="s">
        <v>4352</v>
      </c>
      <c r="C949" s="8" t="s">
        <v>4353</v>
      </c>
      <c r="D949" s="8" t="s">
        <v>411</v>
      </c>
      <c r="E949" s="8" t="s">
        <v>412</v>
      </c>
      <c r="F949" s="13" t="s">
        <v>4354</v>
      </c>
      <c r="G949" s="10"/>
      <c r="H949" s="10"/>
      <c r="I949" s="10" t="s">
        <v>4039</v>
      </c>
    </row>
    <row r="950" spans="1:9" ht="14.25" customHeight="1" x14ac:dyDescent="0.25">
      <c r="A950" s="7" t="s">
        <v>4355</v>
      </c>
      <c r="B950" s="8" t="s">
        <v>1015</v>
      </c>
      <c r="C950" s="8" t="s">
        <v>4356</v>
      </c>
      <c r="D950" s="8" t="s">
        <v>3163</v>
      </c>
      <c r="E950" s="8" t="s">
        <v>4254</v>
      </c>
      <c r="F950" s="13" t="s">
        <v>4357</v>
      </c>
      <c r="G950" s="10"/>
      <c r="H950" s="10"/>
      <c r="I950" s="10" t="s">
        <v>4325</v>
      </c>
    </row>
    <row r="951" spans="1:9" ht="14.25" customHeight="1" x14ac:dyDescent="0.25">
      <c r="A951" s="7" t="s">
        <v>4358</v>
      </c>
      <c r="B951" s="8" t="s">
        <v>3478</v>
      </c>
      <c r="C951" s="8" t="s">
        <v>4356</v>
      </c>
      <c r="D951" s="8" t="s">
        <v>411</v>
      </c>
      <c r="E951" s="8" t="s">
        <v>3890</v>
      </c>
      <c r="F951" s="13"/>
      <c r="G951" s="10"/>
      <c r="H951" s="10"/>
      <c r="I951" s="10" t="s">
        <v>4325</v>
      </c>
    </row>
    <row r="952" spans="1:9" ht="14.25" customHeight="1" x14ac:dyDescent="0.25">
      <c r="A952" s="7" t="s">
        <v>4359</v>
      </c>
      <c r="B952" s="8" t="s">
        <v>4360</v>
      </c>
      <c r="C952" s="8" t="s">
        <v>4361</v>
      </c>
      <c r="D952" s="8" t="s">
        <v>411</v>
      </c>
      <c r="E952" s="8" t="s">
        <v>3890</v>
      </c>
      <c r="F952" s="13" t="s">
        <v>4362</v>
      </c>
      <c r="G952" s="10"/>
      <c r="H952" s="10"/>
      <c r="I952" s="10" t="s">
        <v>4039</v>
      </c>
    </row>
    <row r="953" spans="1:9" ht="14.25" customHeight="1" x14ac:dyDescent="0.25">
      <c r="A953" s="7" t="s">
        <v>4363</v>
      </c>
      <c r="B953" s="8" t="s">
        <v>4364</v>
      </c>
      <c r="C953" s="8" t="s">
        <v>4361</v>
      </c>
      <c r="D953" s="8" t="s">
        <v>3163</v>
      </c>
      <c r="E953" s="8" t="s">
        <v>4254</v>
      </c>
      <c r="F953" s="13" t="s">
        <v>4362</v>
      </c>
      <c r="G953" s="10"/>
      <c r="H953" s="10"/>
      <c r="I953" s="10" t="s">
        <v>4039</v>
      </c>
    </row>
    <row r="954" spans="1:9" ht="14.25" customHeight="1" x14ac:dyDescent="0.25">
      <c r="A954" s="7" t="s">
        <v>4365</v>
      </c>
      <c r="B954" s="8" t="s">
        <v>4366</v>
      </c>
      <c r="C954" s="8" t="s">
        <v>4367</v>
      </c>
      <c r="D954" s="8" t="s">
        <v>3163</v>
      </c>
      <c r="E954" s="8" t="s">
        <v>412</v>
      </c>
      <c r="F954" s="13" t="s">
        <v>4368</v>
      </c>
      <c r="G954" s="10" t="s">
        <v>4369</v>
      </c>
      <c r="H954" s="10" t="s">
        <v>4370</v>
      </c>
      <c r="I954" s="10" t="s">
        <v>4371</v>
      </c>
    </row>
    <row r="955" spans="1:9" ht="14.25" customHeight="1" x14ac:dyDescent="0.25">
      <c r="A955" s="7" t="s">
        <v>4372</v>
      </c>
      <c r="B955" s="8" t="s">
        <v>4373</v>
      </c>
      <c r="C955" s="8" t="s">
        <v>4374</v>
      </c>
      <c r="D955" s="8" t="s">
        <v>3163</v>
      </c>
      <c r="E955" s="8" t="s">
        <v>412</v>
      </c>
      <c r="F955" s="13" t="s">
        <v>4375</v>
      </c>
      <c r="G955" s="10"/>
      <c r="H955" s="10"/>
      <c r="I955" s="10" t="s">
        <v>4039</v>
      </c>
    </row>
    <row r="956" spans="1:9" ht="14.25" customHeight="1" x14ac:dyDescent="0.25">
      <c r="A956" s="7" t="s">
        <v>4376</v>
      </c>
      <c r="B956" s="8" t="s">
        <v>2522</v>
      </c>
      <c r="C956" s="8" t="s">
        <v>4377</v>
      </c>
      <c r="D956" s="8" t="s">
        <v>3163</v>
      </c>
      <c r="E956" s="8" t="s">
        <v>412</v>
      </c>
      <c r="F956" s="13" t="s">
        <v>4378</v>
      </c>
      <c r="G956" s="10" t="s">
        <v>4379</v>
      </c>
      <c r="H956" s="10" t="s">
        <v>4380</v>
      </c>
      <c r="I956" s="10"/>
    </row>
    <row r="957" spans="1:9" ht="14.25" customHeight="1" x14ac:dyDescent="0.25">
      <c r="A957" s="7" t="s">
        <v>4381</v>
      </c>
      <c r="B957" s="8" t="s">
        <v>4382</v>
      </c>
      <c r="C957" s="8" t="s">
        <v>2085</v>
      </c>
      <c r="D957" s="8" t="s">
        <v>3163</v>
      </c>
      <c r="E957" s="8" t="s">
        <v>412</v>
      </c>
      <c r="F957" s="13" t="s">
        <v>4383</v>
      </c>
      <c r="G957" s="10"/>
      <c r="H957" s="10"/>
      <c r="I957" s="10" t="s">
        <v>4384</v>
      </c>
    </row>
    <row r="958" spans="1:9" ht="14.25" customHeight="1" x14ac:dyDescent="0.25">
      <c r="A958" s="7" t="s">
        <v>4385</v>
      </c>
      <c r="B958" s="8" t="s">
        <v>417</v>
      </c>
      <c r="C958" s="8" t="s">
        <v>4386</v>
      </c>
      <c r="D958" s="8" t="s">
        <v>411</v>
      </c>
      <c r="E958" s="8" t="s">
        <v>412</v>
      </c>
      <c r="F958" s="13" t="s">
        <v>4387</v>
      </c>
      <c r="G958" s="10"/>
      <c r="H958" s="10"/>
      <c r="I958" s="10" t="s">
        <v>4384</v>
      </c>
    </row>
    <row r="959" spans="1:9" ht="14.25" customHeight="1" x14ac:dyDescent="0.25">
      <c r="A959" s="7" t="s">
        <v>4388</v>
      </c>
      <c r="B959" s="8" t="s">
        <v>4389</v>
      </c>
      <c r="C959" s="8" t="s">
        <v>2411</v>
      </c>
      <c r="D959" s="8" t="s">
        <v>411</v>
      </c>
      <c r="E959" s="8" t="s">
        <v>412</v>
      </c>
      <c r="F959" s="11" t="s">
        <v>4390</v>
      </c>
      <c r="G959" s="10" t="s">
        <v>4391</v>
      </c>
      <c r="H959" s="10" t="s">
        <v>15</v>
      </c>
      <c r="I959" s="10" t="s">
        <v>4384</v>
      </c>
    </row>
    <row r="960" spans="1:9" ht="14.25" customHeight="1" x14ac:dyDescent="0.25">
      <c r="A960" s="19" t="s">
        <v>4392</v>
      </c>
      <c r="B960" s="8" t="s">
        <v>4393</v>
      </c>
      <c r="C960" s="8" t="s">
        <v>4394</v>
      </c>
      <c r="D960" s="8" t="s">
        <v>3163</v>
      </c>
      <c r="E960" s="8" t="s">
        <v>3890</v>
      </c>
      <c r="F960" s="11" t="s">
        <v>4395</v>
      </c>
      <c r="G960" s="10"/>
      <c r="H960" s="10"/>
      <c r="I960" s="10" t="s">
        <v>4384</v>
      </c>
    </row>
    <row r="961" spans="1:9" ht="14.25" customHeight="1" x14ac:dyDescent="0.25">
      <c r="A961" s="7" t="s">
        <v>4055</v>
      </c>
      <c r="B961" s="8" t="s">
        <v>2230</v>
      </c>
      <c r="C961" s="8" t="s">
        <v>4056</v>
      </c>
      <c r="D961" s="8" t="s">
        <v>411</v>
      </c>
      <c r="E961" s="8" t="s">
        <v>412</v>
      </c>
      <c r="F961" s="13"/>
      <c r="G961" s="10"/>
      <c r="H961" s="10"/>
      <c r="I961" s="10"/>
    </row>
    <row r="962" spans="1:9" ht="14.25" customHeight="1" x14ac:dyDescent="0.25">
      <c r="A962" s="7" t="s">
        <v>4396</v>
      </c>
      <c r="B962" s="8" t="s">
        <v>4397</v>
      </c>
      <c r="C962" s="8" t="s">
        <v>4398</v>
      </c>
      <c r="D962" s="8" t="s">
        <v>411</v>
      </c>
      <c r="E962" s="8" t="s">
        <v>1359</v>
      </c>
      <c r="F962" s="13" t="s">
        <v>4399</v>
      </c>
      <c r="G962" s="10"/>
      <c r="H962" s="10"/>
      <c r="I962" s="10" t="s">
        <v>4384</v>
      </c>
    </row>
    <row r="963" spans="1:9" ht="14.25" customHeight="1" x14ac:dyDescent="0.25">
      <c r="A963" s="7" t="s">
        <v>4400</v>
      </c>
      <c r="B963" s="8" t="s">
        <v>4401</v>
      </c>
      <c r="C963" s="8" t="s">
        <v>4402</v>
      </c>
      <c r="D963" s="8" t="s">
        <v>411</v>
      </c>
      <c r="E963" s="8" t="s">
        <v>412</v>
      </c>
      <c r="F963" s="13" t="s">
        <v>4403</v>
      </c>
      <c r="G963" s="10"/>
      <c r="H963" s="10"/>
      <c r="I963" s="10" t="s">
        <v>4404</v>
      </c>
    </row>
    <row r="964" spans="1:9" ht="14.25" customHeight="1" x14ac:dyDescent="0.25">
      <c r="A964" s="19" t="s">
        <v>4405</v>
      </c>
      <c r="B964" s="8" t="s">
        <v>4406</v>
      </c>
      <c r="C964" s="8" t="s">
        <v>4407</v>
      </c>
      <c r="D964" s="8" t="s">
        <v>411</v>
      </c>
      <c r="E964" s="8" t="s">
        <v>412</v>
      </c>
      <c r="F964" s="13"/>
      <c r="G964" s="10"/>
      <c r="H964" s="10"/>
      <c r="I964" s="10"/>
    </row>
    <row r="965" spans="1:9" ht="14.25" customHeight="1" x14ac:dyDescent="0.25">
      <c r="A965" s="7" t="s">
        <v>4408</v>
      </c>
      <c r="B965" s="8" t="s">
        <v>4409</v>
      </c>
      <c r="C965" s="8" t="s">
        <v>4410</v>
      </c>
      <c r="D965" s="8" t="s">
        <v>3163</v>
      </c>
      <c r="E965" s="8" t="s">
        <v>412</v>
      </c>
      <c r="F965" s="13" t="s">
        <v>4411</v>
      </c>
      <c r="G965" s="10" t="s">
        <v>4412</v>
      </c>
      <c r="H965" s="10" t="s">
        <v>37</v>
      </c>
      <c r="I965" s="10" t="s">
        <v>4384</v>
      </c>
    </row>
    <row r="966" spans="1:9" ht="14.25" customHeight="1" x14ac:dyDescent="0.25">
      <c r="A966" s="7" t="s">
        <v>4413</v>
      </c>
      <c r="B966" s="8" t="s">
        <v>4414</v>
      </c>
      <c r="C966" s="8" t="s">
        <v>4415</v>
      </c>
      <c r="D966" s="8" t="s">
        <v>3163</v>
      </c>
      <c r="E966" s="8" t="s">
        <v>412</v>
      </c>
      <c r="F966" s="11" t="s">
        <v>4416</v>
      </c>
      <c r="G966" s="10" t="s">
        <v>4417</v>
      </c>
      <c r="H966" s="10" t="s">
        <v>4199</v>
      </c>
      <c r="I966" s="10" t="s">
        <v>4325</v>
      </c>
    </row>
    <row r="967" spans="1:9" ht="14.25" customHeight="1" x14ac:dyDescent="0.25">
      <c r="A967" s="7" t="s">
        <v>4418</v>
      </c>
      <c r="B967" s="8" t="s">
        <v>4419</v>
      </c>
      <c r="C967" s="8" t="s">
        <v>4420</v>
      </c>
      <c r="D967" s="8" t="s">
        <v>411</v>
      </c>
      <c r="E967" s="8" t="s">
        <v>412</v>
      </c>
      <c r="F967" s="13" t="s">
        <v>4421</v>
      </c>
      <c r="G967" s="10"/>
      <c r="H967" s="10"/>
      <c r="I967" s="10" t="s">
        <v>4384</v>
      </c>
    </row>
    <row r="968" spans="1:9" ht="14.25" customHeight="1" x14ac:dyDescent="0.25">
      <c r="A968" s="7" t="s">
        <v>4060</v>
      </c>
      <c r="B968" s="8" t="s">
        <v>3788</v>
      </c>
      <c r="C968" s="8" t="s">
        <v>4061</v>
      </c>
      <c r="D968" s="8" t="s">
        <v>3163</v>
      </c>
      <c r="E968" s="8" t="s">
        <v>412</v>
      </c>
      <c r="F968" s="13" t="s">
        <v>4062</v>
      </c>
      <c r="G968" s="10"/>
      <c r="H968" s="10"/>
      <c r="I968" s="10"/>
    </row>
    <row r="969" spans="1:9" ht="14.25" customHeight="1" x14ac:dyDescent="0.25">
      <c r="A969" s="7" t="s">
        <v>4422</v>
      </c>
      <c r="B969" s="8" t="s">
        <v>4423</v>
      </c>
      <c r="C969" s="8" t="s">
        <v>4424</v>
      </c>
      <c r="D969" s="8" t="s">
        <v>3163</v>
      </c>
      <c r="E969" s="8" t="s">
        <v>1359</v>
      </c>
      <c r="F969" s="11" t="s">
        <v>4425</v>
      </c>
      <c r="G969" s="10" t="s">
        <v>4426</v>
      </c>
      <c r="H969" s="10" t="s">
        <v>37</v>
      </c>
      <c r="I969" s="10" t="s">
        <v>4325</v>
      </c>
    </row>
    <row r="970" spans="1:9" ht="14.25" customHeight="1" x14ac:dyDescent="0.25">
      <c r="A970" s="7" t="s">
        <v>4427</v>
      </c>
      <c r="B970" s="8" t="s">
        <v>4428</v>
      </c>
      <c r="C970" s="8" t="s">
        <v>4429</v>
      </c>
      <c r="D970" s="8" t="s">
        <v>3163</v>
      </c>
      <c r="E970" s="8" t="s">
        <v>412</v>
      </c>
      <c r="F970" s="13" t="s">
        <v>4430</v>
      </c>
      <c r="G970" s="10"/>
      <c r="H970" s="10"/>
      <c r="I970" s="10" t="s">
        <v>4039</v>
      </c>
    </row>
    <row r="971" spans="1:9" ht="14.25" customHeight="1" x14ac:dyDescent="0.25">
      <c r="A971" s="7" t="s">
        <v>4431</v>
      </c>
      <c r="B971" s="8" t="s">
        <v>57</v>
      </c>
      <c r="C971" s="8" t="s">
        <v>4432</v>
      </c>
      <c r="D971" s="8" t="s">
        <v>3163</v>
      </c>
      <c r="E971" s="8" t="s">
        <v>4433</v>
      </c>
      <c r="F971" s="13" t="s">
        <v>4434</v>
      </c>
      <c r="G971" s="10"/>
      <c r="H971" s="10"/>
      <c r="I971" s="10" t="s">
        <v>4325</v>
      </c>
    </row>
    <row r="972" spans="1:9" ht="14.25" customHeight="1" x14ac:dyDescent="0.25">
      <c r="A972" s="21" t="s">
        <v>4435</v>
      </c>
      <c r="B972" s="8" t="s">
        <v>2208</v>
      </c>
      <c r="C972" s="8" t="s">
        <v>4436</v>
      </c>
      <c r="D972" s="8"/>
      <c r="E972" s="8" t="s">
        <v>4433</v>
      </c>
      <c r="F972" s="13" t="s">
        <v>4437</v>
      </c>
      <c r="G972" s="10"/>
      <c r="H972" s="10"/>
      <c r="I972" s="10" t="s">
        <v>4325</v>
      </c>
    </row>
    <row r="973" spans="1:9" ht="14.25" customHeight="1" x14ac:dyDescent="0.25">
      <c r="A973" s="21" t="s">
        <v>4438</v>
      </c>
      <c r="B973" s="8" t="s">
        <v>4439</v>
      </c>
      <c r="C973" s="8" t="s">
        <v>4440</v>
      </c>
      <c r="D973" s="8"/>
      <c r="E973" s="8" t="s">
        <v>3890</v>
      </c>
      <c r="F973" s="13" t="s">
        <v>4441</v>
      </c>
      <c r="G973" s="10"/>
      <c r="H973" s="10"/>
      <c r="I973" s="10" t="s">
        <v>4384</v>
      </c>
    </row>
    <row r="974" spans="1:9" ht="14.25" customHeight="1" x14ac:dyDescent="0.25">
      <c r="A974" s="19" t="s">
        <v>4442</v>
      </c>
      <c r="B974" s="8" t="s">
        <v>2656</v>
      </c>
      <c r="C974" s="8" t="s">
        <v>4436</v>
      </c>
      <c r="D974" s="8" t="s">
        <v>411</v>
      </c>
      <c r="E974" s="8" t="s">
        <v>1359</v>
      </c>
      <c r="F974" s="13" t="s">
        <v>4443</v>
      </c>
      <c r="G974" s="10"/>
      <c r="H974" s="10"/>
      <c r="I974" s="10" t="s">
        <v>4384</v>
      </c>
    </row>
    <row r="975" spans="1:9" ht="14.25" customHeight="1" x14ac:dyDescent="0.25">
      <c r="A975" s="19" t="s">
        <v>4444</v>
      </c>
      <c r="B975" s="8" t="s">
        <v>1861</v>
      </c>
      <c r="C975" s="8" t="s">
        <v>4445</v>
      </c>
      <c r="D975" s="8" t="s">
        <v>3163</v>
      </c>
      <c r="E975" s="8" t="s">
        <v>4446</v>
      </c>
      <c r="F975" s="13"/>
      <c r="G975" s="10"/>
      <c r="H975" s="10"/>
      <c r="I975" s="10"/>
    </row>
    <row r="976" spans="1:9" ht="14.25" customHeight="1" x14ac:dyDescent="0.25">
      <c r="A976" s="7" t="s">
        <v>4447</v>
      </c>
      <c r="B976" s="8" t="s">
        <v>4053</v>
      </c>
      <c r="C976" s="8" t="s">
        <v>4448</v>
      </c>
      <c r="D976" s="8"/>
      <c r="E976" s="8" t="s">
        <v>412</v>
      </c>
      <c r="F976" s="13" t="s">
        <v>4449</v>
      </c>
      <c r="G976" s="10"/>
      <c r="H976" s="10"/>
      <c r="I976" s="10" t="s">
        <v>4039</v>
      </c>
    </row>
    <row r="977" spans="1:9" ht="14.25" customHeight="1" x14ac:dyDescent="0.25">
      <c r="A977" s="7" t="s">
        <v>4450</v>
      </c>
      <c r="B977" s="8" t="s">
        <v>4451</v>
      </c>
      <c r="C977" s="8" t="s">
        <v>4452</v>
      </c>
      <c r="D977" s="8"/>
      <c r="E977" s="8" t="s">
        <v>3890</v>
      </c>
      <c r="F977" s="13"/>
      <c r="G977" s="10"/>
      <c r="H977" s="10"/>
      <c r="I977" s="10"/>
    </row>
    <row r="978" spans="1:9" ht="14.25" customHeight="1" x14ac:dyDescent="0.25">
      <c r="A978" s="7" t="s">
        <v>4453</v>
      </c>
      <c r="B978" s="8" t="s">
        <v>4454</v>
      </c>
      <c r="C978" s="8" t="s">
        <v>4455</v>
      </c>
      <c r="D978" s="8"/>
      <c r="E978" s="8" t="s">
        <v>3890</v>
      </c>
      <c r="F978" s="13"/>
      <c r="G978" s="10"/>
      <c r="H978" s="10"/>
      <c r="I978" s="10"/>
    </row>
    <row r="979" spans="1:9" ht="14.25" customHeight="1" x14ac:dyDescent="0.25">
      <c r="A979" s="7" t="s">
        <v>4456</v>
      </c>
      <c r="B979" s="8" t="s">
        <v>4457</v>
      </c>
      <c r="C979" s="8" t="s">
        <v>4458</v>
      </c>
      <c r="D979" s="8"/>
      <c r="E979" s="8" t="s">
        <v>412</v>
      </c>
      <c r="F979" s="13" t="s">
        <v>4459</v>
      </c>
      <c r="G979" s="10"/>
      <c r="H979" s="10"/>
      <c r="I979" s="10" t="s">
        <v>4039</v>
      </c>
    </row>
    <row r="980" spans="1:9" ht="14.25" customHeight="1" x14ac:dyDescent="0.25">
      <c r="A980" s="7" t="s">
        <v>4460</v>
      </c>
      <c r="B980" s="8" t="s">
        <v>4461</v>
      </c>
      <c r="C980" s="8" t="s">
        <v>4462</v>
      </c>
      <c r="D980" s="8"/>
      <c r="E980" s="8" t="s">
        <v>3865</v>
      </c>
      <c r="F980" s="13"/>
      <c r="G980" s="10"/>
      <c r="H980" s="10"/>
      <c r="I980" s="10"/>
    </row>
    <row r="981" spans="1:9" ht="14.25" customHeight="1" x14ac:dyDescent="0.25">
      <c r="A981" s="7" t="s">
        <v>4463</v>
      </c>
      <c r="B981" s="8" t="s">
        <v>4464</v>
      </c>
      <c r="C981" s="8" t="s">
        <v>4465</v>
      </c>
      <c r="D981" s="8"/>
      <c r="E981" s="8" t="s">
        <v>412</v>
      </c>
      <c r="F981" s="13"/>
      <c r="G981" s="10"/>
      <c r="H981" s="10"/>
      <c r="I981" s="10"/>
    </row>
    <row r="982" spans="1:9" ht="14.25" customHeight="1" x14ac:dyDescent="0.25">
      <c r="A982" s="7" t="s">
        <v>4466</v>
      </c>
      <c r="B982" s="8" t="s">
        <v>4467</v>
      </c>
      <c r="C982" s="8" t="s">
        <v>4468</v>
      </c>
      <c r="D982" s="8"/>
      <c r="E982" s="8" t="s">
        <v>3890</v>
      </c>
      <c r="F982" s="13" t="s">
        <v>4469</v>
      </c>
      <c r="G982" s="10"/>
      <c r="H982" s="10"/>
      <c r="I982" s="10"/>
    </row>
    <row r="983" spans="1:9" ht="14.25" customHeight="1" x14ac:dyDescent="0.25">
      <c r="A983" s="7" t="s">
        <v>4470</v>
      </c>
      <c r="B983" s="8" t="s">
        <v>4471</v>
      </c>
      <c r="C983" s="8" t="s">
        <v>4472</v>
      </c>
      <c r="D983" s="8"/>
      <c r="E983" s="8" t="s">
        <v>3890</v>
      </c>
      <c r="F983" s="13" t="s">
        <v>4473</v>
      </c>
      <c r="G983" s="10"/>
      <c r="H983" s="10"/>
      <c r="I983" s="10"/>
    </row>
    <row r="984" spans="1:9" ht="14.25" customHeight="1" x14ac:dyDescent="0.25">
      <c r="A984" s="7" t="s">
        <v>4474</v>
      </c>
      <c r="B984" s="8" t="s">
        <v>4475</v>
      </c>
      <c r="C984" s="8" t="s">
        <v>4476</v>
      </c>
      <c r="D984" s="8"/>
      <c r="E984" s="8" t="s">
        <v>412</v>
      </c>
      <c r="F984" s="13"/>
      <c r="G984" s="10"/>
      <c r="H984" s="10"/>
      <c r="I984" s="10"/>
    </row>
    <row r="985" spans="1:9" ht="14.25" customHeight="1" x14ac:dyDescent="0.25">
      <c r="A985" s="7" t="s">
        <v>4477</v>
      </c>
      <c r="B985" s="8" t="s">
        <v>4478</v>
      </c>
      <c r="C985" s="8" t="s">
        <v>4479</v>
      </c>
      <c r="D985" s="8"/>
      <c r="E985" s="8" t="s">
        <v>412</v>
      </c>
      <c r="F985" s="13"/>
      <c r="G985" s="10"/>
      <c r="H985" s="10"/>
      <c r="I985" s="10"/>
    </row>
    <row r="986" spans="1:9" ht="14.25" customHeight="1" x14ac:dyDescent="0.25">
      <c r="A986" s="7" t="s">
        <v>4480</v>
      </c>
      <c r="B986" s="8" t="s">
        <v>760</v>
      </c>
      <c r="C986" s="8" t="s">
        <v>462</v>
      </c>
      <c r="D986" s="8" t="s">
        <v>3163</v>
      </c>
      <c r="E986" s="8" t="s">
        <v>412</v>
      </c>
      <c r="F986" s="13" t="s">
        <v>4481</v>
      </c>
      <c r="G986" s="10"/>
      <c r="H986" s="10"/>
      <c r="I986" s="10" t="s">
        <v>4039</v>
      </c>
    </row>
    <row r="987" spans="1:9" ht="14.25" customHeight="1" x14ac:dyDescent="0.25">
      <c r="A987" s="7" t="s">
        <v>4482</v>
      </c>
      <c r="B987" s="8" t="s">
        <v>944</v>
      </c>
      <c r="C987" s="8" t="s">
        <v>4483</v>
      </c>
      <c r="D987" s="8" t="s">
        <v>411</v>
      </c>
      <c r="E987" s="8" t="s">
        <v>3890</v>
      </c>
      <c r="F987" s="13" t="s">
        <v>4484</v>
      </c>
      <c r="G987" s="10"/>
      <c r="H987" s="10"/>
      <c r="I987" s="10"/>
    </row>
    <row r="988" spans="1:9" ht="14.25" customHeight="1" x14ac:dyDescent="0.25">
      <c r="A988" s="7" t="s">
        <v>4485</v>
      </c>
      <c r="B988" s="8" t="s">
        <v>4486</v>
      </c>
      <c r="C988" s="8" t="s">
        <v>4487</v>
      </c>
      <c r="D988" s="8" t="s">
        <v>3163</v>
      </c>
      <c r="E988" s="8" t="s">
        <v>3890</v>
      </c>
      <c r="F988" s="11" t="s">
        <v>4488</v>
      </c>
      <c r="G988" s="10" t="s">
        <v>4489</v>
      </c>
      <c r="H988" s="10" t="s">
        <v>61</v>
      </c>
      <c r="I988" s="10"/>
    </row>
    <row r="989" spans="1:9" ht="14.25" customHeight="1" x14ac:dyDescent="0.25">
      <c r="A989" s="7" t="s">
        <v>4490</v>
      </c>
      <c r="B989" s="8" t="s">
        <v>4491</v>
      </c>
      <c r="C989" s="8" t="s">
        <v>4492</v>
      </c>
      <c r="D989" s="8" t="s">
        <v>411</v>
      </c>
      <c r="E989" s="8" t="s">
        <v>412</v>
      </c>
      <c r="F989" s="11" t="s">
        <v>4493</v>
      </c>
      <c r="G989" s="10" t="s">
        <v>4494</v>
      </c>
      <c r="H989" s="10" t="s">
        <v>4495</v>
      </c>
      <c r="I989" s="10" t="s">
        <v>4325</v>
      </c>
    </row>
    <row r="990" spans="1:9" ht="14.25" customHeight="1" x14ac:dyDescent="0.25">
      <c r="A990" s="7" t="s">
        <v>4496</v>
      </c>
      <c r="B990" s="8" t="s">
        <v>4497</v>
      </c>
      <c r="C990" s="8" t="s">
        <v>4498</v>
      </c>
      <c r="D990" s="8" t="s">
        <v>411</v>
      </c>
      <c r="E990" s="8" t="s">
        <v>412</v>
      </c>
      <c r="F990" s="13" t="s">
        <v>4499</v>
      </c>
      <c r="G990" s="10"/>
      <c r="H990" s="10"/>
      <c r="I990" s="10" t="s">
        <v>4325</v>
      </c>
    </row>
    <row r="991" spans="1:9" ht="14.25" customHeight="1" x14ac:dyDescent="0.25">
      <c r="A991" s="7" t="s">
        <v>4500</v>
      </c>
      <c r="B991" s="8" t="s">
        <v>4501</v>
      </c>
      <c r="C991" s="8" t="s">
        <v>4502</v>
      </c>
      <c r="D991" s="8" t="s">
        <v>411</v>
      </c>
      <c r="E991" s="8" t="s">
        <v>412</v>
      </c>
      <c r="F991" s="13" t="s">
        <v>4503</v>
      </c>
      <c r="G991" s="10"/>
      <c r="H991" s="10"/>
      <c r="I991" s="10"/>
    </row>
    <row r="992" spans="1:9" ht="14.25" customHeight="1" x14ac:dyDescent="0.25">
      <c r="A992" s="7" t="s">
        <v>4504</v>
      </c>
      <c r="B992" s="8" t="s">
        <v>4278</v>
      </c>
      <c r="C992" s="8" t="s">
        <v>4505</v>
      </c>
      <c r="D992" s="8" t="s">
        <v>411</v>
      </c>
      <c r="E992" s="8" t="s">
        <v>412</v>
      </c>
      <c r="F992" s="13" t="s">
        <v>4506</v>
      </c>
      <c r="G992" s="10"/>
      <c r="H992" s="10"/>
      <c r="I992" s="10" t="s">
        <v>4039</v>
      </c>
    </row>
    <row r="993" spans="1:9" ht="14.25" customHeight="1" x14ac:dyDescent="0.25">
      <c r="A993" s="7" t="s">
        <v>4507</v>
      </c>
      <c r="B993" s="8" t="s">
        <v>4191</v>
      </c>
      <c r="C993" s="8" t="s">
        <v>4508</v>
      </c>
      <c r="D993" s="8" t="s">
        <v>411</v>
      </c>
      <c r="E993" s="8" t="s">
        <v>412</v>
      </c>
      <c r="F993" s="13" t="s">
        <v>4509</v>
      </c>
      <c r="G993" s="10"/>
      <c r="H993" s="10"/>
      <c r="I993" s="10" t="s">
        <v>4039</v>
      </c>
    </row>
    <row r="994" spans="1:9" ht="14.25" customHeight="1" x14ac:dyDescent="0.25">
      <c r="A994" s="7" t="s">
        <v>4510</v>
      </c>
      <c r="B994" s="8" t="s">
        <v>4511</v>
      </c>
      <c r="C994" s="8" t="s">
        <v>4512</v>
      </c>
      <c r="D994" s="8" t="s">
        <v>411</v>
      </c>
      <c r="E994" s="8" t="s">
        <v>412</v>
      </c>
      <c r="F994" s="13" t="s">
        <v>4513</v>
      </c>
      <c r="G994" s="10"/>
      <c r="H994" s="10"/>
      <c r="I994" s="10" t="s">
        <v>4039</v>
      </c>
    </row>
    <row r="995" spans="1:9" ht="14.25" customHeight="1" x14ac:dyDescent="0.25">
      <c r="A995" s="7" t="s">
        <v>4514</v>
      </c>
      <c r="B995" s="8" t="s">
        <v>4515</v>
      </c>
      <c r="C995" s="8" t="s">
        <v>4516</v>
      </c>
      <c r="D995" s="8" t="s">
        <v>411</v>
      </c>
      <c r="E995" s="8" t="s">
        <v>412</v>
      </c>
      <c r="F995" s="13" t="s">
        <v>4517</v>
      </c>
      <c r="G995" s="10"/>
      <c r="H995" s="10"/>
      <c r="I995" s="10" t="s">
        <v>4325</v>
      </c>
    </row>
    <row r="996" spans="1:9" ht="14.25" customHeight="1" x14ac:dyDescent="0.25">
      <c r="A996" s="7" t="s">
        <v>4518</v>
      </c>
      <c r="B996" s="8" t="s">
        <v>4519</v>
      </c>
      <c r="C996" s="8" t="s">
        <v>1114</v>
      </c>
      <c r="D996" s="8" t="s">
        <v>411</v>
      </c>
      <c r="E996" s="8" t="s">
        <v>412</v>
      </c>
      <c r="F996" s="13" t="s">
        <v>4520</v>
      </c>
      <c r="G996" s="10"/>
      <c r="H996" s="10"/>
      <c r="I996" s="10" t="s">
        <v>4039</v>
      </c>
    </row>
    <row r="997" spans="1:9" ht="14.25" customHeight="1" x14ac:dyDescent="0.25">
      <c r="A997" s="7" t="s">
        <v>4521</v>
      </c>
      <c r="B997" s="8" t="s">
        <v>4522</v>
      </c>
      <c r="C997" s="8" t="s">
        <v>2024</v>
      </c>
      <c r="D997" s="8" t="s">
        <v>411</v>
      </c>
      <c r="E997" s="8" t="s">
        <v>412</v>
      </c>
      <c r="F997" s="13" t="s">
        <v>4523</v>
      </c>
      <c r="G997" s="10"/>
      <c r="H997" s="10"/>
      <c r="I997" s="10"/>
    </row>
    <row r="998" spans="1:9" ht="14.25" customHeight="1" x14ac:dyDescent="0.25">
      <c r="A998" s="7" t="s">
        <v>4524</v>
      </c>
      <c r="B998" s="8" t="s">
        <v>4092</v>
      </c>
      <c r="C998" s="8" t="s">
        <v>4525</v>
      </c>
      <c r="D998" s="8" t="s">
        <v>411</v>
      </c>
      <c r="E998" s="8" t="s">
        <v>4254</v>
      </c>
      <c r="F998" s="13" t="s">
        <v>4526</v>
      </c>
      <c r="G998" s="10"/>
      <c r="H998" s="10"/>
      <c r="I998" s="10" t="s">
        <v>4039</v>
      </c>
    </row>
    <row r="999" spans="1:9" ht="14.25" customHeight="1" x14ac:dyDescent="0.25">
      <c r="A999" s="7" t="s">
        <v>4527</v>
      </c>
      <c r="B999" s="8" t="s">
        <v>691</v>
      </c>
      <c r="C999" s="8" t="s">
        <v>4528</v>
      </c>
      <c r="D999" s="8" t="s">
        <v>3163</v>
      </c>
      <c r="E999" s="8" t="s">
        <v>4254</v>
      </c>
      <c r="F999" s="13" t="s">
        <v>4529</v>
      </c>
      <c r="G999" s="10"/>
      <c r="H999" s="10"/>
      <c r="I999" s="10" t="s">
        <v>4039</v>
      </c>
    </row>
    <row r="1000" spans="1:9" ht="14.25" customHeight="1" x14ac:dyDescent="0.25">
      <c r="A1000" s="7" t="s">
        <v>4530</v>
      </c>
      <c r="B1000" s="8" t="s">
        <v>4531</v>
      </c>
      <c r="C1000" s="8" t="s">
        <v>4532</v>
      </c>
      <c r="D1000" s="8"/>
      <c r="E1000" s="8" t="s">
        <v>412</v>
      </c>
      <c r="F1000" s="13" t="s">
        <v>4533</v>
      </c>
      <c r="G1000" s="10" t="s">
        <v>4534</v>
      </c>
      <c r="H1000" s="10" t="s">
        <v>2212</v>
      </c>
      <c r="I1000" s="10" t="s">
        <v>4325</v>
      </c>
    </row>
    <row r="1001" spans="1:9" ht="14.25" customHeight="1" x14ac:dyDescent="0.25">
      <c r="A1001" s="7" t="s">
        <v>4535</v>
      </c>
      <c r="B1001" s="8" t="s">
        <v>4536</v>
      </c>
      <c r="C1001" s="8" t="s">
        <v>1474</v>
      </c>
      <c r="D1001" s="8"/>
      <c r="E1001" s="8" t="s">
        <v>412</v>
      </c>
      <c r="F1001" s="13" t="s">
        <v>4537</v>
      </c>
      <c r="G1001" s="10"/>
      <c r="H1001" s="10"/>
      <c r="I1001" s="10"/>
    </row>
    <row r="1002" spans="1:9" ht="14.25" customHeight="1" x14ac:dyDescent="0.25">
      <c r="A1002" s="7" t="s">
        <v>4538</v>
      </c>
      <c r="B1002" s="8" t="s">
        <v>4539</v>
      </c>
      <c r="C1002" s="8" t="s">
        <v>4540</v>
      </c>
      <c r="D1002" s="8"/>
      <c r="E1002" s="8" t="s">
        <v>412</v>
      </c>
      <c r="F1002" s="13" t="s">
        <v>4541</v>
      </c>
      <c r="G1002" s="10"/>
      <c r="H1002" s="10"/>
      <c r="I1002" s="10"/>
    </row>
    <row r="1003" spans="1:9" ht="14.25" customHeight="1" x14ac:dyDescent="0.25">
      <c r="A1003" s="7" t="s">
        <v>4542</v>
      </c>
      <c r="B1003" s="8" t="s">
        <v>4543</v>
      </c>
      <c r="C1003" s="8" t="s">
        <v>4544</v>
      </c>
      <c r="D1003" s="8"/>
      <c r="E1003" s="8" t="s">
        <v>412</v>
      </c>
      <c r="F1003" s="13" t="s">
        <v>4545</v>
      </c>
      <c r="G1003" s="10"/>
      <c r="H1003" s="10"/>
      <c r="I1003" s="10" t="s">
        <v>4039</v>
      </c>
    </row>
    <row r="1004" spans="1:9" ht="14.25" customHeight="1" x14ac:dyDescent="0.25">
      <c r="A1004" s="7" t="s">
        <v>4546</v>
      </c>
      <c r="B1004" s="8" t="s">
        <v>4547</v>
      </c>
      <c r="C1004" s="8" t="s">
        <v>4548</v>
      </c>
      <c r="D1004" s="8"/>
      <c r="E1004" s="8" t="s">
        <v>3865</v>
      </c>
      <c r="F1004" s="8"/>
      <c r="G1004" s="10"/>
      <c r="H1004" s="10"/>
      <c r="I1004" s="10"/>
    </row>
    <row r="1005" spans="1:9" ht="14.25" customHeight="1" x14ac:dyDescent="0.25">
      <c r="A1005" s="7" t="s">
        <v>4549</v>
      </c>
      <c r="B1005" s="8" t="s">
        <v>838</v>
      </c>
      <c r="C1005" s="8" t="s">
        <v>4550</v>
      </c>
      <c r="D1005" s="8"/>
      <c r="E1005" s="8" t="s">
        <v>3890</v>
      </c>
      <c r="F1005" s="8"/>
      <c r="G1005" s="10"/>
      <c r="H1005" s="10"/>
      <c r="I1005" s="10"/>
    </row>
    <row r="1006" spans="1:9" ht="14.25" customHeight="1" x14ac:dyDescent="0.25">
      <c r="A1006" s="7" t="s">
        <v>4551</v>
      </c>
      <c r="B1006" s="8" t="s">
        <v>4552</v>
      </c>
      <c r="C1006" s="8" t="s">
        <v>122</v>
      </c>
      <c r="D1006" s="8"/>
      <c r="E1006" s="8" t="s">
        <v>3890</v>
      </c>
      <c r="F1006" s="8"/>
      <c r="G1006" s="10"/>
      <c r="H1006" s="10"/>
      <c r="I1006" s="10"/>
    </row>
    <row r="1007" spans="1:9" ht="14.25" customHeight="1" x14ac:dyDescent="0.25">
      <c r="A1007" s="7" t="s">
        <v>4553</v>
      </c>
      <c r="B1007" s="8" t="s">
        <v>4554</v>
      </c>
      <c r="C1007" s="8" t="s">
        <v>4555</v>
      </c>
      <c r="D1007" s="8"/>
      <c r="E1007" s="8" t="s">
        <v>412</v>
      </c>
      <c r="F1007" s="8"/>
      <c r="G1007" s="10"/>
      <c r="H1007" s="10"/>
      <c r="I1007" s="10"/>
    </row>
    <row r="1008" spans="1:9" ht="14.25" customHeight="1" x14ac:dyDescent="0.25">
      <c r="A1008" s="7" t="s">
        <v>4556</v>
      </c>
      <c r="B1008" s="8" t="s">
        <v>4557</v>
      </c>
      <c r="C1008" s="8" t="s">
        <v>4555</v>
      </c>
      <c r="D1008" s="8"/>
      <c r="E1008" s="8" t="s">
        <v>412</v>
      </c>
      <c r="F1008" s="8"/>
      <c r="G1008" s="10"/>
      <c r="H1008" s="10"/>
      <c r="I1008" s="10"/>
    </row>
    <row r="1009" spans="1:9" ht="14.25" customHeight="1" x14ac:dyDescent="0.25">
      <c r="A1009" s="7" t="s">
        <v>4558</v>
      </c>
      <c r="B1009" s="8" t="s">
        <v>1676</v>
      </c>
      <c r="C1009" s="8" t="s">
        <v>4559</v>
      </c>
      <c r="D1009" s="8"/>
      <c r="E1009" s="8" t="s">
        <v>412</v>
      </c>
      <c r="F1009" s="13" t="s">
        <v>4560</v>
      </c>
      <c r="G1009" s="10"/>
      <c r="H1009" s="10"/>
      <c r="I1009" s="10"/>
    </row>
    <row r="1010" spans="1:9" ht="14.25" customHeight="1" x14ac:dyDescent="0.25">
      <c r="A1010" s="7" t="s">
        <v>4561</v>
      </c>
      <c r="B1010" s="8" t="s">
        <v>4562</v>
      </c>
      <c r="C1010" s="8" t="s">
        <v>4563</v>
      </c>
      <c r="D1010" s="8" t="s">
        <v>3163</v>
      </c>
      <c r="E1010" s="8" t="s">
        <v>412</v>
      </c>
      <c r="F1010" s="13" t="s">
        <v>4564</v>
      </c>
      <c r="G1010" s="10"/>
      <c r="H1010" s="10"/>
      <c r="I1010" s="10" t="s">
        <v>4039</v>
      </c>
    </row>
    <row r="1011" spans="1:9" ht="14.25" customHeight="1" x14ac:dyDescent="0.25">
      <c r="A1011" s="7" t="s">
        <v>4565</v>
      </c>
      <c r="B1011" s="8" t="s">
        <v>4566</v>
      </c>
      <c r="C1011" s="8" t="s">
        <v>4567</v>
      </c>
      <c r="D1011" s="8" t="s">
        <v>411</v>
      </c>
      <c r="E1011" s="8" t="s">
        <v>4021</v>
      </c>
      <c r="F1011" s="13" t="s">
        <v>4568</v>
      </c>
      <c r="G1011" s="10" t="s">
        <v>4569</v>
      </c>
      <c r="H1011" s="10" t="s">
        <v>2212</v>
      </c>
      <c r="I1011" s="10"/>
    </row>
    <row r="1012" spans="1:9" ht="14.25" customHeight="1" x14ac:dyDescent="0.25">
      <c r="A1012" s="7" t="s">
        <v>4570</v>
      </c>
      <c r="B1012" s="8" t="s">
        <v>1727</v>
      </c>
      <c r="C1012" s="8" t="s">
        <v>4571</v>
      </c>
      <c r="D1012" s="8" t="s">
        <v>411</v>
      </c>
      <c r="E1012" s="8" t="s">
        <v>412</v>
      </c>
      <c r="F1012" s="13" t="s">
        <v>4572</v>
      </c>
      <c r="G1012" s="10" t="s">
        <v>4573</v>
      </c>
      <c r="H1012" s="10" t="s">
        <v>25</v>
      </c>
      <c r="I1012" s="10"/>
    </row>
    <row r="1013" spans="1:9" ht="14.25" customHeight="1" x14ac:dyDescent="0.25">
      <c r="A1013" s="7" t="s">
        <v>4574</v>
      </c>
      <c r="B1013" s="8" t="s">
        <v>4575</v>
      </c>
      <c r="C1013" s="8" t="s">
        <v>3615</v>
      </c>
      <c r="D1013" s="8" t="s">
        <v>411</v>
      </c>
      <c r="E1013" s="8" t="s">
        <v>3749</v>
      </c>
      <c r="F1013" s="8"/>
      <c r="G1013" s="10"/>
      <c r="H1013" s="10"/>
      <c r="I1013" s="10" t="s">
        <v>4576</v>
      </c>
    </row>
    <row r="1014" spans="1:9" ht="14.25" customHeight="1" x14ac:dyDescent="0.25">
      <c r="A1014" s="7" t="s">
        <v>4577</v>
      </c>
      <c r="B1014" s="8" t="s">
        <v>4578</v>
      </c>
      <c r="C1014" s="8" t="s">
        <v>4579</v>
      </c>
      <c r="D1014" s="8" t="s">
        <v>411</v>
      </c>
      <c r="E1014" s="8" t="s">
        <v>412</v>
      </c>
      <c r="F1014" s="8"/>
      <c r="G1014" s="10"/>
      <c r="H1014" s="10"/>
      <c r="I1014" s="10"/>
    </row>
    <row r="1015" spans="1:9" ht="14.25" customHeight="1" x14ac:dyDescent="0.25">
      <c r="A1015" s="7" t="s">
        <v>4580</v>
      </c>
      <c r="B1015" s="8" t="s">
        <v>4581</v>
      </c>
      <c r="C1015" s="8" t="s">
        <v>4582</v>
      </c>
      <c r="D1015" s="8" t="s">
        <v>411</v>
      </c>
      <c r="E1015" s="8" t="s">
        <v>412</v>
      </c>
      <c r="F1015" s="8"/>
      <c r="G1015" s="10"/>
      <c r="H1015" s="10"/>
      <c r="I1015" s="10"/>
    </row>
    <row r="1016" spans="1:9" ht="14.25" customHeight="1" x14ac:dyDescent="0.25">
      <c r="A1016" s="7" t="s">
        <v>4583</v>
      </c>
      <c r="B1016" s="8" t="s">
        <v>4584</v>
      </c>
      <c r="C1016" s="8" t="s">
        <v>4585</v>
      </c>
      <c r="D1016" s="8" t="s">
        <v>411</v>
      </c>
      <c r="E1016" s="8" t="s">
        <v>1359</v>
      </c>
      <c r="F1016" s="13" t="s">
        <v>4586</v>
      </c>
      <c r="G1016" s="10" t="s">
        <v>4587</v>
      </c>
      <c r="H1016" s="10" t="s">
        <v>37</v>
      </c>
      <c r="I1016" s="10" t="s">
        <v>4039</v>
      </c>
    </row>
    <row r="1017" spans="1:9" ht="14.25" customHeight="1" x14ac:dyDescent="0.25">
      <c r="A1017" s="7" t="s">
        <v>4588</v>
      </c>
      <c r="B1017" s="8" t="s">
        <v>4414</v>
      </c>
      <c r="C1017" s="8" t="s">
        <v>4589</v>
      </c>
      <c r="D1017" s="8" t="s">
        <v>3163</v>
      </c>
      <c r="E1017" s="8" t="s">
        <v>3890</v>
      </c>
      <c r="F1017" s="8"/>
      <c r="G1017" s="10"/>
      <c r="H1017" s="10"/>
      <c r="I1017" s="10" t="s">
        <v>4039</v>
      </c>
    </row>
    <row r="1018" spans="1:9" ht="14.25" customHeight="1" x14ac:dyDescent="0.25">
      <c r="A1018" s="7" t="s">
        <v>4590</v>
      </c>
      <c r="B1018" s="8" t="s">
        <v>4464</v>
      </c>
      <c r="C1018" s="8" t="s">
        <v>4591</v>
      </c>
      <c r="D1018" s="8" t="s">
        <v>411</v>
      </c>
      <c r="E1018" s="8" t="s">
        <v>4254</v>
      </c>
      <c r="F1018" s="13" t="s">
        <v>4592</v>
      </c>
      <c r="G1018" s="10"/>
      <c r="H1018" s="10"/>
      <c r="I1018" s="10" t="s">
        <v>4039</v>
      </c>
    </row>
    <row r="1019" spans="1:9" ht="14.25" customHeight="1" x14ac:dyDescent="0.25">
      <c r="A1019" s="7" t="s">
        <v>4593</v>
      </c>
      <c r="B1019" s="8" t="s">
        <v>2365</v>
      </c>
      <c r="C1019" s="8" t="s">
        <v>4594</v>
      </c>
      <c r="D1019" s="8" t="s">
        <v>3163</v>
      </c>
      <c r="E1019" s="8" t="s">
        <v>3890</v>
      </c>
      <c r="F1019" s="13" t="s">
        <v>4595</v>
      </c>
      <c r="G1019" s="10"/>
      <c r="H1019" s="10"/>
      <c r="I1019" s="10" t="s">
        <v>4039</v>
      </c>
    </row>
    <row r="1020" spans="1:9" ht="14.25" customHeight="1" x14ac:dyDescent="0.25">
      <c r="A1020" s="7" t="s">
        <v>4596</v>
      </c>
      <c r="B1020" s="8" t="s">
        <v>3271</v>
      </c>
      <c r="C1020" s="8" t="s">
        <v>4597</v>
      </c>
      <c r="D1020" s="8" t="s">
        <v>411</v>
      </c>
      <c r="E1020" s="8" t="s">
        <v>3890</v>
      </c>
      <c r="F1020" s="13" t="s">
        <v>4598</v>
      </c>
      <c r="G1020" s="10"/>
      <c r="H1020" s="10"/>
      <c r="I1020" s="10" t="s">
        <v>3756</v>
      </c>
    </row>
    <row r="1021" spans="1:9" ht="14.25" customHeight="1" x14ac:dyDescent="0.25">
      <c r="A1021" s="7" t="s">
        <v>4599</v>
      </c>
      <c r="B1021" s="8" t="s">
        <v>933</v>
      </c>
      <c r="C1021" s="8" t="s">
        <v>4600</v>
      </c>
      <c r="D1021" s="8" t="s">
        <v>3163</v>
      </c>
      <c r="E1021" s="8" t="s">
        <v>4254</v>
      </c>
      <c r="F1021" s="13" t="s">
        <v>4601</v>
      </c>
      <c r="G1021" s="10"/>
      <c r="H1021" s="10"/>
      <c r="I1021" s="10" t="s">
        <v>3756</v>
      </c>
    </row>
    <row r="1022" spans="1:9" ht="14.25" customHeight="1" x14ac:dyDescent="0.25">
      <c r="A1022" s="7" t="s">
        <v>4602</v>
      </c>
      <c r="B1022" s="8" t="s">
        <v>4603</v>
      </c>
      <c r="C1022" s="8" t="s">
        <v>4604</v>
      </c>
      <c r="D1022" s="8" t="s">
        <v>3163</v>
      </c>
      <c r="E1022" s="8" t="s">
        <v>3890</v>
      </c>
      <c r="F1022" s="13" t="s">
        <v>4605</v>
      </c>
      <c r="G1022" s="10"/>
      <c r="H1022" s="10"/>
      <c r="I1022" s="10" t="s">
        <v>3756</v>
      </c>
    </row>
    <row r="1023" spans="1:9" ht="14.25" customHeight="1" x14ac:dyDescent="0.25">
      <c r="A1023" s="7" t="s">
        <v>4606</v>
      </c>
      <c r="B1023" s="8" t="s">
        <v>4607</v>
      </c>
      <c r="C1023" s="8" t="s">
        <v>4608</v>
      </c>
      <c r="D1023" s="8" t="s">
        <v>411</v>
      </c>
      <c r="E1023" s="8" t="s">
        <v>3890</v>
      </c>
      <c r="F1023" s="13" t="s">
        <v>4609</v>
      </c>
      <c r="G1023" s="10"/>
      <c r="H1023" s="10"/>
      <c r="I1023" s="10" t="s">
        <v>3756</v>
      </c>
    </row>
    <row r="1024" spans="1:9" ht="14.25" customHeight="1" x14ac:dyDescent="0.25">
      <c r="A1024" s="7" t="s">
        <v>4610</v>
      </c>
      <c r="B1024" s="8" t="s">
        <v>4611</v>
      </c>
      <c r="C1024" s="8" t="s">
        <v>4612</v>
      </c>
      <c r="D1024" s="8" t="s">
        <v>3163</v>
      </c>
      <c r="E1024" s="8" t="s">
        <v>4254</v>
      </c>
      <c r="F1024" s="13" t="s">
        <v>4613</v>
      </c>
      <c r="G1024" s="10"/>
      <c r="H1024" s="10"/>
      <c r="I1024" s="10" t="s">
        <v>3756</v>
      </c>
    </row>
    <row r="1025" spans="1:9" ht="14.25" customHeight="1" x14ac:dyDescent="0.25">
      <c r="A1025" s="7" t="s">
        <v>4614</v>
      </c>
      <c r="B1025" s="8" t="s">
        <v>4615</v>
      </c>
      <c r="C1025" s="8" t="s">
        <v>4616</v>
      </c>
      <c r="D1025" s="8" t="s">
        <v>411</v>
      </c>
      <c r="E1025" s="8" t="s">
        <v>412</v>
      </c>
      <c r="F1025" s="13" t="s">
        <v>4617</v>
      </c>
      <c r="G1025" s="10" t="s">
        <v>4618</v>
      </c>
      <c r="H1025" s="10" t="s">
        <v>4619</v>
      </c>
      <c r="I1025" s="10" t="s">
        <v>3756</v>
      </c>
    </row>
    <row r="1026" spans="1:9" ht="14.25" customHeight="1" x14ac:dyDescent="0.25">
      <c r="A1026" s="7" t="s">
        <v>4620</v>
      </c>
      <c r="B1026" s="8" t="s">
        <v>4621</v>
      </c>
      <c r="C1026" s="8" t="s">
        <v>4622</v>
      </c>
      <c r="D1026" s="8" t="s">
        <v>411</v>
      </c>
      <c r="E1026" s="8" t="s">
        <v>412</v>
      </c>
      <c r="F1026" s="13" t="s">
        <v>4623</v>
      </c>
      <c r="G1026" s="10"/>
      <c r="H1026" s="10"/>
      <c r="I1026" s="10" t="s">
        <v>4039</v>
      </c>
    </row>
    <row r="1027" spans="1:9" ht="14.25" customHeight="1" x14ac:dyDescent="0.25">
      <c r="A1027" s="7" t="s">
        <v>4624</v>
      </c>
      <c r="B1027" s="8" t="s">
        <v>4625</v>
      </c>
      <c r="C1027" s="8" t="s">
        <v>4626</v>
      </c>
      <c r="D1027" s="8" t="s">
        <v>3163</v>
      </c>
      <c r="E1027" s="8" t="s">
        <v>4254</v>
      </c>
      <c r="F1027" s="13" t="s">
        <v>4627</v>
      </c>
      <c r="G1027" s="10"/>
      <c r="H1027" s="10"/>
      <c r="I1027" s="10" t="s">
        <v>4039</v>
      </c>
    </row>
    <row r="1028" spans="1:9" ht="14.25" customHeight="1" x14ac:dyDescent="0.25">
      <c r="A1028" s="7" t="s">
        <v>4628</v>
      </c>
      <c r="B1028" s="8" t="s">
        <v>4629</v>
      </c>
      <c r="C1028" s="8" t="s">
        <v>4630</v>
      </c>
      <c r="D1028" s="8" t="s">
        <v>411</v>
      </c>
      <c r="E1028" s="8" t="s">
        <v>4254</v>
      </c>
      <c r="F1028" s="13" t="s">
        <v>4631</v>
      </c>
      <c r="G1028" s="10"/>
      <c r="H1028" s="10"/>
      <c r="I1028" s="10" t="s">
        <v>4039</v>
      </c>
    </row>
    <row r="1029" spans="1:9" ht="14.25" customHeight="1" x14ac:dyDescent="0.25">
      <c r="A1029" s="7" t="s">
        <v>4632</v>
      </c>
      <c r="B1029" s="8" t="s">
        <v>1861</v>
      </c>
      <c r="C1029" s="8" t="s">
        <v>4633</v>
      </c>
      <c r="D1029" s="8" t="s">
        <v>3163</v>
      </c>
      <c r="E1029" s="8" t="s">
        <v>412</v>
      </c>
      <c r="F1029" s="13" t="s">
        <v>4634</v>
      </c>
      <c r="G1029" s="10"/>
      <c r="H1029" s="10"/>
      <c r="I1029" s="10" t="s">
        <v>4635</v>
      </c>
    </row>
    <row r="1030" spans="1:9" ht="14.25" customHeight="1" x14ac:dyDescent="0.25">
      <c r="A1030" s="7" t="s">
        <v>4636</v>
      </c>
      <c r="B1030" s="8" t="s">
        <v>4637</v>
      </c>
      <c r="C1030" s="8" t="s">
        <v>4638</v>
      </c>
      <c r="D1030" s="8" t="s">
        <v>3163</v>
      </c>
      <c r="E1030" s="8" t="s">
        <v>412</v>
      </c>
      <c r="F1030" s="13" t="s">
        <v>4639</v>
      </c>
      <c r="G1030" s="10"/>
      <c r="H1030" s="10"/>
      <c r="I1030" s="10" t="s">
        <v>3756</v>
      </c>
    </row>
    <row r="1031" spans="1:9" ht="14.25" customHeight="1" x14ac:dyDescent="0.25">
      <c r="A1031" s="7" t="s">
        <v>4640</v>
      </c>
      <c r="B1031" s="8" t="s">
        <v>4641</v>
      </c>
      <c r="C1031" s="8" t="s">
        <v>4642</v>
      </c>
      <c r="D1031" s="8" t="s">
        <v>3163</v>
      </c>
      <c r="E1031" s="8" t="s">
        <v>412</v>
      </c>
      <c r="F1031" s="13" t="s">
        <v>4643</v>
      </c>
      <c r="G1031" s="10"/>
      <c r="H1031" s="10"/>
      <c r="I1031" s="10" t="s">
        <v>3756</v>
      </c>
    </row>
    <row r="1032" spans="1:9" ht="14.25" customHeight="1" x14ac:dyDescent="0.25">
      <c r="A1032" s="7" t="s">
        <v>4644</v>
      </c>
      <c r="B1032" s="8" t="s">
        <v>4645</v>
      </c>
      <c r="C1032" s="8" t="s">
        <v>4646</v>
      </c>
      <c r="D1032" s="8" t="s">
        <v>3163</v>
      </c>
      <c r="E1032" s="8" t="s">
        <v>3865</v>
      </c>
      <c r="F1032" s="8"/>
      <c r="G1032" s="10"/>
      <c r="H1032" s="10"/>
      <c r="I1032" s="10" t="s">
        <v>3756</v>
      </c>
    </row>
    <row r="1033" spans="1:9" ht="14.25" customHeight="1" x14ac:dyDescent="0.25">
      <c r="A1033" s="7" t="s">
        <v>4647</v>
      </c>
      <c r="B1033" s="8" t="s">
        <v>2816</v>
      </c>
      <c r="C1033" s="8" t="s">
        <v>4648</v>
      </c>
      <c r="D1033" s="8" t="s">
        <v>411</v>
      </c>
      <c r="E1033" s="8" t="s">
        <v>412</v>
      </c>
      <c r="F1033" s="13" t="s">
        <v>4649</v>
      </c>
      <c r="G1033" s="10" t="s">
        <v>4650</v>
      </c>
      <c r="H1033" s="10" t="s">
        <v>4651</v>
      </c>
      <c r="I1033" s="10"/>
    </row>
    <row r="1034" spans="1:9" ht="14.25" customHeight="1" x14ac:dyDescent="0.25">
      <c r="A1034" s="7" t="s">
        <v>4652</v>
      </c>
      <c r="B1034" s="8" t="s">
        <v>927</v>
      </c>
      <c r="C1034" s="8" t="s">
        <v>1420</v>
      </c>
      <c r="D1034" s="8" t="s">
        <v>411</v>
      </c>
      <c r="E1034" s="8" t="s">
        <v>412</v>
      </c>
      <c r="F1034" s="13" t="s">
        <v>4653</v>
      </c>
      <c r="G1034" s="10"/>
      <c r="H1034" s="10"/>
      <c r="I1034" s="10" t="s">
        <v>4371</v>
      </c>
    </row>
    <row r="1035" spans="1:9" ht="14.25" customHeight="1" x14ac:dyDescent="0.25">
      <c r="A1035" s="7" t="s">
        <v>4654</v>
      </c>
      <c r="B1035" s="8" t="s">
        <v>4655</v>
      </c>
      <c r="C1035" s="8" t="s">
        <v>4656</v>
      </c>
      <c r="D1035" s="8" t="s">
        <v>3163</v>
      </c>
      <c r="E1035" s="8" t="s">
        <v>412</v>
      </c>
      <c r="F1035" s="13" t="s">
        <v>4657</v>
      </c>
      <c r="G1035" s="10"/>
      <c r="H1035" s="10"/>
      <c r="I1035" s="10" t="s">
        <v>4371</v>
      </c>
    </row>
    <row r="1036" spans="1:9" ht="14.25" customHeight="1" x14ac:dyDescent="0.25">
      <c r="A1036" s="7" t="s">
        <v>4658</v>
      </c>
      <c r="B1036" s="8" t="s">
        <v>4659</v>
      </c>
      <c r="C1036" s="8"/>
      <c r="D1036" s="8" t="s">
        <v>3163</v>
      </c>
      <c r="E1036" s="8"/>
      <c r="F1036" s="8"/>
      <c r="G1036" s="10"/>
      <c r="H1036" s="10"/>
      <c r="I1036" s="10"/>
    </row>
    <row r="1037" spans="1:9" ht="14.25" customHeight="1" x14ac:dyDescent="0.25">
      <c r="A1037" s="7" t="s">
        <v>4660</v>
      </c>
      <c r="B1037" s="8" t="s">
        <v>1463</v>
      </c>
      <c r="C1037" s="8"/>
      <c r="D1037" s="8" t="s">
        <v>411</v>
      </c>
      <c r="E1037" s="8"/>
      <c r="F1037" s="8"/>
      <c r="G1037" s="10"/>
      <c r="H1037" s="10"/>
      <c r="I1037" s="10"/>
    </row>
    <row r="1038" spans="1:9" ht="14.25" customHeight="1" x14ac:dyDescent="0.25">
      <c r="A1038" s="7" t="s">
        <v>4661</v>
      </c>
      <c r="B1038" s="8" t="s">
        <v>2165</v>
      </c>
      <c r="C1038" s="8" t="s">
        <v>4662</v>
      </c>
      <c r="D1038" s="8" t="s">
        <v>3163</v>
      </c>
      <c r="E1038" s="8" t="s">
        <v>3890</v>
      </c>
      <c r="F1038" s="8"/>
      <c r="G1038" s="10"/>
      <c r="H1038" s="10"/>
      <c r="I1038" s="10"/>
    </row>
    <row r="1039" spans="1:9" ht="14.25" customHeight="1" x14ac:dyDescent="0.25">
      <c r="A1039" s="7" t="s">
        <v>4663</v>
      </c>
      <c r="B1039" s="8" t="s">
        <v>4664</v>
      </c>
      <c r="C1039" s="8" t="s">
        <v>4665</v>
      </c>
      <c r="D1039" s="8" t="s">
        <v>411</v>
      </c>
      <c r="E1039" s="8" t="s">
        <v>4254</v>
      </c>
      <c r="F1039" s="13" t="s">
        <v>4666</v>
      </c>
      <c r="G1039" s="10"/>
      <c r="H1039" s="10"/>
      <c r="I1039" s="10" t="s">
        <v>4635</v>
      </c>
    </row>
    <row r="1040" spans="1:9" ht="14.25" customHeight="1" x14ac:dyDescent="0.25">
      <c r="A1040" s="19" t="s">
        <v>4667</v>
      </c>
      <c r="B1040" s="8" t="s">
        <v>4668</v>
      </c>
      <c r="C1040" s="8" t="s">
        <v>4665</v>
      </c>
      <c r="D1040" s="8" t="s">
        <v>3163</v>
      </c>
      <c r="E1040" s="8" t="s">
        <v>4254</v>
      </c>
      <c r="F1040" s="8"/>
      <c r="G1040" s="10"/>
      <c r="H1040" s="10"/>
      <c r="I1040" s="10"/>
    </row>
    <row r="1041" spans="1:9" ht="14.25" customHeight="1" x14ac:dyDescent="0.25">
      <c r="A1041" s="7" t="s">
        <v>4669</v>
      </c>
      <c r="B1041" s="8" t="s">
        <v>4670</v>
      </c>
      <c r="C1041" s="8" t="s">
        <v>4671</v>
      </c>
      <c r="D1041" s="8" t="s">
        <v>411</v>
      </c>
      <c r="E1041" s="8" t="s">
        <v>412</v>
      </c>
      <c r="F1041" s="13" t="s">
        <v>4672</v>
      </c>
      <c r="G1041" s="10"/>
      <c r="H1041" s="10"/>
      <c r="I1041" s="10" t="s">
        <v>4673</v>
      </c>
    </row>
    <row r="1042" spans="1:9" ht="14.25" customHeight="1" x14ac:dyDescent="0.25">
      <c r="A1042" s="7" t="s">
        <v>4674</v>
      </c>
      <c r="B1042" s="8" t="s">
        <v>4675</v>
      </c>
      <c r="C1042" s="8" t="s">
        <v>4676</v>
      </c>
      <c r="D1042" s="8" t="s">
        <v>411</v>
      </c>
      <c r="E1042" s="8" t="s">
        <v>412</v>
      </c>
      <c r="F1042" s="13" t="s">
        <v>4677</v>
      </c>
      <c r="G1042" s="10"/>
      <c r="H1042" s="10"/>
      <c r="I1042" s="10"/>
    </row>
    <row r="1043" spans="1:9" ht="14.25" customHeight="1" x14ac:dyDescent="0.25">
      <c r="A1043" s="7" t="s">
        <v>4678</v>
      </c>
      <c r="B1043" s="8" t="s">
        <v>3267</v>
      </c>
      <c r="C1043" s="8" t="s">
        <v>231</v>
      </c>
      <c r="D1043" s="8" t="s">
        <v>411</v>
      </c>
      <c r="E1043" s="8" t="s">
        <v>412</v>
      </c>
      <c r="F1043" s="13" t="s">
        <v>4679</v>
      </c>
      <c r="G1043" s="10"/>
      <c r="H1043" s="10"/>
      <c r="I1043" s="10" t="s">
        <v>3756</v>
      </c>
    </row>
    <row r="1044" spans="1:9" ht="14.25" customHeight="1" x14ac:dyDescent="0.25">
      <c r="A1044" s="7" t="s">
        <v>4680</v>
      </c>
      <c r="B1044" s="8" t="s">
        <v>1912</v>
      </c>
      <c r="C1044" s="8" t="s">
        <v>670</v>
      </c>
      <c r="D1044" s="8" t="s">
        <v>3163</v>
      </c>
      <c r="E1044" s="8" t="s">
        <v>3865</v>
      </c>
      <c r="F1044" s="13" t="s">
        <v>4681</v>
      </c>
      <c r="G1044" s="10"/>
      <c r="H1044" s="10"/>
      <c r="I1044" s="10"/>
    </row>
    <row r="1045" spans="1:9" ht="14.25" customHeight="1" x14ac:dyDescent="0.25">
      <c r="A1045" s="7" t="s">
        <v>4682</v>
      </c>
      <c r="B1045" s="8" t="s">
        <v>4683</v>
      </c>
      <c r="C1045" s="8" t="s">
        <v>4684</v>
      </c>
      <c r="D1045" s="8" t="s">
        <v>411</v>
      </c>
      <c r="E1045" s="8" t="s">
        <v>412</v>
      </c>
      <c r="F1045" s="13" t="s">
        <v>4685</v>
      </c>
      <c r="G1045" s="10"/>
      <c r="H1045" s="10"/>
      <c r="I1045" s="10"/>
    </row>
    <row r="1046" spans="1:9" ht="14.25" customHeight="1" x14ac:dyDescent="0.25">
      <c r="A1046" s="7" t="s">
        <v>4686</v>
      </c>
      <c r="B1046" s="8" t="s">
        <v>4687</v>
      </c>
      <c r="C1046" s="8" t="s">
        <v>4688</v>
      </c>
      <c r="D1046" s="8" t="s">
        <v>411</v>
      </c>
      <c r="E1046" s="8" t="s">
        <v>412</v>
      </c>
      <c r="F1046" s="13" t="s">
        <v>4689</v>
      </c>
      <c r="G1046" s="10" t="s">
        <v>4690</v>
      </c>
      <c r="H1046" s="10" t="s">
        <v>4330</v>
      </c>
      <c r="I1046" s="10" t="s">
        <v>4039</v>
      </c>
    </row>
    <row r="1047" spans="1:9" ht="14.25" customHeight="1" x14ac:dyDescent="0.25">
      <c r="A1047" s="7" t="s">
        <v>4691</v>
      </c>
      <c r="B1047" s="8" t="s">
        <v>4692</v>
      </c>
      <c r="C1047" s="8" t="s">
        <v>4693</v>
      </c>
      <c r="D1047" s="8" t="s">
        <v>411</v>
      </c>
      <c r="E1047" s="8" t="s">
        <v>412</v>
      </c>
      <c r="F1047" s="13" t="s">
        <v>4694</v>
      </c>
      <c r="G1047" s="10"/>
      <c r="H1047" s="10"/>
      <c r="I1047" s="10" t="s">
        <v>4039</v>
      </c>
    </row>
    <row r="1048" spans="1:9" ht="14.25" customHeight="1" x14ac:dyDescent="0.25">
      <c r="A1048" s="7" t="s">
        <v>4695</v>
      </c>
      <c r="B1048" s="8" t="s">
        <v>4696</v>
      </c>
      <c r="C1048" s="8" t="s">
        <v>4697</v>
      </c>
      <c r="D1048" s="8" t="s">
        <v>411</v>
      </c>
      <c r="E1048" s="8" t="s">
        <v>412</v>
      </c>
      <c r="F1048" s="13" t="s">
        <v>4698</v>
      </c>
      <c r="G1048" s="10"/>
      <c r="H1048" s="10"/>
      <c r="I1048" s="10" t="s">
        <v>3756</v>
      </c>
    </row>
    <row r="1049" spans="1:9" ht="14.25" customHeight="1" x14ac:dyDescent="0.25">
      <c r="A1049" s="7" t="s">
        <v>4699</v>
      </c>
      <c r="B1049" s="8" t="s">
        <v>4700</v>
      </c>
      <c r="C1049" s="8" t="s">
        <v>4701</v>
      </c>
      <c r="D1049" s="8" t="s">
        <v>411</v>
      </c>
      <c r="E1049" s="8" t="s">
        <v>412</v>
      </c>
      <c r="F1049" s="13" t="s">
        <v>4702</v>
      </c>
      <c r="G1049" s="10"/>
      <c r="H1049" s="10"/>
      <c r="I1049" s="10" t="s">
        <v>4039</v>
      </c>
    </row>
    <row r="1050" spans="1:9" ht="14.25" customHeight="1" x14ac:dyDescent="0.25">
      <c r="A1050" s="7" t="s">
        <v>4703</v>
      </c>
      <c r="B1050" s="8" t="s">
        <v>1651</v>
      </c>
      <c r="C1050" s="8" t="s">
        <v>4704</v>
      </c>
      <c r="D1050" s="8" t="s">
        <v>411</v>
      </c>
      <c r="E1050" s="8" t="s">
        <v>412</v>
      </c>
      <c r="F1050" s="11" t="s">
        <v>4705</v>
      </c>
      <c r="G1050" s="10" t="s">
        <v>4706</v>
      </c>
      <c r="H1050" s="10" t="s">
        <v>61</v>
      </c>
      <c r="I1050" s="10" t="s">
        <v>3756</v>
      </c>
    </row>
    <row r="1051" spans="1:9" ht="14.25" customHeight="1" x14ac:dyDescent="0.25">
      <c r="A1051" s="7" t="s">
        <v>4707</v>
      </c>
      <c r="B1051" s="8" t="s">
        <v>4708</v>
      </c>
      <c r="C1051" s="8" t="s">
        <v>4709</v>
      </c>
      <c r="D1051" s="8" t="s">
        <v>411</v>
      </c>
      <c r="E1051" s="8" t="s">
        <v>412</v>
      </c>
      <c r="F1051" s="13" t="s">
        <v>4710</v>
      </c>
      <c r="G1051" s="10"/>
      <c r="H1051" s="10"/>
      <c r="I1051" s="10" t="s">
        <v>4039</v>
      </c>
    </row>
    <row r="1052" spans="1:9" ht="14.25" customHeight="1" x14ac:dyDescent="0.25">
      <c r="A1052" s="7" t="s">
        <v>4711</v>
      </c>
      <c r="B1052" s="8" t="s">
        <v>4712</v>
      </c>
      <c r="C1052" s="8" t="s">
        <v>2622</v>
      </c>
      <c r="D1052" s="8" t="s">
        <v>411</v>
      </c>
      <c r="E1052" s="8" t="s">
        <v>4021</v>
      </c>
      <c r="F1052" s="13" t="s">
        <v>4713</v>
      </c>
      <c r="G1052" s="10" t="s">
        <v>4714</v>
      </c>
      <c r="H1052" s="10" t="s">
        <v>61</v>
      </c>
      <c r="I1052" s="10"/>
    </row>
    <row r="1053" spans="1:9" ht="14.25" customHeight="1" x14ac:dyDescent="0.25">
      <c r="A1053" s="7" t="s">
        <v>4715</v>
      </c>
      <c r="B1053" s="8" t="s">
        <v>2644</v>
      </c>
      <c r="C1053" s="8" t="s">
        <v>4716</v>
      </c>
      <c r="D1053" s="8" t="s">
        <v>411</v>
      </c>
      <c r="E1053" s="8" t="s">
        <v>412</v>
      </c>
      <c r="F1053" s="13" t="s">
        <v>4717</v>
      </c>
      <c r="G1053" s="10"/>
      <c r="H1053" s="10"/>
      <c r="I1053" s="10" t="s">
        <v>4039</v>
      </c>
    </row>
    <row r="1054" spans="1:9" ht="14.25" customHeight="1" x14ac:dyDescent="0.25">
      <c r="A1054" s="7" t="s">
        <v>4718</v>
      </c>
      <c r="B1054" s="8" t="s">
        <v>4719</v>
      </c>
      <c r="C1054" s="8" t="s">
        <v>4720</v>
      </c>
      <c r="D1054" s="8" t="s">
        <v>411</v>
      </c>
      <c r="E1054" s="8" t="s">
        <v>412</v>
      </c>
      <c r="F1054" s="13" t="s">
        <v>4721</v>
      </c>
      <c r="G1054" s="10"/>
      <c r="H1054" s="10"/>
      <c r="I1054" s="10" t="s">
        <v>4404</v>
      </c>
    </row>
    <row r="1055" spans="1:9" ht="14.25" customHeight="1" x14ac:dyDescent="0.25">
      <c r="A1055" s="7" t="s">
        <v>4722</v>
      </c>
      <c r="B1055" s="8" t="s">
        <v>4723</v>
      </c>
      <c r="C1055" s="8" t="s">
        <v>1448</v>
      </c>
      <c r="D1055" s="8" t="s">
        <v>3163</v>
      </c>
      <c r="E1055" s="8" t="s">
        <v>412</v>
      </c>
      <c r="F1055" s="13" t="s">
        <v>4724</v>
      </c>
      <c r="G1055" s="10"/>
      <c r="H1055" s="10"/>
      <c r="I1055" s="10" t="s">
        <v>4039</v>
      </c>
    </row>
    <row r="1056" spans="1:9" ht="14.25" customHeight="1" x14ac:dyDescent="0.25">
      <c r="A1056" s="7" t="s">
        <v>4725</v>
      </c>
      <c r="B1056" s="8" t="s">
        <v>2329</v>
      </c>
      <c r="C1056" s="8" t="s">
        <v>4726</v>
      </c>
      <c r="D1056" s="8" t="s">
        <v>411</v>
      </c>
      <c r="E1056" s="8" t="s">
        <v>412</v>
      </c>
      <c r="F1056" s="13" t="s">
        <v>4727</v>
      </c>
      <c r="G1056" s="10"/>
      <c r="H1056" s="10"/>
      <c r="I1056" s="10" t="s">
        <v>4039</v>
      </c>
    </row>
    <row r="1057" spans="1:9" ht="14.25" customHeight="1" x14ac:dyDescent="0.25">
      <c r="A1057" s="7" t="s">
        <v>4728</v>
      </c>
      <c r="B1057" s="8" t="s">
        <v>4729</v>
      </c>
      <c r="C1057" s="8" t="s">
        <v>4730</v>
      </c>
      <c r="D1057" s="8" t="s">
        <v>3163</v>
      </c>
      <c r="E1057" s="8" t="s">
        <v>412</v>
      </c>
      <c r="F1057" s="13" t="s">
        <v>4731</v>
      </c>
      <c r="G1057" s="10"/>
      <c r="H1057" s="10"/>
      <c r="I1057" s="10" t="s">
        <v>4039</v>
      </c>
    </row>
    <row r="1058" spans="1:9" ht="14.25" customHeight="1" x14ac:dyDescent="0.25">
      <c r="A1058" s="7" t="s">
        <v>4732</v>
      </c>
      <c r="B1058" s="8" t="s">
        <v>3623</v>
      </c>
      <c r="C1058" s="8" t="s">
        <v>4733</v>
      </c>
      <c r="D1058" s="8" t="s">
        <v>411</v>
      </c>
      <c r="E1058" s="8" t="s">
        <v>412</v>
      </c>
      <c r="F1058" s="13" t="s">
        <v>4734</v>
      </c>
      <c r="G1058" s="10"/>
      <c r="H1058" s="10"/>
      <c r="I1058" s="10" t="s">
        <v>3756</v>
      </c>
    </row>
    <row r="1059" spans="1:9" ht="14.25" customHeight="1" x14ac:dyDescent="0.25">
      <c r="A1059" s="19" t="s">
        <v>4735</v>
      </c>
      <c r="B1059" s="8" t="s">
        <v>910</v>
      </c>
      <c r="C1059" s="8" t="s">
        <v>4736</v>
      </c>
      <c r="D1059" s="8" t="s">
        <v>411</v>
      </c>
      <c r="E1059" s="8" t="s">
        <v>412</v>
      </c>
      <c r="F1059" s="13" t="s">
        <v>4737</v>
      </c>
      <c r="G1059" s="10" t="s">
        <v>4738</v>
      </c>
      <c r="H1059" s="10" t="s">
        <v>4077</v>
      </c>
      <c r="I1059" s="10" t="s">
        <v>3756</v>
      </c>
    </row>
    <row r="1060" spans="1:9" ht="14.25" customHeight="1" x14ac:dyDescent="0.25">
      <c r="A1060" s="7" t="s">
        <v>4739</v>
      </c>
      <c r="B1060" s="8" t="s">
        <v>4010</v>
      </c>
      <c r="C1060" s="8" t="s">
        <v>4320</v>
      </c>
      <c r="D1060" s="8" t="s">
        <v>411</v>
      </c>
      <c r="E1060" s="8" t="s">
        <v>412</v>
      </c>
      <c r="F1060" s="13" t="s">
        <v>4740</v>
      </c>
      <c r="G1060" s="10"/>
      <c r="H1060" s="10"/>
      <c r="I1060" s="10" t="s">
        <v>3756</v>
      </c>
    </row>
    <row r="1061" spans="1:9" ht="14.25" customHeight="1" x14ac:dyDescent="0.25">
      <c r="A1061" s="7" t="s">
        <v>4741</v>
      </c>
      <c r="B1061" s="8" t="s">
        <v>4742</v>
      </c>
      <c r="C1061" s="8" t="s">
        <v>4743</v>
      </c>
      <c r="D1061" s="8" t="s">
        <v>411</v>
      </c>
      <c r="E1061" s="8" t="s">
        <v>412</v>
      </c>
      <c r="F1061" s="13" t="s">
        <v>4744</v>
      </c>
      <c r="G1061" s="10"/>
      <c r="H1061" s="10"/>
      <c r="I1061" s="10" t="s">
        <v>4039</v>
      </c>
    </row>
    <row r="1062" spans="1:9" ht="14.25" customHeight="1" x14ac:dyDescent="0.25">
      <c r="A1062" s="7" t="s">
        <v>4745</v>
      </c>
      <c r="B1062" s="8" t="s">
        <v>4746</v>
      </c>
      <c r="C1062" s="8" t="s">
        <v>4747</v>
      </c>
      <c r="D1062" s="8" t="s">
        <v>411</v>
      </c>
      <c r="E1062" s="8" t="s">
        <v>412</v>
      </c>
      <c r="F1062" s="13" t="s">
        <v>4748</v>
      </c>
      <c r="G1062" s="10"/>
      <c r="H1062" s="10"/>
      <c r="I1062" s="10" t="s">
        <v>3756</v>
      </c>
    </row>
    <row r="1063" spans="1:9" ht="14.25" customHeight="1" x14ac:dyDescent="0.25">
      <c r="A1063" s="7" t="s">
        <v>4749</v>
      </c>
      <c r="B1063" s="8" t="s">
        <v>4750</v>
      </c>
      <c r="C1063" s="8" t="s">
        <v>4751</v>
      </c>
      <c r="D1063" s="8" t="s">
        <v>3163</v>
      </c>
      <c r="E1063" s="8" t="s">
        <v>412</v>
      </c>
      <c r="F1063" s="13" t="s">
        <v>4752</v>
      </c>
      <c r="G1063" s="10"/>
      <c r="H1063" s="10"/>
      <c r="I1063" s="10" t="s">
        <v>3756</v>
      </c>
    </row>
    <row r="1064" spans="1:9" ht="14.25" customHeight="1" x14ac:dyDescent="0.25">
      <c r="A1064" s="19" t="s">
        <v>4753</v>
      </c>
      <c r="B1064" s="8" t="s">
        <v>3934</v>
      </c>
      <c r="C1064" s="8" t="s">
        <v>4754</v>
      </c>
      <c r="D1064" s="8" t="s">
        <v>3163</v>
      </c>
      <c r="E1064" s="8" t="s">
        <v>3865</v>
      </c>
      <c r="F1064" s="13" t="s">
        <v>4755</v>
      </c>
      <c r="G1064" s="10" t="s">
        <v>4756</v>
      </c>
      <c r="H1064" s="10" t="s">
        <v>4651</v>
      </c>
      <c r="I1064" s="10" t="s">
        <v>3756</v>
      </c>
    </row>
    <row r="1065" spans="1:9" ht="14.25" customHeight="1" x14ac:dyDescent="0.25">
      <c r="A1065" s="7" t="s">
        <v>4757</v>
      </c>
      <c r="B1065" s="8" t="s">
        <v>4668</v>
      </c>
      <c r="C1065" s="8" t="s">
        <v>4758</v>
      </c>
      <c r="D1065" s="8" t="s">
        <v>3163</v>
      </c>
      <c r="E1065" s="8" t="s">
        <v>412</v>
      </c>
      <c r="F1065" s="13" t="s">
        <v>4759</v>
      </c>
      <c r="G1065" s="10" t="s">
        <v>4760</v>
      </c>
      <c r="H1065" s="10" t="s">
        <v>4761</v>
      </c>
      <c r="I1065" s="10" t="s">
        <v>3756</v>
      </c>
    </row>
    <row r="1066" spans="1:9" ht="14.25" customHeight="1" x14ac:dyDescent="0.25">
      <c r="A1066" s="7" t="s">
        <v>4762</v>
      </c>
      <c r="B1066" s="8" t="s">
        <v>4283</v>
      </c>
      <c r="C1066" s="8" t="s">
        <v>4763</v>
      </c>
      <c r="D1066" s="8" t="s">
        <v>411</v>
      </c>
      <c r="E1066" s="8" t="s">
        <v>412</v>
      </c>
      <c r="F1066" s="13" t="s">
        <v>4764</v>
      </c>
      <c r="G1066" s="10"/>
      <c r="H1066" s="10"/>
      <c r="I1066" s="10" t="s">
        <v>3756</v>
      </c>
    </row>
    <row r="1067" spans="1:9" ht="14.25" customHeight="1" x14ac:dyDescent="0.25">
      <c r="A1067" s="7" t="s">
        <v>4765</v>
      </c>
      <c r="B1067" s="8" t="s">
        <v>553</v>
      </c>
      <c r="C1067" s="8" t="s">
        <v>4766</v>
      </c>
      <c r="D1067" s="8" t="s">
        <v>411</v>
      </c>
      <c r="E1067" s="8" t="s">
        <v>3890</v>
      </c>
      <c r="F1067" s="20" t="s">
        <v>4767</v>
      </c>
      <c r="G1067" s="10" t="s">
        <v>4768</v>
      </c>
      <c r="H1067" s="10" t="s">
        <v>92</v>
      </c>
      <c r="I1067" s="10" t="s">
        <v>3756</v>
      </c>
    </row>
    <row r="1068" spans="1:9" ht="14.25" customHeight="1" x14ac:dyDescent="0.25">
      <c r="A1068" s="7" t="s">
        <v>4769</v>
      </c>
      <c r="B1068" s="8" t="s">
        <v>4770</v>
      </c>
      <c r="C1068" s="8" t="s">
        <v>4771</v>
      </c>
      <c r="D1068" s="8" t="s">
        <v>411</v>
      </c>
      <c r="E1068" s="8" t="s">
        <v>412</v>
      </c>
      <c r="F1068" s="20" t="s">
        <v>4772</v>
      </c>
      <c r="G1068" s="10"/>
      <c r="H1068" s="10"/>
      <c r="I1068" s="10" t="s">
        <v>4039</v>
      </c>
    </row>
    <row r="1069" spans="1:9" ht="14.25" customHeight="1" x14ac:dyDescent="0.25">
      <c r="A1069" s="7" t="s">
        <v>4773</v>
      </c>
      <c r="B1069" s="8" t="s">
        <v>1403</v>
      </c>
      <c r="C1069" s="8" t="s">
        <v>4774</v>
      </c>
      <c r="D1069" s="8" t="s">
        <v>3163</v>
      </c>
      <c r="E1069" s="8" t="s">
        <v>412</v>
      </c>
      <c r="F1069" s="20" t="s">
        <v>4775</v>
      </c>
      <c r="G1069" s="10"/>
      <c r="H1069" s="10"/>
      <c r="I1069" s="10" t="s">
        <v>4039</v>
      </c>
    </row>
    <row r="1070" spans="1:9" ht="14.25" customHeight="1" x14ac:dyDescent="0.25">
      <c r="A1070" s="7" t="s">
        <v>4776</v>
      </c>
      <c r="B1070" s="8" t="s">
        <v>1529</v>
      </c>
      <c r="C1070" s="8" t="s">
        <v>4777</v>
      </c>
      <c r="D1070" s="8" t="s">
        <v>411</v>
      </c>
      <c r="E1070" s="8" t="s">
        <v>412</v>
      </c>
      <c r="F1070" s="20" t="s">
        <v>4778</v>
      </c>
      <c r="G1070" s="10"/>
      <c r="H1070" s="10"/>
      <c r="I1070" s="10" t="s">
        <v>3756</v>
      </c>
    </row>
    <row r="1071" spans="1:9" ht="14.25" customHeight="1" x14ac:dyDescent="0.25">
      <c r="A1071" s="7" t="s">
        <v>4779</v>
      </c>
      <c r="B1071" s="8" t="s">
        <v>1761</v>
      </c>
      <c r="C1071" s="8" t="s">
        <v>4780</v>
      </c>
      <c r="D1071" s="8" t="s">
        <v>411</v>
      </c>
      <c r="E1071" s="8" t="s">
        <v>412</v>
      </c>
      <c r="F1071" s="20" t="s">
        <v>4781</v>
      </c>
      <c r="G1071" s="10"/>
      <c r="H1071" s="10"/>
      <c r="I1071" s="10" t="s">
        <v>3756</v>
      </c>
    </row>
    <row r="1072" spans="1:9" ht="14.25" customHeight="1" x14ac:dyDescent="0.25">
      <c r="A1072" s="7" t="s">
        <v>4782</v>
      </c>
      <c r="B1072" s="8" t="s">
        <v>4297</v>
      </c>
      <c r="C1072" s="8" t="s">
        <v>4783</v>
      </c>
      <c r="D1072" s="8" t="s">
        <v>411</v>
      </c>
      <c r="E1072" s="8" t="s">
        <v>412</v>
      </c>
      <c r="F1072" s="20" t="s">
        <v>4784</v>
      </c>
      <c r="G1072" s="10"/>
      <c r="H1072" s="10"/>
      <c r="I1072" s="10" t="s">
        <v>3756</v>
      </c>
    </row>
    <row r="1073" spans="1:9" ht="14.25" customHeight="1" x14ac:dyDescent="0.25">
      <c r="A1073" s="7" t="s">
        <v>4785</v>
      </c>
      <c r="B1073" s="8" t="s">
        <v>4406</v>
      </c>
      <c r="C1073" s="8" t="s">
        <v>1229</v>
      </c>
      <c r="D1073" s="8" t="s">
        <v>411</v>
      </c>
      <c r="E1073" s="8" t="s">
        <v>412</v>
      </c>
      <c r="F1073" s="20" t="s">
        <v>4786</v>
      </c>
      <c r="G1073" s="10"/>
      <c r="H1073" s="10"/>
      <c r="I1073" s="10" t="s">
        <v>3756</v>
      </c>
    </row>
    <row r="1074" spans="1:9" ht="14.25" customHeight="1" x14ac:dyDescent="0.25">
      <c r="A1074" s="7" t="s">
        <v>4787</v>
      </c>
      <c r="B1074" s="8" t="s">
        <v>4788</v>
      </c>
      <c r="C1074" s="8" t="s">
        <v>4789</v>
      </c>
      <c r="D1074" s="8"/>
      <c r="E1074" s="8" t="s">
        <v>412</v>
      </c>
      <c r="F1074" s="20" t="s">
        <v>4790</v>
      </c>
      <c r="G1074" s="10"/>
      <c r="H1074" s="10"/>
      <c r="I1074" s="10" t="s">
        <v>4039</v>
      </c>
    </row>
    <row r="1075" spans="1:9" ht="14.25" customHeight="1" x14ac:dyDescent="0.25">
      <c r="A1075" s="7" t="s">
        <v>4791</v>
      </c>
      <c r="B1075" s="8" t="s">
        <v>659</v>
      </c>
      <c r="C1075" s="8" t="s">
        <v>4792</v>
      </c>
      <c r="D1075" s="8" t="s">
        <v>3163</v>
      </c>
      <c r="E1075" s="8" t="s">
        <v>412</v>
      </c>
      <c r="F1075" s="20" t="s">
        <v>4793</v>
      </c>
      <c r="G1075" s="10"/>
      <c r="H1075" s="10"/>
      <c r="I1075" s="10" t="s">
        <v>4039</v>
      </c>
    </row>
    <row r="1076" spans="1:9" ht="14.25" customHeight="1" x14ac:dyDescent="0.25">
      <c r="A1076" s="7" t="s">
        <v>4794</v>
      </c>
      <c r="B1076" s="8" t="s">
        <v>3694</v>
      </c>
      <c r="C1076" s="8" t="s">
        <v>1114</v>
      </c>
      <c r="D1076" s="8" t="s">
        <v>411</v>
      </c>
      <c r="E1076" s="8" t="s">
        <v>412</v>
      </c>
      <c r="F1076" s="20" t="s">
        <v>4520</v>
      </c>
      <c r="G1076" s="10"/>
      <c r="H1076" s="10"/>
      <c r="I1076" s="10" t="s">
        <v>3756</v>
      </c>
    </row>
    <row r="1077" spans="1:9" ht="14.25" customHeight="1" x14ac:dyDescent="0.25">
      <c r="A1077" s="7" t="s">
        <v>4795</v>
      </c>
      <c r="B1077" s="8" t="s">
        <v>1733</v>
      </c>
      <c r="C1077" s="8" t="s">
        <v>4796</v>
      </c>
      <c r="D1077" s="8" t="s">
        <v>411</v>
      </c>
      <c r="E1077" s="8" t="s">
        <v>412</v>
      </c>
      <c r="F1077" s="20" t="s">
        <v>4797</v>
      </c>
      <c r="G1077" s="10"/>
      <c r="H1077" s="10"/>
      <c r="I1077" s="10" t="s">
        <v>3756</v>
      </c>
    </row>
    <row r="1078" spans="1:9" ht="14.25" customHeight="1" x14ac:dyDescent="0.25">
      <c r="A1078" s="7" t="s">
        <v>4798</v>
      </c>
      <c r="B1078" s="8" t="s">
        <v>2377</v>
      </c>
      <c r="C1078" s="8" t="s">
        <v>4799</v>
      </c>
      <c r="D1078" s="8" t="s">
        <v>3163</v>
      </c>
      <c r="E1078" s="8" t="s">
        <v>412</v>
      </c>
      <c r="F1078" s="20" t="s">
        <v>4800</v>
      </c>
      <c r="G1078" s="10"/>
      <c r="H1078" s="10"/>
      <c r="I1078" s="10" t="s">
        <v>3756</v>
      </c>
    </row>
    <row r="1079" spans="1:9" ht="14.25" customHeight="1" x14ac:dyDescent="0.25">
      <c r="A1079" s="7" t="s">
        <v>4801</v>
      </c>
      <c r="B1079" s="8" t="s">
        <v>4802</v>
      </c>
      <c r="C1079" s="8" t="s">
        <v>4803</v>
      </c>
      <c r="D1079" s="8"/>
      <c r="E1079" s="8" t="s">
        <v>412</v>
      </c>
      <c r="F1079" s="20" t="s">
        <v>4804</v>
      </c>
      <c r="G1079" s="10"/>
      <c r="H1079" s="10"/>
      <c r="I1079" s="10" t="s">
        <v>3756</v>
      </c>
    </row>
    <row r="1080" spans="1:9" ht="14.25" customHeight="1" x14ac:dyDescent="0.25">
      <c r="A1080" s="19" t="s">
        <v>4805</v>
      </c>
      <c r="B1080" s="8" t="s">
        <v>4806</v>
      </c>
      <c r="C1080" s="8" t="s">
        <v>4807</v>
      </c>
      <c r="D1080" s="8"/>
      <c r="E1080" s="8" t="s">
        <v>412</v>
      </c>
      <c r="F1080" s="20" t="s">
        <v>4808</v>
      </c>
      <c r="G1080" s="10"/>
      <c r="H1080" s="10"/>
      <c r="I1080" s="10" t="s">
        <v>4371</v>
      </c>
    </row>
    <row r="1081" spans="1:9" ht="14.25" customHeight="1" x14ac:dyDescent="0.25">
      <c r="A1081" s="7" t="s">
        <v>4809</v>
      </c>
      <c r="B1081" s="8" t="s">
        <v>4810</v>
      </c>
      <c r="C1081" s="8" t="s">
        <v>4811</v>
      </c>
      <c r="D1081" s="8" t="s">
        <v>411</v>
      </c>
      <c r="E1081" s="8" t="s">
        <v>412</v>
      </c>
      <c r="F1081" s="20" t="s">
        <v>4812</v>
      </c>
      <c r="G1081" s="10"/>
      <c r="H1081" s="10"/>
      <c r="I1081" s="10" t="s">
        <v>4371</v>
      </c>
    </row>
    <row r="1082" spans="1:9" ht="14.25" customHeight="1" x14ac:dyDescent="0.25">
      <c r="A1082" s="7" t="s">
        <v>4813</v>
      </c>
      <c r="B1082" s="8" t="s">
        <v>98</v>
      </c>
      <c r="C1082" s="8" t="s">
        <v>4814</v>
      </c>
      <c r="D1082" s="8" t="s">
        <v>411</v>
      </c>
      <c r="E1082" s="8" t="s">
        <v>412</v>
      </c>
      <c r="F1082" s="20" t="s">
        <v>4815</v>
      </c>
      <c r="G1082" s="10"/>
      <c r="H1082" s="10"/>
      <c r="I1082" s="10" t="s">
        <v>3756</v>
      </c>
    </row>
    <row r="1083" spans="1:9" ht="14.25" customHeight="1" x14ac:dyDescent="0.25">
      <c r="A1083" s="7" t="s">
        <v>4816</v>
      </c>
      <c r="B1083" s="8" t="s">
        <v>3271</v>
      </c>
      <c r="C1083" s="8" t="s">
        <v>4299</v>
      </c>
      <c r="D1083" s="8" t="s">
        <v>411</v>
      </c>
      <c r="E1083" s="8" t="s">
        <v>412</v>
      </c>
      <c r="F1083" s="20" t="s">
        <v>4817</v>
      </c>
      <c r="G1083" s="10"/>
      <c r="H1083" s="10"/>
      <c r="I1083" s="10" t="s">
        <v>3756</v>
      </c>
    </row>
    <row r="1084" spans="1:9" ht="14.25" customHeight="1" x14ac:dyDescent="0.25">
      <c r="A1084" s="7" t="s">
        <v>4818</v>
      </c>
      <c r="B1084" s="8" t="s">
        <v>4819</v>
      </c>
      <c r="C1084" s="8" t="s">
        <v>1183</v>
      </c>
      <c r="D1084" s="8" t="s">
        <v>411</v>
      </c>
      <c r="E1084" s="8" t="s">
        <v>3865</v>
      </c>
      <c r="F1084" s="20" t="s">
        <v>4820</v>
      </c>
      <c r="G1084" s="10"/>
      <c r="H1084" s="10"/>
      <c r="I1084" s="10" t="s">
        <v>4371</v>
      </c>
    </row>
    <row r="1085" spans="1:9" ht="14.25" customHeight="1" x14ac:dyDescent="0.25">
      <c r="A1085" s="7" t="s">
        <v>4821</v>
      </c>
      <c r="B1085" s="8" t="s">
        <v>4457</v>
      </c>
      <c r="C1085" s="8" t="s">
        <v>4822</v>
      </c>
      <c r="D1085" s="8" t="s">
        <v>411</v>
      </c>
      <c r="E1085" s="8" t="s">
        <v>412</v>
      </c>
      <c r="F1085" s="13" t="s">
        <v>4823</v>
      </c>
      <c r="G1085" s="10"/>
      <c r="H1085" s="10"/>
      <c r="I1085" s="10" t="s">
        <v>3756</v>
      </c>
    </row>
    <row r="1086" spans="1:9" ht="14.25" customHeight="1" x14ac:dyDescent="0.25">
      <c r="A1086" s="7" t="s">
        <v>4824</v>
      </c>
      <c r="B1086" s="8" t="s">
        <v>4825</v>
      </c>
      <c r="C1086" s="8" t="s">
        <v>4826</v>
      </c>
      <c r="D1086" s="8"/>
      <c r="E1086" s="8" t="s">
        <v>412</v>
      </c>
      <c r="F1086" s="13" t="s">
        <v>4827</v>
      </c>
      <c r="G1086" s="10"/>
      <c r="H1086" s="10"/>
      <c r="I1086" s="10" t="s">
        <v>3756</v>
      </c>
    </row>
    <row r="1087" spans="1:9" ht="14.25" customHeight="1" x14ac:dyDescent="0.25">
      <c r="A1087" s="7" t="s">
        <v>4828</v>
      </c>
      <c r="B1087" s="8" t="s">
        <v>4829</v>
      </c>
      <c r="C1087" s="8" t="s">
        <v>4830</v>
      </c>
      <c r="D1087" s="8" t="s">
        <v>3163</v>
      </c>
      <c r="E1087" s="8" t="s">
        <v>412</v>
      </c>
      <c r="F1087" s="13" t="s">
        <v>4831</v>
      </c>
      <c r="G1087" s="10" t="s">
        <v>4832</v>
      </c>
      <c r="H1087" s="10" t="s">
        <v>4833</v>
      </c>
      <c r="I1087" s="10"/>
    </row>
    <row r="1088" spans="1:9" ht="14.25" customHeight="1" x14ac:dyDescent="0.25">
      <c r="A1088" s="7" t="s">
        <v>4834</v>
      </c>
      <c r="B1088" s="8" t="s">
        <v>4835</v>
      </c>
      <c r="C1088" s="8" t="s">
        <v>4836</v>
      </c>
      <c r="D1088" s="8" t="s">
        <v>3163</v>
      </c>
      <c r="E1088" s="8" t="s">
        <v>1359</v>
      </c>
      <c r="F1088" s="13" t="s">
        <v>4837</v>
      </c>
      <c r="G1088" s="10" t="s">
        <v>4838</v>
      </c>
      <c r="H1088" s="10" t="s">
        <v>20</v>
      </c>
      <c r="I1088" s="10"/>
    </row>
    <row r="1089" spans="1:9" ht="14.25" customHeight="1" x14ac:dyDescent="0.25">
      <c r="A1089" s="7" t="s">
        <v>4839</v>
      </c>
      <c r="B1089" s="8" t="s">
        <v>4840</v>
      </c>
      <c r="C1089" s="8" t="s">
        <v>4841</v>
      </c>
      <c r="D1089" s="8" t="s">
        <v>411</v>
      </c>
      <c r="E1089" s="8" t="s">
        <v>412</v>
      </c>
      <c r="F1089" s="11" t="s">
        <v>4842</v>
      </c>
      <c r="G1089" s="10" t="s">
        <v>4087</v>
      </c>
      <c r="H1089" s="10" t="s">
        <v>92</v>
      </c>
      <c r="I1089" s="10" t="s">
        <v>3756</v>
      </c>
    </row>
    <row r="1090" spans="1:9" ht="14.25" customHeight="1" x14ac:dyDescent="0.25">
      <c r="A1090" s="19" t="s">
        <v>4843</v>
      </c>
      <c r="B1090" s="8" t="s">
        <v>4844</v>
      </c>
      <c r="C1090" s="8" t="s">
        <v>4845</v>
      </c>
      <c r="D1090" s="8" t="s">
        <v>411</v>
      </c>
      <c r="E1090" s="8" t="s">
        <v>412</v>
      </c>
      <c r="F1090" s="13" t="s">
        <v>4846</v>
      </c>
      <c r="G1090" s="10" t="s">
        <v>4847</v>
      </c>
      <c r="H1090" s="10" t="s">
        <v>4848</v>
      </c>
      <c r="I1090" s="10" t="s">
        <v>4371</v>
      </c>
    </row>
    <row r="1091" spans="1:9" ht="14.25" customHeight="1" x14ac:dyDescent="0.25">
      <c r="A1091" s="7" t="s">
        <v>4849</v>
      </c>
      <c r="B1091" s="8" t="s">
        <v>4850</v>
      </c>
      <c r="C1091" s="8" t="s">
        <v>4851</v>
      </c>
      <c r="D1091" s="8" t="s">
        <v>3163</v>
      </c>
      <c r="E1091" s="8" t="s">
        <v>412</v>
      </c>
      <c r="F1091" s="13" t="s">
        <v>4852</v>
      </c>
      <c r="G1091" s="10" t="s">
        <v>4853</v>
      </c>
      <c r="H1091" s="10" t="s">
        <v>4854</v>
      </c>
      <c r="I1091" s="10" t="s">
        <v>4039</v>
      </c>
    </row>
    <row r="1092" spans="1:9" ht="14.25" customHeight="1" x14ac:dyDescent="0.25">
      <c r="A1092" s="7" t="s">
        <v>4855</v>
      </c>
      <c r="B1092" s="8" t="s">
        <v>2105</v>
      </c>
      <c r="C1092" s="8" t="s">
        <v>4856</v>
      </c>
      <c r="D1092" s="8" t="s">
        <v>3163</v>
      </c>
      <c r="E1092" s="8" t="s">
        <v>412</v>
      </c>
      <c r="F1092" s="13" t="s">
        <v>4857</v>
      </c>
      <c r="G1092" s="10"/>
      <c r="H1092" s="10"/>
      <c r="I1092" s="10" t="s">
        <v>4039</v>
      </c>
    </row>
    <row r="1093" spans="1:9" ht="14.25" customHeight="1" x14ac:dyDescent="0.25">
      <c r="A1093" s="19" t="s">
        <v>4858</v>
      </c>
      <c r="B1093" s="8" t="s">
        <v>3995</v>
      </c>
      <c r="C1093" s="8" t="s">
        <v>3078</v>
      </c>
      <c r="D1093" s="8" t="s">
        <v>411</v>
      </c>
      <c r="E1093" s="8" t="s">
        <v>412</v>
      </c>
      <c r="F1093" s="13" t="s">
        <v>4859</v>
      </c>
      <c r="G1093" s="10"/>
      <c r="H1093" s="10"/>
      <c r="I1093" s="10" t="s">
        <v>3756</v>
      </c>
    </row>
    <row r="1094" spans="1:9" ht="14.25" customHeight="1" x14ac:dyDescent="0.25">
      <c r="A1094" s="7" t="s">
        <v>4860</v>
      </c>
      <c r="B1094" s="8" t="s">
        <v>4423</v>
      </c>
      <c r="C1094" s="8" t="s">
        <v>4861</v>
      </c>
      <c r="D1094" s="8" t="s">
        <v>3163</v>
      </c>
      <c r="E1094" s="8" t="s">
        <v>412</v>
      </c>
      <c r="F1094" s="13" t="s">
        <v>4862</v>
      </c>
      <c r="G1094" s="10"/>
      <c r="H1094" s="10"/>
      <c r="I1094" s="10" t="s">
        <v>4039</v>
      </c>
    </row>
    <row r="1095" spans="1:9" ht="14.25" customHeight="1" x14ac:dyDescent="0.25">
      <c r="A1095" s="7" t="s">
        <v>4863</v>
      </c>
      <c r="B1095" s="8" t="s">
        <v>4864</v>
      </c>
      <c r="C1095" s="8" t="s">
        <v>4865</v>
      </c>
      <c r="D1095" s="8" t="s">
        <v>3163</v>
      </c>
      <c r="E1095" s="8" t="s">
        <v>412</v>
      </c>
      <c r="F1095" s="8"/>
      <c r="G1095" s="10"/>
      <c r="H1095" s="10"/>
      <c r="I1095" s="10" t="s">
        <v>3756</v>
      </c>
    </row>
    <row r="1096" spans="1:9" ht="14.25" customHeight="1" x14ac:dyDescent="0.25">
      <c r="A1096" s="7" t="s">
        <v>4866</v>
      </c>
      <c r="B1096" s="8" t="s">
        <v>2334</v>
      </c>
      <c r="C1096" s="8" t="s">
        <v>4867</v>
      </c>
      <c r="D1096" s="8" t="s">
        <v>411</v>
      </c>
      <c r="E1096" s="8" t="s">
        <v>412</v>
      </c>
      <c r="F1096" s="13" t="s">
        <v>4868</v>
      </c>
      <c r="G1096" s="10"/>
      <c r="H1096" s="10"/>
      <c r="I1096" s="10" t="s">
        <v>4039</v>
      </c>
    </row>
    <row r="1097" spans="1:9" ht="14.25" customHeight="1" x14ac:dyDescent="0.25">
      <c r="A1097" s="7" t="s">
        <v>4869</v>
      </c>
      <c r="B1097" s="8" t="s">
        <v>2956</v>
      </c>
      <c r="C1097" s="8" t="s">
        <v>4870</v>
      </c>
      <c r="D1097" s="8" t="s">
        <v>411</v>
      </c>
      <c r="E1097" s="8" t="s">
        <v>3890</v>
      </c>
      <c r="F1097" s="13" t="s">
        <v>4871</v>
      </c>
      <c r="G1097" s="10"/>
      <c r="H1097" s="10"/>
      <c r="I1097" s="10" t="s">
        <v>4039</v>
      </c>
    </row>
    <row r="1098" spans="1:9" ht="14.25" customHeight="1" x14ac:dyDescent="0.25">
      <c r="A1098" s="7" t="s">
        <v>4872</v>
      </c>
      <c r="B1098" s="8" t="s">
        <v>4873</v>
      </c>
      <c r="C1098" s="8" t="s">
        <v>4870</v>
      </c>
      <c r="D1098" s="8" t="s">
        <v>3163</v>
      </c>
      <c r="E1098" s="8" t="s">
        <v>4254</v>
      </c>
      <c r="F1098" s="8"/>
      <c r="G1098" s="10"/>
      <c r="H1098" s="10"/>
      <c r="I1098" s="10"/>
    </row>
    <row r="1099" spans="1:9" ht="14.25" customHeight="1" x14ac:dyDescent="0.25">
      <c r="A1099" s="7" t="s">
        <v>4874</v>
      </c>
      <c r="B1099" s="8" t="s">
        <v>4875</v>
      </c>
      <c r="C1099" s="8" t="s">
        <v>4876</v>
      </c>
      <c r="D1099" s="8" t="s">
        <v>411</v>
      </c>
      <c r="E1099" s="8" t="s">
        <v>412</v>
      </c>
      <c r="F1099" s="13" t="s">
        <v>4877</v>
      </c>
      <c r="G1099" s="10" t="s">
        <v>4878</v>
      </c>
      <c r="H1099" s="10" t="s">
        <v>4879</v>
      </c>
      <c r="I1099" s="10" t="s">
        <v>3756</v>
      </c>
    </row>
    <row r="1100" spans="1:9" ht="14.25" customHeight="1" x14ac:dyDescent="0.25">
      <c r="A1100" s="7" t="s">
        <v>4880</v>
      </c>
      <c r="B1100" s="8" t="s">
        <v>4881</v>
      </c>
      <c r="C1100" s="8" t="s">
        <v>4882</v>
      </c>
      <c r="D1100" s="8" t="s">
        <v>411</v>
      </c>
      <c r="E1100" s="8" t="s">
        <v>412</v>
      </c>
      <c r="F1100" s="13" t="s">
        <v>4883</v>
      </c>
      <c r="G1100" s="10" t="s">
        <v>4884</v>
      </c>
      <c r="H1100" s="10" t="s">
        <v>4026</v>
      </c>
      <c r="I1100" s="10" t="s">
        <v>4039</v>
      </c>
    </row>
    <row r="1101" spans="1:9" ht="14.25" customHeight="1" x14ac:dyDescent="0.25">
      <c r="A1101" s="7" t="s">
        <v>4885</v>
      </c>
      <c r="B1101" s="8" t="s">
        <v>4515</v>
      </c>
      <c r="C1101" s="8" t="s">
        <v>4886</v>
      </c>
      <c r="D1101" s="8" t="s">
        <v>411</v>
      </c>
      <c r="E1101" s="8" t="s">
        <v>3890</v>
      </c>
      <c r="F1101" s="13" t="s">
        <v>4887</v>
      </c>
      <c r="G1101" s="10" t="s">
        <v>4888</v>
      </c>
      <c r="H1101" s="10" t="s">
        <v>4651</v>
      </c>
      <c r="I1101" s="10" t="s">
        <v>3756</v>
      </c>
    </row>
    <row r="1102" spans="1:9" ht="14.25" customHeight="1" x14ac:dyDescent="0.25">
      <c r="A1102" s="7" t="s">
        <v>4889</v>
      </c>
      <c r="B1102" s="8" t="s">
        <v>4890</v>
      </c>
      <c r="C1102" s="8" t="s">
        <v>4891</v>
      </c>
      <c r="D1102" s="8" t="s">
        <v>3163</v>
      </c>
      <c r="E1102" s="8" t="s">
        <v>3890</v>
      </c>
      <c r="F1102" s="13" t="s">
        <v>4892</v>
      </c>
      <c r="G1102" s="10" t="s">
        <v>4888</v>
      </c>
      <c r="H1102" s="10" t="s">
        <v>4651</v>
      </c>
      <c r="I1102" s="10" t="s">
        <v>3756</v>
      </c>
    </row>
    <row r="1103" spans="1:9" ht="14.25" customHeight="1" x14ac:dyDescent="0.25">
      <c r="A1103" s="7" t="s">
        <v>4893</v>
      </c>
      <c r="B1103" s="8" t="s">
        <v>4894</v>
      </c>
      <c r="C1103" s="8" t="s">
        <v>4895</v>
      </c>
      <c r="D1103" s="8"/>
      <c r="E1103" s="8" t="s">
        <v>412</v>
      </c>
      <c r="F1103" s="8"/>
      <c r="G1103" s="10"/>
      <c r="H1103" s="10"/>
      <c r="I1103" s="10" t="s">
        <v>4371</v>
      </c>
    </row>
    <row r="1104" spans="1:9" ht="14.25" customHeight="1" x14ac:dyDescent="0.25">
      <c r="A1104" s="7" t="s">
        <v>4896</v>
      </c>
      <c r="B1104" s="8" t="s">
        <v>4897</v>
      </c>
      <c r="C1104" s="8" t="s">
        <v>4898</v>
      </c>
      <c r="D1104" s="8" t="s">
        <v>411</v>
      </c>
      <c r="E1104" s="8" t="s">
        <v>3890</v>
      </c>
      <c r="F1104" s="11" t="s">
        <v>4899</v>
      </c>
      <c r="G1104" s="10"/>
      <c r="H1104" s="10"/>
      <c r="I1104" s="10" t="s">
        <v>3756</v>
      </c>
    </row>
    <row r="1105" spans="1:9" ht="14.25" customHeight="1" x14ac:dyDescent="0.25">
      <c r="A1105" s="7" t="s">
        <v>4900</v>
      </c>
      <c r="B1105" s="8" t="s">
        <v>2847</v>
      </c>
      <c r="C1105" s="8" t="s">
        <v>4901</v>
      </c>
      <c r="D1105" s="8" t="s">
        <v>411</v>
      </c>
      <c r="E1105" s="8" t="s">
        <v>412</v>
      </c>
      <c r="F1105" s="13" t="s">
        <v>4902</v>
      </c>
      <c r="G1105" s="10"/>
      <c r="H1105" s="10"/>
      <c r="I1105" s="10" t="s">
        <v>4039</v>
      </c>
    </row>
    <row r="1106" spans="1:9" ht="14.25" customHeight="1" x14ac:dyDescent="0.25">
      <c r="A1106" s="7" t="s">
        <v>4903</v>
      </c>
      <c r="B1106" s="8" t="s">
        <v>4904</v>
      </c>
      <c r="C1106" s="8" t="s">
        <v>4905</v>
      </c>
      <c r="D1106" s="8" t="s">
        <v>3163</v>
      </c>
      <c r="E1106" s="8" t="s">
        <v>412</v>
      </c>
      <c r="F1106" s="13" t="s">
        <v>4906</v>
      </c>
      <c r="G1106" s="10"/>
      <c r="H1106" s="10"/>
      <c r="I1106" s="10" t="s">
        <v>4039</v>
      </c>
    </row>
    <row r="1107" spans="1:9" ht="14.25" customHeight="1" x14ac:dyDescent="0.25">
      <c r="A1107" s="7" t="s">
        <v>4907</v>
      </c>
      <c r="B1107" s="8" t="s">
        <v>4908</v>
      </c>
      <c r="C1107" s="8" t="s">
        <v>4909</v>
      </c>
      <c r="D1107" s="8" t="s">
        <v>411</v>
      </c>
      <c r="E1107" s="8" t="s">
        <v>412</v>
      </c>
      <c r="F1107" s="13" t="s">
        <v>4910</v>
      </c>
      <c r="G1107" s="10"/>
      <c r="H1107" s="10"/>
      <c r="I1107" s="10" t="s">
        <v>3756</v>
      </c>
    </row>
    <row r="1108" spans="1:9" ht="14.25" customHeight="1" x14ac:dyDescent="0.25">
      <c r="A1108" s="7" t="s">
        <v>4911</v>
      </c>
      <c r="B1108" s="8" t="s">
        <v>2956</v>
      </c>
      <c r="C1108" s="8" t="s">
        <v>4912</v>
      </c>
      <c r="D1108" s="8" t="s">
        <v>411</v>
      </c>
      <c r="E1108" s="8" t="s">
        <v>412</v>
      </c>
      <c r="F1108" s="13" t="s">
        <v>4913</v>
      </c>
      <c r="G1108" s="10"/>
      <c r="H1108" s="10"/>
      <c r="I1108" s="10" t="s">
        <v>3756</v>
      </c>
    </row>
    <row r="1109" spans="1:9" ht="14.25" customHeight="1" x14ac:dyDescent="0.25">
      <c r="A1109" s="7" t="s">
        <v>4914</v>
      </c>
      <c r="B1109" s="8" t="s">
        <v>4915</v>
      </c>
      <c r="C1109" s="8" t="s">
        <v>4916</v>
      </c>
      <c r="D1109" s="8" t="s">
        <v>3163</v>
      </c>
      <c r="E1109" s="8" t="s">
        <v>3890</v>
      </c>
      <c r="F1109" s="13" t="s">
        <v>4917</v>
      </c>
      <c r="G1109" s="10"/>
      <c r="H1109" s="10"/>
      <c r="I1109" s="10" t="s">
        <v>3756</v>
      </c>
    </row>
    <row r="1110" spans="1:9" ht="14.25" customHeight="1" x14ac:dyDescent="0.25">
      <c r="A1110" s="7" t="s">
        <v>4918</v>
      </c>
      <c r="B1110" s="8" t="s">
        <v>4919</v>
      </c>
      <c r="C1110" s="8" t="s">
        <v>4920</v>
      </c>
      <c r="D1110" s="8" t="s">
        <v>411</v>
      </c>
      <c r="E1110" s="8" t="s">
        <v>3890</v>
      </c>
      <c r="F1110" s="13" t="s">
        <v>4921</v>
      </c>
      <c r="G1110" s="10"/>
      <c r="H1110" s="10"/>
      <c r="I1110" s="10" t="s">
        <v>3756</v>
      </c>
    </row>
    <row r="1111" spans="1:9" ht="14.25" customHeight="1" x14ac:dyDescent="0.25">
      <c r="A1111" s="7" t="s">
        <v>4922</v>
      </c>
      <c r="B1111" s="8" t="s">
        <v>1463</v>
      </c>
      <c r="C1111" s="8" t="s">
        <v>4923</v>
      </c>
      <c r="D1111" s="8" t="s">
        <v>411</v>
      </c>
      <c r="E1111" s="8" t="s">
        <v>4021</v>
      </c>
      <c r="F1111" s="13" t="s">
        <v>4924</v>
      </c>
      <c r="G1111" s="10"/>
      <c r="H1111" s="10"/>
      <c r="I1111" s="10" t="s">
        <v>4039</v>
      </c>
    </row>
    <row r="1112" spans="1:9" ht="14.25" customHeight="1" x14ac:dyDescent="0.25">
      <c r="A1112" s="7" t="s">
        <v>4925</v>
      </c>
      <c r="B1112" s="8" t="s">
        <v>3478</v>
      </c>
      <c r="C1112" s="8" t="s">
        <v>4926</v>
      </c>
      <c r="D1112" s="8" t="s">
        <v>411</v>
      </c>
      <c r="E1112" s="8" t="s">
        <v>412</v>
      </c>
      <c r="F1112" s="13" t="s">
        <v>4927</v>
      </c>
      <c r="G1112" s="10"/>
      <c r="H1112" s="10"/>
      <c r="I1112" s="10" t="s">
        <v>4039</v>
      </c>
    </row>
    <row r="1113" spans="1:9" ht="14.25" customHeight="1" x14ac:dyDescent="0.25">
      <c r="A1113" s="7" t="s">
        <v>4928</v>
      </c>
      <c r="B1113" s="8" t="s">
        <v>4929</v>
      </c>
      <c r="C1113" s="8" t="s">
        <v>4930</v>
      </c>
      <c r="D1113" s="8" t="s">
        <v>411</v>
      </c>
      <c r="E1113" s="8" t="s">
        <v>412</v>
      </c>
      <c r="F1113" s="13" t="s">
        <v>4931</v>
      </c>
      <c r="G1113" s="10"/>
      <c r="H1113" s="10"/>
      <c r="I1113" s="10"/>
    </row>
    <row r="1114" spans="1:9" ht="14.25" customHeight="1" x14ac:dyDescent="0.25">
      <c r="A1114" s="7" t="s">
        <v>4932</v>
      </c>
      <c r="B1114" s="8" t="s">
        <v>553</v>
      </c>
      <c r="C1114" s="8" t="s">
        <v>4933</v>
      </c>
      <c r="D1114" s="8" t="s">
        <v>411</v>
      </c>
      <c r="E1114" s="8" t="s">
        <v>412</v>
      </c>
      <c r="F1114" s="13" t="s">
        <v>4934</v>
      </c>
      <c r="G1114" s="10"/>
      <c r="H1114" s="10"/>
      <c r="I1114" s="10" t="s">
        <v>4371</v>
      </c>
    </row>
    <row r="1115" spans="1:9" ht="14.25" customHeight="1" x14ac:dyDescent="0.25">
      <c r="A1115" s="7" t="s">
        <v>4935</v>
      </c>
      <c r="B1115" s="8" t="s">
        <v>4936</v>
      </c>
      <c r="C1115" s="8" t="s">
        <v>4937</v>
      </c>
      <c r="D1115" s="8" t="s">
        <v>411</v>
      </c>
      <c r="E1115" s="8" t="s">
        <v>4021</v>
      </c>
      <c r="F1115" s="8" t="s">
        <v>4938</v>
      </c>
      <c r="G1115" s="10" t="s">
        <v>4939</v>
      </c>
      <c r="H1115" s="10" t="s">
        <v>4059</v>
      </c>
      <c r="I1115" s="10" t="s">
        <v>3756</v>
      </c>
    </row>
    <row r="1116" spans="1:9" ht="14.25" customHeight="1" x14ac:dyDescent="0.25">
      <c r="A1116" s="7" t="s">
        <v>4940</v>
      </c>
      <c r="B1116" s="8" t="s">
        <v>4941</v>
      </c>
      <c r="C1116" s="8" t="s">
        <v>4942</v>
      </c>
      <c r="D1116" s="8" t="s">
        <v>3163</v>
      </c>
      <c r="E1116" s="8" t="s">
        <v>412</v>
      </c>
      <c r="F1116" s="8" t="s">
        <v>4943</v>
      </c>
      <c r="G1116" s="10" t="s">
        <v>4944</v>
      </c>
      <c r="H1116" s="10" t="s">
        <v>4945</v>
      </c>
      <c r="I1116" s="10" t="s">
        <v>4946</v>
      </c>
    </row>
    <row r="1117" spans="1:9" ht="14.25" customHeight="1" x14ac:dyDescent="0.25">
      <c r="A1117" s="7" t="s">
        <v>4947</v>
      </c>
      <c r="B1117" s="8" t="s">
        <v>4948</v>
      </c>
      <c r="C1117" s="8" t="s">
        <v>4942</v>
      </c>
      <c r="D1117" s="8" t="s">
        <v>3163</v>
      </c>
      <c r="E1117" s="8" t="s">
        <v>412</v>
      </c>
      <c r="F1117" s="8" t="s">
        <v>4949</v>
      </c>
      <c r="G1117" s="10" t="s">
        <v>4950</v>
      </c>
      <c r="H1117" s="10" t="s">
        <v>4951</v>
      </c>
      <c r="I1117" s="10" t="s">
        <v>4946</v>
      </c>
    </row>
    <row r="1118" spans="1:9" ht="14.25" customHeight="1" x14ac:dyDescent="0.25">
      <c r="A1118" s="7" t="s">
        <v>4952</v>
      </c>
      <c r="B1118" s="8" t="s">
        <v>4522</v>
      </c>
      <c r="C1118" s="8" t="s">
        <v>4953</v>
      </c>
      <c r="D1118" s="8" t="s">
        <v>411</v>
      </c>
      <c r="E1118" s="8" t="s">
        <v>4021</v>
      </c>
      <c r="F1118" s="8" t="s">
        <v>4954</v>
      </c>
      <c r="G1118" s="10"/>
      <c r="H1118" s="10"/>
      <c r="I1118" s="10" t="s">
        <v>4955</v>
      </c>
    </row>
    <row r="1119" spans="1:9" ht="14.25" customHeight="1" x14ac:dyDescent="0.25">
      <c r="A1119" s="7" t="s">
        <v>4956</v>
      </c>
      <c r="B1119" s="8" t="s">
        <v>4957</v>
      </c>
      <c r="C1119" s="8" t="s">
        <v>4958</v>
      </c>
      <c r="D1119" s="8" t="s">
        <v>411</v>
      </c>
      <c r="E1119" s="8" t="s">
        <v>4254</v>
      </c>
      <c r="F1119" s="8" t="s">
        <v>4959</v>
      </c>
      <c r="G1119" s="10"/>
      <c r="H1119" s="10"/>
      <c r="I1119" s="10" t="s">
        <v>4955</v>
      </c>
    </row>
    <row r="1120" spans="1:9" ht="14.25" customHeight="1" x14ac:dyDescent="0.25">
      <c r="A1120" s="7" t="s">
        <v>4960</v>
      </c>
      <c r="B1120" s="8" t="s">
        <v>944</v>
      </c>
      <c r="C1120" s="8" t="s">
        <v>4961</v>
      </c>
      <c r="D1120" s="8" t="s">
        <v>411</v>
      </c>
      <c r="E1120" s="8" t="s">
        <v>412</v>
      </c>
      <c r="F1120" s="8" t="s">
        <v>4962</v>
      </c>
      <c r="G1120" s="10" t="s">
        <v>4963</v>
      </c>
      <c r="H1120" s="10" t="s">
        <v>4651</v>
      </c>
      <c r="I1120" s="10" t="s">
        <v>4946</v>
      </c>
    </row>
    <row r="1121" spans="1:9" ht="14.25" customHeight="1" x14ac:dyDescent="0.25">
      <c r="A1121" s="7" t="s">
        <v>4964</v>
      </c>
      <c r="B1121" s="8" t="s">
        <v>2006</v>
      </c>
      <c r="C1121" s="8" t="s">
        <v>4965</v>
      </c>
      <c r="D1121" s="8" t="s">
        <v>3163</v>
      </c>
      <c r="E1121" s="8" t="s">
        <v>4254</v>
      </c>
      <c r="F1121" s="8" t="s">
        <v>4966</v>
      </c>
      <c r="G1121" s="10" t="s">
        <v>4967</v>
      </c>
      <c r="H1121" s="10" t="s">
        <v>4077</v>
      </c>
      <c r="I1121" s="10" t="s">
        <v>4946</v>
      </c>
    </row>
    <row r="1122" spans="1:9" ht="14.25" customHeight="1" x14ac:dyDescent="0.25">
      <c r="A1122" s="7" t="s">
        <v>4968</v>
      </c>
      <c r="B1122" s="8" t="s">
        <v>4969</v>
      </c>
      <c r="C1122" s="8" t="s">
        <v>4970</v>
      </c>
      <c r="D1122" s="8" t="s">
        <v>411</v>
      </c>
      <c r="E1122" s="8" t="s">
        <v>4254</v>
      </c>
      <c r="F1122" s="8"/>
      <c r="G1122" s="10"/>
      <c r="H1122" s="10"/>
      <c r="I1122" s="10" t="s">
        <v>4946</v>
      </c>
    </row>
    <row r="1123" spans="1:9" ht="14.25" customHeight="1" x14ac:dyDescent="0.25">
      <c r="A1123" s="7" t="s">
        <v>4971</v>
      </c>
      <c r="B1123" s="8" t="s">
        <v>4006</v>
      </c>
      <c r="C1123" s="8" t="s">
        <v>4972</v>
      </c>
      <c r="D1123" s="8" t="s">
        <v>411</v>
      </c>
      <c r="E1123" s="8" t="s">
        <v>4021</v>
      </c>
      <c r="F1123" s="8" t="s">
        <v>4973</v>
      </c>
      <c r="G1123" s="10"/>
      <c r="H1123" s="10"/>
      <c r="I1123" s="10" t="s">
        <v>4974</v>
      </c>
    </row>
    <row r="1124" spans="1:9" ht="14.25" customHeight="1" x14ac:dyDescent="0.25">
      <c r="A1124" s="7" t="s">
        <v>4975</v>
      </c>
      <c r="B1124" s="8" t="s">
        <v>4976</v>
      </c>
      <c r="C1124" s="8" t="s">
        <v>3788</v>
      </c>
      <c r="D1124" s="8" t="s">
        <v>3163</v>
      </c>
      <c r="E1124" s="8" t="s">
        <v>4254</v>
      </c>
      <c r="F1124" s="8" t="s">
        <v>4977</v>
      </c>
      <c r="G1124" s="10"/>
      <c r="H1124" s="10"/>
      <c r="I1124" s="10" t="s">
        <v>4955</v>
      </c>
    </row>
    <row r="1125" spans="1:9" ht="14.25" customHeight="1" x14ac:dyDescent="0.25">
      <c r="A1125" s="7" t="s">
        <v>4978</v>
      </c>
      <c r="B1125" s="8" t="s">
        <v>4979</v>
      </c>
      <c r="C1125" s="8" t="s">
        <v>4980</v>
      </c>
      <c r="D1125" s="8" t="s">
        <v>411</v>
      </c>
      <c r="E1125" s="8" t="s">
        <v>4254</v>
      </c>
      <c r="F1125" s="8" t="s">
        <v>4981</v>
      </c>
      <c r="G1125" s="10"/>
      <c r="H1125" s="10"/>
      <c r="I1125" s="10" t="s">
        <v>4955</v>
      </c>
    </row>
    <row r="1126" spans="1:9" ht="14.25" customHeight="1" x14ac:dyDescent="0.25">
      <c r="A1126" s="7" t="s">
        <v>4982</v>
      </c>
      <c r="B1126" s="8" t="s">
        <v>4983</v>
      </c>
      <c r="C1126" s="8" t="s">
        <v>4984</v>
      </c>
      <c r="D1126" s="8" t="s">
        <v>3163</v>
      </c>
      <c r="E1126" s="8" t="s">
        <v>4254</v>
      </c>
      <c r="F1126" s="8" t="s">
        <v>4985</v>
      </c>
      <c r="G1126" s="10"/>
      <c r="H1126" s="10"/>
      <c r="I1126" s="10" t="s">
        <v>4955</v>
      </c>
    </row>
    <row r="1127" spans="1:9" ht="14.25" customHeight="1" x14ac:dyDescent="0.25">
      <c r="A1127" s="7" t="s">
        <v>4986</v>
      </c>
      <c r="B1127" s="8" t="s">
        <v>4987</v>
      </c>
      <c r="C1127" s="8" t="s">
        <v>4984</v>
      </c>
      <c r="D1127" s="8" t="s">
        <v>411</v>
      </c>
      <c r="E1127" s="8" t="s">
        <v>3890</v>
      </c>
      <c r="F1127" s="8" t="s">
        <v>4988</v>
      </c>
      <c r="G1127" s="10"/>
      <c r="H1127" s="10"/>
      <c r="I1127" s="10" t="s">
        <v>4955</v>
      </c>
    </row>
    <row r="1128" spans="1:9" ht="14.25" customHeight="1" x14ac:dyDescent="0.25">
      <c r="A1128" s="7" t="s">
        <v>4989</v>
      </c>
      <c r="B1128" s="8" t="s">
        <v>4990</v>
      </c>
      <c r="C1128" s="8" t="s">
        <v>4991</v>
      </c>
      <c r="D1128" s="8" t="s">
        <v>411</v>
      </c>
      <c r="E1128" s="8" t="s">
        <v>4254</v>
      </c>
      <c r="F1128" s="8" t="s">
        <v>4992</v>
      </c>
      <c r="G1128" s="10"/>
      <c r="H1128" s="10"/>
      <c r="I1128" s="10" t="s">
        <v>4955</v>
      </c>
    </row>
    <row r="1129" spans="1:9" ht="14.25" customHeight="1" x14ac:dyDescent="0.25">
      <c r="A1129" s="7" t="s">
        <v>4993</v>
      </c>
      <c r="B1129" s="8" t="s">
        <v>4994</v>
      </c>
      <c r="C1129" s="8" t="s">
        <v>4995</v>
      </c>
      <c r="D1129" s="8" t="s">
        <v>3163</v>
      </c>
      <c r="E1129" s="8" t="s">
        <v>4254</v>
      </c>
      <c r="F1129" s="8"/>
      <c r="G1129" s="10"/>
      <c r="H1129" s="10"/>
      <c r="I1129" s="10" t="s">
        <v>4955</v>
      </c>
    </row>
    <row r="1130" spans="1:9" ht="14.25" customHeight="1" x14ac:dyDescent="0.25">
      <c r="A1130" s="7" t="s">
        <v>4996</v>
      </c>
      <c r="B1130" s="8" t="s">
        <v>4997</v>
      </c>
      <c r="C1130" s="8" t="s">
        <v>4998</v>
      </c>
      <c r="D1130" s="8" t="s">
        <v>411</v>
      </c>
      <c r="E1130" s="8" t="s">
        <v>4021</v>
      </c>
      <c r="F1130" s="11" t="s">
        <v>4999</v>
      </c>
      <c r="G1130" s="10" t="s">
        <v>5000</v>
      </c>
      <c r="H1130" s="10" t="s">
        <v>4059</v>
      </c>
      <c r="I1130" s="10" t="s">
        <v>4946</v>
      </c>
    </row>
    <row r="1131" spans="1:9" ht="14.25" customHeight="1" x14ac:dyDescent="0.25">
      <c r="A1131" s="7" t="s">
        <v>5001</v>
      </c>
      <c r="B1131" s="8" t="s">
        <v>5002</v>
      </c>
      <c r="C1131" s="8" t="s">
        <v>5003</v>
      </c>
      <c r="D1131" s="8" t="s">
        <v>411</v>
      </c>
      <c r="E1131" s="8" t="s">
        <v>4021</v>
      </c>
      <c r="F1131" s="8" t="s">
        <v>5004</v>
      </c>
      <c r="G1131" s="10"/>
      <c r="H1131" s="10"/>
      <c r="I1131" s="10" t="s">
        <v>4955</v>
      </c>
    </row>
    <row r="1132" spans="1:9" ht="14.25" customHeight="1" x14ac:dyDescent="0.25">
      <c r="A1132" s="7" t="s">
        <v>5005</v>
      </c>
      <c r="B1132" s="8" t="s">
        <v>5006</v>
      </c>
      <c r="C1132" s="8" t="s">
        <v>5007</v>
      </c>
      <c r="D1132" s="8" t="s">
        <v>411</v>
      </c>
      <c r="E1132" s="8" t="s">
        <v>4021</v>
      </c>
      <c r="F1132" s="8" t="s">
        <v>5008</v>
      </c>
      <c r="G1132" s="10"/>
      <c r="H1132" s="10"/>
      <c r="I1132" s="10" t="s">
        <v>4946</v>
      </c>
    </row>
    <row r="1133" spans="1:9" ht="14.25" customHeight="1" x14ac:dyDescent="0.25">
      <c r="A1133" s="7" t="s">
        <v>5009</v>
      </c>
      <c r="B1133" s="8" t="s">
        <v>944</v>
      </c>
      <c r="C1133" s="8" t="s">
        <v>5010</v>
      </c>
      <c r="D1133" s="8" t="s">
        <v>411</v>
      </c>
      <c r="E1133" s="8" t="s">
        <v>4021</v>
      </c>
      <c r="F1133" s="11" t="s">
        <v>5011</v>
      </c>
      <c r="G1133" s="10" t="s">
        <v>5012</v>
      </c>
      <c r="H1133" s="10" t="s">
        <v>5013</v>
      </c>
      <c r="I1133" s="10" t="s">
        <v>4955</v>
      </c>
    </row>
    <row r="1134" spans="1:9" ht="14.25" customHeight="1" x14ac:dyDescent="0.25">
      <c r="A1134" s="7" t="s">
        <v>5014</v>
      </c>
      <c r="B1134" s="8" t="s">
        <v>5015</v>
      </c>
      <c r="C1134" s="8" t="s">
        <v>5016</v>
      </c>
      <c r="D1134" s="8" t="s">
        <v>411</v>
      </c>
      <c r="E1134" s="8" t="s">
        <v>4021</v>
      </c>
      <c r="F1134" s="8" t="s">
        <v>5017</v>
      </c>
      <c r="G1134" s="10" t="s">
        <v>5018</v>
      </c>
      <c r="H1134" s="10" t="s">
        <v>2212</v>
      </c>
      <c r="I1134" s="10" t="s">
        <v>4946</v>
      </c>
    </row>
    <row r="1135" spans="1:9" ht="14.25" customHeight="1" x14ac:dyDescent="0.25">
      <c r="A1135" s="7" t="s">
        <v>5019</v>
      </c>
      <c r="B1135" s="8" t="s">
        <v>5020</v>
      </c>
      <c r="C1135" s="8" t="s">
        <v>5021</v>
      </c>
      <c r="D1135" s="8" t="s">
        <v>3163</v>
      </c>
      <c r="E1135" s="8" t="s">
        <v>4021</v>
      </c>
      <c r="F1135" s="8" t="s">
        <v>5022</v>
      </c>
      <c r="G1135" s="10" t="s">
        <v>5023</v>
      </c>
      <c r="H1135" s="10" t="s">
        <v>2212</v>
      </c>
      <c r="I1135" s="10" t="s">
        <v>4371</v>
      </c>
    </row>
    <row r="1136" spans="1:9" ht="14.25" customHeight="1" x14ac:dyDescent="0.25">
      <c r="A1136" s="7" t="s">
        <v>5024</v>
      </c>
      <c r="B1136" s="8" t="s">
        <v>5025</v>
      </c>
      <c r="C1136" s="8" t="s">
        <v>5026</v>
      </c>
      <c r="D1136" s="8" t="s">
        <v>3163</v>
      </c>
      <c r="E1136" s="8" t="s">
        <v>412</v>
      </c>
      <c r="F1136" s="8" t="s">
        <v>5027</v>
      </c>
      <c r="G1136" s="10"/>
      <c r="H1136" s="10"/>
      <c r="I1136" s="10" t="s">
        <v>4946</v>
      </c>
    </row>
    <row r="1137" spans="1:9" ht="14.25" customHeight="1" x14ac:dyDescent="0.25">
      <c r="A1137" s="7" t="s">
        <v>5028</v>
      </c>
      <c r="B1137" s="8" t="s">
        <v>4990</v>
      </c>
      <c r="C1137" s="8" t="s">
        <v>5029</v>
      </c>
      <c r="D1137" s="8" t="s">
        <v>411</v>
      </c>
      <c r="E1137" s="8" t="s">
        <v>412</v>
      </c>
      <c r="F1137" s="11" t="s">
        <v>5030</v>
      </c>
      <c r="G1137" s="10"/>
      <c r="H1137" s="10"/>
      <c r="I1137" s="10" t="s">
        <v>4955</v>
      </c>
    </row>
    <row r="1138" spans="1:9" ht="14.25" customHeight="1" x14ac:dyDescent="0.25">
      <c r="A1138" s="7" t="s">
        <v>5031</v>
      </c>
      <c r="B1138" s="8" t="s">
        <v>4108</v>
      </c>
      <c r="C1138" s="8" t="s">
        <v>5032</v>
      </c>
      <c r="D1138" s="8" t="s">
        <v>3163</v>
      </c>
      <c r="E1138" s="8" t="s">
        <v>412</v>
      </c>
      <c r="F1138" s="11" t="s">
        <v>5033</v>
      </c>
      <c r="G1138" s="10"/>
      <c r="H1138" s="10"/>
      <c r="I1138" s="10" t="s">
        <v>3756</v>
      </c>
    </row>
    <row r="1139" spans="1:9" ht="14.25" customHeight="1" x14ac:dyDescent="0.25">
      <c r="A1139" s="7" t="s">
        <v>4753</v>
      </c>
      <c r="B1139" s="8" t="s">
        <v>3934</v>
      </c>
      <c r="C1139" s="8" t="s">
        <v>4754</v>
      </c>
      <c r="D1139" s="8" t="s">
        <v>3163</v>
      </c>
      <c r="E1139" s="8" t="s">
        <v>3865</v>
      </c>
      <c r="F1139" s="11" t="s">
        <v>4755</v>
      </c>
      <c r="G1139" s="10"/>
      <c r="H1139" s="10"/>
      <c r="I1139" s="10" t="s">
        <v>3756</v>
      </c>
    </row>
    <row r="1140" spans="1:9" ht="14.25" customHeight="1" x14ac:dyDescent="0.25">
      <c r="A1140" s="7" t="s">
        <v>5034</v>
      </c>
      <c r="B1140" s="8" t="s">
        <v>3478</v>
      </c>
      <c r="C1140" s="8" t="s">
        <v>231</v>
      </c>
      <c r="D1140" s="8" t="s">
        <v>411</v>
      </c>
      <c r="E1140" s="8" t="s">
        <v>412</v>
      </c>
      <c r="F1140" s="8"/>
      <c r="G1140" s="10"/>
      <c r="H1140" s="10"/>
      <c r="I1140" s="10"/>
    </row>
    <row r="1141" spans="1:9" ht="14.25" customHeight="1" x14ac:dyDescent="0.25">
      <c r="A1141" s="7" t="s">
        <v>5035</v>
      </c>
      <c r="B1141" s="8" t="s">
        <v>2507</v>
      </c>
      <c r="C1141" s="8" t="s">
        <v>5036</v>
      </c>
      <c r="D1141" s="8" t="s">
        <v>411</v>
      </c>
      <c r="E1141" s="8" t="s">
        <v>412</v>
      </c>
      <c r="F1141" s="11" t="s">
        <v>5037</v>
      </c>
      <c r="G1141" s="22" t="s">
        <v>5038</v>
      </c>
      <c r="H1141" s="10" t="s">
        <v>5039</v>
      </c>
      <c r="I1141" s="10" t="s">
        <v>4371</v>
      </c>
    </row>
    <row r="1142" spans="1:9" ht="14.25" customHeight="1" x14ac:dyDescent="0.25">
      <c r="A1142" s="7" t="s">
        <v>5040</v>
      </c>
      <c r="B1142" s="8" t="s">
        <v>1072</v>
      </c>
      <c r="C1142" s="8" t="s">
        <v>5041</v>
      </c>
      <c r="D1142" s="8" t="s">
        <v>3163</v>
      </c>
      <c r="E1142" s="8" t="s">
        <v>3890</v>
      </c>
      <c r="F1142" s="8"/>
      <c r="G1142" s="10"/>
      <c r="H1142" s="10"/>
      <c r="I1142" s="10"/>
    </row>
    <row r="1143" spans="1:9" ht="14.25" customHeight="1" x14ac:dyDescent="0.25">
      <c r="A1143" s="7" t="s">
        <v>5042</v>
      </c>
      <c r="B1143" s="8" t="s">
        <v>2334</v>
      </c>
      <c r="C1143" s="8" t="s">
        <v>5043</v>
      </c>
      <c r="D1143" s="8" t="s">
        <v>411</v>
      </c>
      <c r="E1143" s="8" t="s">
        <v>4254</v>
      </c>
      <c r="F1143" s="11" t="s">
        <v>5044</v>
      </c>
      <c r="G1143" s="10"/>
      <c r="H1143" s="10"/>
      <c r="I1143" s="10" t="s">
        <v>3756</v>
      </c>
    </row>
    <row r="1144" spans="1:9" ht="14.25" customHeight="1" x14ac:dyDescent="0.25">
      <c r="A1144" s="7" t="s">
        <v>5045</v>
      </c>
      <c r="B1144" s="8" t="s">
        <v>5046</v>
      </c>
      <c r="C1144" s="8" t="s">
        <v>4323</v>
      </c>
      <c r="D1144" s="8" t="s">
        <v>411</v>
      </c>
      <c r="E1144" s="8" t="s">
        <v>412</v>
      </c>
      <c r="F1144" s="11" t="s">
        <v>5047</v>
      </c>
      <c r="G1144" s="10"/>
      <c r="H1144" s="10"/>
      <c r="I1144" s="10" t="s">
        <v>3756</v>
      </c>
    </row>
    <row r="1145" spans="1:9" ht="14.25" customHeight="1" x14ac:dyDescent="0.25">
      <c r="A1145" s="7" t="s">
        <v>5048</v>
      </c>
      <c r="B1145" s="8" t="s">
        <v>832</v>
      </c>
      <c r="C1145" s="8" t="s">
        <v>5049</v>
      </c>
      <c r="D1145" s="8" t="s">
        <v>411</v>
      </c>
      <c r="E1145" s="8" t="s">
        <v>4254</v>
      </c>
      <c r="F1145" s="11" t="s">
        <v>5050</v>
      </c>
      <c r="G1145" s="10"/>
      <c r="H1145" s="10"/>
      <c r="I1145" s="10" t="s">
        <v>4039</v>
      </c>
    </row>
    <row r="1146" spans="1:9" ht="14.25" customHeight="1" x14ac:dyDescent="0.25">
      <c r="A1146" s="7" t="s">
        <v>5051</v>
      </c>
      <c r="B1146" s="8" t="s">
        <v>5052</v>
      </c>
      <c r="C1146" s="8" t="s">
        <v>5053</v>
      </c>
      <c r="D1146" s="8" t="s">
        <v>3163</v>
      </c>
      <c r="E1146" s="8" t="s">
        <v>4254</v>
      </c>
      <c r="F1146" s="8"/>
      <c r="G1146" s="10"/>
      <c r="H1146" s="10"/>
      <c r="I1146" s="10" t="s">
        <v>4039</v>
      </c>
    </row>
    <row r="1147" spans="1:9" ht="14.25" customHeight="1" x14ac:dyDescent="0.25">
      <c r="A1147" s="7" t="s">
        <v>5054</v>
      </c>
      <c r="B1147" s="8" t="s">
        <v>5055</v>
      </c>
      <c r="C1147" s="8" t="s">
        <v>5056</v>
      </c>
      <c r="D1147" s="8" t="s">
        <v>411</v>
      </c>
      <c r="E1147" s="8" t="s">
        <v>3890</v>
      </c>
      <c r="F1147" s="11" t="s">
        <v>5057</v>
      </c>
      <c r="G1147" s="10"/>
      <c r="H1147" s="10"/>
      <c r="I1147" s="10" t="s">
        <v>4039</v>
      </c>
    </row>
    <row r="1148" spans="1:9" ht="14.25" customHeight="1" x14ac:dyDescent="0.25">
      <c r="A1148" s="7" t="s">
        <v>5058</v>
      </c>
      <c r="B1148" s="8" t="s">
        <v>5059</v>
      </c>
      <c r="C1148" s="8" t="s">
        <v>5056</v>
      </c>
      <c r="D1148" s="8" t="s">
        <v>3163</v>
      </c>
      <c r="E1148" s="8" t="s">
        <v>4254</v>
      </c>
      <c r="F1148" s="11" t="s">
        <v>5057</v>
      </c>
      <c r="G1148" s="10"/>
      <c r="H1148" s="10"/>
      <c r="I1148" s="10" t="s">
        <v>4039</v>
      </c>
    </row>
    <row r="1149" spans="1:9" ht="14.25" customHeight="1" x14ac:dyDescent="0.25">
      <c r="A1149" s="7" t="s">
        <v>5060</v>
      </c>
      <c r="B1149" s="8" t="s">
        <v>5061</v>
      </c>
      <c r="C1149" s="8" t="s">
        <v>5062</v>
      </c>
      <c r="D1149" s="8" t="s">
        <v>411</v>
      </c>
      <c r="E1149" s="8" t="s">
        <v>3890</v>
      </c>
      <c r="F1149" s="11" t="s">
        <v>5063</v>
      </c>
      <c r="G1149" s="10"/>
      <c r="H1149" s="10"/>
      <c r="I1149" s="10" t="s">
        <v>4039</v>
      </c>
    </row>
    <row r="1150" spans="1:9" ht="14.25" customHeight="1" x14ac:dyDescent="0.25">
      <c r="A1150" s="7" t="s">
        <v>5064</v>
      </c>
      <c r="B1150" s="8" t="s">
        <v>1767</v>
      </c>
      <c r="C1150" s="8" t="s">
        <v>5065</v>
      </c>
      <c r="D1150" s="8" t="s">
        <v>3163</v>
      </c>
      <c r="E1150" s="8" t="s">
        <v>4254</v>
      </c>
      <c r="F1150" s="11" t="s">
        <v>5066</v>
      </c>
      <c r="G1150" s="10"/>
      <c r="H1150" s="10"/>
      <c r="I1150" s="10" t="s">
        <v>4039</v>
      </c>
    </row>
    <row r="1151" spans="1:9" ht="14.25" customHeight="1" x14ac:dyDescent="0.25">
      <c r="A1151" s="7" t="s">
        <v>5067</v>
      </c>
      <c r="B1151" s="8" t="s">
        <v>5068</v>
      </c>
      <c r="C1151" s="8" t="s">
        <v>5069</v>
      </c>
      <c r="D1151" s="8" t="s">
        <v>3163</v>
      </c>
      <c r="E1151" s="8" t="s">
        <v>412</v>
      </c>
      <c r="F1151" s="8"/>
      <c r="G1151" s="10"/>
      <c r="H1151" s="10"/>
      <c r="I1151" s="10"/>
    </row>
    <row r="1152" spans="1:9" ht="14.25" customHeight="1" x14ac:dyDescent="0.25">
      <c r="A1152" s="7" t="s">
        <v>5070</v>
      </c>
      <c r="B1152" s="8" t="s">
        <v>11</v>
      </c>
      <c r="C1152" s="8" t="s">
        <v>5071</v>
      </c>
      <c r="D1152" s="8" t="s">
        <v>3163</v>
      </c>
      <c r="E1152" s="8" t="s">
        <v>3890</v>
      </c>
      <c r="F1152" s="8"/>
      <c r="G1152" s="10"/>
      <c r="H1152" s="10"/>
      <c r="I1152" s="10" t="s">
        <v>3756</v>
      </c>
    </row>
    <row r="1153" spans="1:9" ht="14.25" customHeight="1" x14ac:dyDescent="0.25">
      <c r="A1153" s="7" t="s">
        <v>5072</v>
      </c>
      <c r="B1153" s="8" t="s">
        <v>3478</v>
      </c>
      <c r="C1153" s="8" t="s">
        <v>462</v>
      </c>
      <c r="D1153" s="8" t="s">
        <v>411</v>
      </c>
      <c r="E1153" s="8" t="s">
        <v>3890</v>
      </c>
      <c r="F1153" s="11" t="s">
        <v>5073</v>
      </c>
      <c r="G1153" s="10" t="s">
        <v>5074</v>
      </c>
      <c r="H1153" s="10" t="s">
        <v>5075</v>
      </c>
      <c r="I1153" s="10" t="s">
        <v>4371</v>
      </c>
    </row>
    <row r="1154" spans="1:9" ht="14.25" customHeight="1" x14ac:dyDescent="0.25">
      <c r="A1154" s="7" t="s">
        <v>5076</v>
      </c>
      <c r="B1154" s="8" t="s">
        <v>5077</v>
      </c>
      <c r="C1154" s="8" t="s">
        <v>5078</v>
      </c>
      <c r="D1154" s="8" t="s">
        <v>3163</v>
      </c>
      <c r="E1154" s="8" t="s">
        <v>4254</v>
      </c>
      <c r="F1154" s="11" t="s">
        <v>5079</v>
      </c>
      <c r="G1154" s="10"/>
      <c r="H1154" s="10"/>
      <c r="I1154" s="10" t="s">
        <v>4371</v>
      </c>
    </row>
    <row r="1155" spans="1:9" ht="14.25" customHeight="1" x14ac:dyDescent="0.25">
      <c r="A1155" s="7" t="s">
        <v>5080</v>
      </c>
      <c r="B1155" s="8" t="s">
        <v>5081</v>
      </c>
      <c r="C1155" s="8" t="s">
        <v>5082</v>
      </c>
      <c r="D1155" s="8" t="s">
        <v>411</v>
      </c>
      <c r="E1155" s="8" t="s">
        <v>4254</v>
      </c>
      <c r="F1155" s="11" t="s">
        <v>5083</v>
      </c>
      <c r="G1155" s="10"/>
      <c r="H1155" s="10"/>
      <c r="I1155" s="10" t="s">
        <v>3756</v>
      </c>
    </row>
    <row r="1156" spans="1:9" ht="14.25" customHeight="1" x14ac:dyDescent="0.25">
      <c r="A1156" s="7" t="s">
        <v>5084</v>
      </c>
      <c r="B1156" s="8" t="s">
        <v>3902</v>
      </c>
      <c r="C1156" s="8" t="s">
        <v>3978</v>
      </c>
      <c r="D1156" s="8" t="s">
        <v>3163</v>
      </c>
      <c r="E1156" s="8" t="s">
        <v>3890</v>
      </c>
      <c r="F1156" s="11" t="s">
        <v>5085</v>
      </c>
      <c r="G1156" s="10"/>
      <c r="H1156" s="10"/>
      <c r="I1156" s="10" t="s">
        <v>3756</v>
      </c>
    </row>
    <row r="1157" spans="1:9" ht="14.25" customHeight="1" x14ac:dyDescent="0.25">
      <c r="A1157" s="7" t="s">
        <v>5086</v>
      </c>
      <c r="B1157" s="8" t="s">
        <v>1309</v>
      </c>
      <c r="C1157" s="8" t="s">
        <v>5087</v>
      </c>
      <c r="D1157" s="8" t="s">
        <v>411</v>
      </c>
      <c r="E1157" s="8" t="s">
        <v>4021</v>
      </c>
      <c r="F1157" s="11" t="s">
        <v>5088</v>
      </c>
      <c r="G1157" s="10"/>
      <c r="H1157" s="10"/>
      <c r="I1157" s="10" t="s">
        <v>3756</v>
      </c>
    </row>
    <row r="1158" spans="1:9" ht="14.25" customHeight="1" x14ac:dyDescent="0.25">
      <c r="A1158" s="7" t="s">
        <v>5089</v>
      </c>
      <c r="B1158" s="8" t="s">
        <v>121</v>
      </c>
      <c r="C1158" s="8" t="s">
        <v>4061</v>
      </c>
      <c r="D1158" s="8" t="s">
        <v>411</v>
      </c>
      <c r="E1158" s="8" t="s">
        <v>412</v>
      </c>
      <c r="F1158" s="8"/>
      <c r="G1158" s="10"/>
      <c r="H1158" s="10"/>
      <c r="I1158" s="10"/>
    </row>
    <row r="1159" spans="1:9" ht="14.25" customHeight="1" x14ac:dyDescent="0.25">
      <c r="A1159" s="7" t="s">
        <v>5090</v>
      </c>
      <c r="B1159" s="8" t="s">
        <v>2230</v>
      </c>
      <c r="C1159" s="8" t="s">
        <v>150</v>
      </c>
      <c r="D1159" s="8" t="s">
        <v>411</v>
      </c>
      <c r="E1159" s="8" t="s">
        <v>412</v>
      </c>
      <c r="F1159" s="11" t="s">
        <v>5091</v>
      </c>
      <c r="G1159" s="10" t="s">
        <v>5092</v>
      </c>
      <c r="H1159" s="10" t="s">
        <v>4272</v>
      </c>
      <c r="I1159" s="10"/>
    </row>
    <row r="1160" spans="1:9" ht="14.25" customHeight="1" x14ac:dyDescent="0.25">
      <c r="A1160" s="7" t="s">
        <v>5093</v>
      </c>
      <c r="B1160" s="8" t="s">
        <v>5094</v>
      </c>
      <c r="C1160" s="8" t="s">
        <v>5095</v>
      </c>
      <c r="D1160" s="8" t="s">
        <v>411</v>
      </c>
      <c r="E1160" s="8" t="s">
        <v>412</v>
      </c>
      <c r="F1160" s="11" t="s">
        <v>5096</v>
      </c>
      <c r="G1160" s="10" t="s">
        <v>5097</v>
      </c>
      <c r="H1160" s="10" t="s">
        <v>5098</v>
      </c>
      <c r="I1160" s="10"/>
    </row>
    <row r="1161" spans="1:9" ht="14.25" customHeight="1" x14ac:dyDescent="0.25">
      <c r="A1161" s="7" t="s">
        <v>5099</v>
      </c>
      <c r="B1161" s="8" t="s">
        <v>2150</v>
      </c>
      <c r="C1161" s="8" t="s">
        <v>5100</v>
      </c>
      <c r="D1161" s="8" t="s">
        <v>411</v>
      </c>
      <c r="E1161" s="8" t="s">
        <v>412</v>
      </c>
      <c r="F1161" s="11" t="s">
        <v>5101</v>
      </c>
      <c r="G1161" s="10" t="s">
        <v>5102</v>
      </c>
      <c r="H1161" s="10" t="s">
        <v>2212</v>
      </c>
      <c r="I1161" s="10" t="s">
        <v>3756</v>
      </c>
    </row>
    <row r="1162" spans="1:9" ht="14.25" customHeight="1" x14ac:dyDescent="0.25">
      <c r="A1162" s="7" t="s">
        <v>5103</v>
      </c>
      <c r="B1162" s="8" t="s">
        <v>2297</v>
      </c>
      <c r="C1162" s="8" t="s">
        <v>5104</v>
      </c>
      <c r="D1162" s="8" t="s">
        <v>411</v>
      </c>
      <c r="E1162" s="8" t="s">
        <v>3890</v>
      </c>
      <c r="F1162" s="11" t="s">
        <v>5105</v>
      </c>
      <c r="G1162" s="10"/>
      <c r="H1162" s="10"/>
      <c r="I1162" s="10" t="s">
        <v>4039</v>
      </c>
    </row>
    <row r="1163" spans="1:9" ht="14.25" customHeight="1" x14ac:dyDescent="0.25">
      <c r="A1163" s="7" t="s">
        <v>5106</v>
      </c>
      <c r="B1163" s="8" t="s">
        <v>3138</v>
      </c>
      <c r="C1163" s="8" t="s">
        <v>5107</v>
      </c>
      <c r="D1163" s="8" t="s">
        <v>3163</v>
      </c>
      <c r="E1163" s="8" t="s">
        <v>3890</v>
      </c>
      <c r="F1163" s="8"/>
      <c r="G1163" s="10"/>
      <c r="H1163" s="10"/>
      <c r="I1163" s="10" t="s">
        <v>4039</v>
      </c>
    </row>
    <row r="1164" spans="1:9" ht="14.25" customHeight="1" x14ac:dyDescent="0.25">
      <c r="A1164" s="7" t="s">
        <v>5108</v>
      </c>
      <c r="B1164" s="8" t="s">
        <v>5109</v>
      </c>
      <c r="C1164" s="8" t="s">
        <v>5110</v>
      </c>
      <c r="D1164" s="8" t="s">
        <v>3163</v>
      </c>
      <c r="E1164" s="8" t="s">
        <v>412</v>
      </c>
      <c r="F1164" s="11" t="s">
        <v>5111</v>
      </c>
      <c r="G1164" s="10"/>
      <c r="H1164" s="10"/>
      <c r="I1164" s="10" t="s">
        <v>4039</v>
      </c>
    </row>
    <row r="1165" spans="1:9" ht="14.25" customHeight="1" x14ac:dyDescent="0.25">
      <c r="A1165" s="7" t="s">
        <v>5112</v>
      </c>
      <c r="B1165" s="8" t="s">
        <v>39</v>
      </c>
      <c r="C1165" s="8" t="s">
        <v>5113</v>
      </c>
      <c r="D1165" s="8" t="s">
        <v>411</v>
      </c>
      <c r="E1165" s="8" t="s">
        <v>1359</v>
      </c>
      <c r="F1165" s="11" t="s">
        <v>5114</v>
      </c>
      <c r="G1165" s="10" t="s">
        <v>5115</v>
      </c>
      <c r="H1165" s="10" t="s">
        <v>2212</v>
      </c>
      <c r="I1165" s="10" t="s">
        <v>4039</v>
      </c>
    </row>
    <row r="1166" spans="1:9" ht="14.25" customHeight="1" x14ac:dyDescent="0.25">
      <c r="A1166" s="7" t="s">
        <v>5116</v>
      </c>
      <c r="B1166" s="8" t="s">
        <v>3791</v>
      </c>
      <c r="C1166" s="8" t="s">
        <v>5117</v>
      </c>
      <c r="D1166" s="8" t="s">
        <v>3163</v>
      </c>
      <c r="E1166" s="8" t="s">
        <v>3890</v>
      </c>
      <c r="F1166" s="11" t="s">
        <v>5118</v>
      </c>
      <c r="G1166" s="10"/>
      <c r="H1166" s="10"/>
      <c r="I1166" s="10" t="s">
        <v>4039</v>
      </c>
    </row>
    <row r="1167" spans="1:9" ht="14.25" customHeight="1" x14ac:dyDescent="0.25">
      <c r="A1167" s="7" t="s">
        <v>5119</v>
      </c>
      <c r="B1167" s="8" t="s">
        <v>5120</v>
      </c>
      <c r="C1167" s="8" t="s">
        <v>5117</v>
      </c>
      <c r="D1167" s="8" t="s">
        <v>411</v>
      </c>
      <c r="E1167" s="8" t="s">
        <v>3890</v>
      </c>
      <c r="F1167" s="8"/>
      <c r="G1167" s="10"/>
      <c r="H1167" s="10"/>
      <c r="I1167" s="10" t="s">
        <v>4039</v>
      </c>
    </row>
    <row r="1168" spans="1:9" ht="14.25" customHeight="1" x14ac:dyDescent="0.25">
      <c r="A1168" s="7" t="s">
        <v>5121</v>
      </c>
      <c r="B1168" s="8" t="s">
        <v>5122</v>
      </c>
      <c r="C1168" s="8" t="s">
        <v>5123</v>
      </c>
      <c r="D1168" s="8" t="s">
        <v>411</v>
      </c>
      <c r="E1168" s="8" t="s">
        <v>3890</v>
      </c>
      <c r="F1168" s="11" t="s">
        <v>5124</v>
      </c>
      <c r="G1168" s="10"/>
      <c r="H1168" s="10"/>
      <c r="I1168" s="10" t="s">
        <v>4039</v>
      </c>
    </row>
    <row r="1169" spans="1:9" ht="14.25" customHeight="1" x14ac:dyDescent="0.25">
      <c r="A1169" s="7" t="s">
        <v>5125</v>
      </c>
      <c r="B1169" s="8" t="s">
        <v>1808</v>
      </c>
      <c r="C1169" s="8" t="s">
        <v>5126</v>
      </c>
      <c r="D1169" s="8" t="s">
        <v>3163</v>
      </c>
      <c r="E1169" s="8" t="s">
        <v>3890</v>
      </c>
      <c r="F1169" s="11" t="s">
        <v>5127</v>
      </c>
      <c r="G1169" s="10"/>
      <c r="H1169" s="10"/>
      <c r="I1169" s="10" t="s">
        <v>4039</v>
      </c>
    </row>
    <row r="1170" spans="1:9" ht="14.25" customHeight="1" x14ac:dyDescent="0.25">
      <c r="A1170" s="7" t="s">
        <v>5128</v>
      </c>
      <c r="B1170" s="8" t="s">
        <v>5129</v>
      </c>
      <c r="C1170" s="8" t="s">
        <v>5130</v>
      </c>
      <c r="D1170" s="8" t="s">
        <v>411</v>
      </c>
      <c r="E1170" s="8" t="s">
        <v>4021</v>
      </c>
      <c r="F1170" s="11" t="s">
        <v>5131</v>
      </c>
      <c r="G1170" s="10"/>
      <c r="H1170" s="10"/>
      <c r="I1170" s="10" t="s">
        <v>4039</v>
      </c>
    </row>
    <row r="1171" spans="1:9" ht="14.25" customHeight="1" x14ac:dyDescent="0.25">
      <c r="A1171" s="7" t="s">
        <v>5132</v>
      </c>
      <c r="B1171" s="8" t="s">
        <v>5133</v>
      </c>
      <c r="C1171" s="8" t="s">
        <v>5134</v>
      </c>
      <c r="D1171" s="8" t="s">
        <v>411</v>
      </c>
      <c r="E1171" s="8" t="s">
        <v>412</v>
      </c>
      <c r="F1171" s="11" t="s">
        <v>5135</v>
      </c>
      <c r="G1171" s="10" t="s">
        <v>5136</v>
      </c>
      <c r="H1171" s="10" t="s">
        <v>3815</v>
      </c>
      <c r="I1171" s="10" t="s">
        <v>4039</v>
      </c>
    </row>
    <row r="1172" spans="1:9" ht="14.25" customHeight="1" x14ac:dyDescent="0.25">
      <c r="A1172" s="19" t="s">
        <v>5137</v>
      </c>
      <c r="B1172" s="8" t="s">
        <v>5138</v>
      </c>
      <c r="C1172" s="8" t="s">
        <v>5139</v>
      </c>
      <c r="D1172" s="8" t="s">
        <v>411</v>
      </c>
      <c r="E1172" s="8" t="s">
        <v>412</v>
      </c>
      <c r="F1172" s="11" t="s">
        <v>5140</v>
      </c>
      <c r="G1172" s="10" t="s">
        <v>5136</v>
      </c>
      <c r="H1172" s="10" t="s">
        <v>5141</v>
      </c>
      <c r="I1172" s="10" t="s">
        <v>3756</v>
      </c>
    </row>
    <row r="1173" spans="1:9" ht="14.25" customHeight="1" x14ac:dyDescent="0.25">
      <c r="A1173" s="19" t="s">
        <v>5142</v>
      </c>
      <c r="B1173" s="8" t="s">
        <v>5143</v>
      </c>
      <c r="C1173" s="8" t="s">
        <v>3078</v>
      </c>
      <c r="D1173" s="8" t="s">
        <v>3163</v>
      </c>
      <c r="E1173" s="8" t="s">
        <v>412</v>
      </c>
      <c r="F1173" s="11" t="s">
        <v>5144</v>
      </c>
      <c r="G1173" s="10" t="s">
        <v>5145</v>
      </c>
      <c r="H1173" s="10" t="s">
        <v>3918</v>
      </c>
      <c r="I1173" s="10" t="s">
        <v>3756</v>
      </c>
    </row>
    <row r="1174" spans="1:9" ht="14.25" customHeight="1" x14ac:dyDescent="0.25">
      <c r="A1174" s="7" t="s">
        <v>5146</v>
      </c>
      <c r="B1174" s="8" t="s">
        <v>5147</v>
      </c>
      <c r="C1174" s="8" t="s">
        <v>5148</v>
      </c>
      <c r="D1174" s="8" t="s">
        <v>3163</v>
      </c>
      <c r="E1174" s="8" t="s">
        <v>412</v>
      </c>
      <c r="F1174" s="11" t="s">
        <v>5149</v>
      </c>
      <c r="G1174" s="10" t="s">
        <v>5150</v>
      </c>
      <c r="H1174" s="10" t="s">
        <v>3820</v>
      </c>
      <c r="I1174" s="10" t="s">
        <v>3756</v>
      </c>
    </row>
    <row r="1175" spans="1:9" ht="14.25" customHeight="1" x14ac:dyDescent="0.25">
      <c r="A1175" s="19" t="s">
        <v>5151</v>
      </c>
      <c r="B1175" s="8" t="s">
        <v>5152</v>
      </c>
      <c r="C1175" s="8" t="s">
        <v>5153</v>
      </c>
      <c r="D1175" s="8" t="s">
        <v>411</v>
      </c>
      <c r="E1175" s="8" t="s">
        <v>412</v>
      </c>
      <c r="F1175" s="11" t="s">
        <v>5154</v>
      </c>
      <c r="G1175" s="8" t="s">
        <v>5155</v>
      </c>
      <c r="H1175" s="10" t="s">
        <v>4059</v>
      </c>
      <c r="I1175" s="10" t="s">
        <v>3756</v>
      </c>
    </row>
    <row r="1176" spans="1:9" ht="14.25" customHeight="1" x14ac:dyDescent="0.25">
      <c r="A1176" s="19" t="s">
        <v>5156</v>
      </c>
      <c r="B1176" s="8" t="s">
        <v>5157</v>
      </c>
      <c r="C1176" s="8" t="s">
        <v>5158</v>
      </c>
      <c r="D1176" s="8" t="s">
        <v>411</v>
      </c>
      <c r="E1176" s="8" t="s">
        <v>4021</v>
      </c>
      <c r="F1176" s="8"/>
      <c r="G1176" s="10"/>
      <c r="H1176" s="10"/>
      <c r="I1176" s="10" t="s">
        <v>4946</v>
      </c>
    </row>
    <row r="1177" spans="1:9" ht="14.25" customHeight="1" x14ac:dyDescent="0.25">
      <c r="A1177" s="19" t="s">
        <v>5159</v>
      </c>
      <c r="B1177" s="8" t="s">
        <v>5160</v>
      </c>
      <c r="C1177" s="8" t="s">
        <v>5161</v>
      </c>
      <c r="D1177" s="8" t="s">
        <v>3163</v>
      </c>
      <c r="E1177" s="8" t="s">
        <v>4021</v>
      </c>
      <c r="F1177" s="8"/>
      <c r="G1177" s="10"/>
      <c r="H1177" s="10"/>
      <c r="I1177" s="10" t="s">
        <v>4946</v>
      </c>
    </row>
    <row r="1178" spans="1:9" ht="14.25" customHeight="1" x14ac:dyDescent="0.25">
      <c r="A1178" s="19" t="s">
        <v>5162</v>
      </c>
      <c r="B1178" s="8" t="s">
        <v>1981</v>
      </c>
      <c r="C1178" s="8" t="s">
        <v>3738</v>
      </c>
      <c r="D1178" s="8" t="s">
        <v>411</v>
      </c>
      <c r="E1178" s="8" t="s">
        <v>3890</v>
      </c>
      <c r="F1178" s="11" t="s">
        <v>5163</v>
      </c>
      <c r="G1178" s="10"/>
      <c r="H1178" s="10"/>
      <c r="I1178" s="10"/>
    </row>
    <row r="1179" spans="1:9" ht="14.25" customHeight="1" x14ac:dyDescent="0.25">
      <c r="A1179" s="19" t="s">
        <v>5164</v>
      </c>
      <c r="B1179" s="8" t="s">
        <v>5165</v>
      </c>
      <c r="C1179" s="8" t="s">
        <v>1530</v>
      </c>
      <c r="D1179" s="8" t="s">
        <v>3163</v>
      </c>
      <c r="E1179" s="8" t="s">
        <v>3890</v>
      </c>
      <c r="F1179" s="11" t="s">
        <v>5166</v>
      </c>
      <c r="G1179" s="10"/>
      <c r="H1179" s="10"/>
      <c r="I1179" s="10"/>
    </row>
    <row r="1180" spans="1:9" ht="14.25" customHeight="1" x14ac:dyDescent="0.25">
      <c r="A1180" s="7" t="s">
        <v>5167</v>
      </c>
      <c r="B1180" s="8" t="s">
        <v>647</v>
      </c>
      <c r="C1180" s="8" t="s">
        <v>4410</v>
      </c>
      <c r="D1180" s="8" t="s">
        <v>411</v>
      </c>
      <c r="E1180" s="8" t="s">
        <v>412</v>
      </c>
      <c r="F1180" s="11" t="s">
        <v>5168</v>
      </c>
      <c r="G1180" s="10" t="s">
        <v>5169</v>
      </c>
      <c r="H1180" s="10" t="s">
        <v>25</v>
      </c>
      <c r="I1180" s="10" t="s">
        <v>3756</v>
      </c>
    </row>
    <row r="1181" spans="1:9" ht="14.25" customHeight="1" x14ac:dyDescent="0.25">
      <c r="A1181" s="19" t="s">
        <v>5170</v>
      </c>
      <c r="B1181" s="8" t="s">
        <v>1645</v>
      </c>
      <c r="C1181" s="8" t="s">
        <v>5171</v>
      </c>
      <c r="D1181" s="8" t="s">
        <v>3163</v>
      </c>
      <c r="E1181" s="8" t="s">
        <v>3890</v>
      </c>
      <c r="F1181" s="8"/>
      <c r="G1181" s="10"/>
      <c r="H1181" s="10"/>
      <c r="I1181" s="10"/>
    </row>
    <row r="1182" spans="1:9" ht="14.25" customHeight="1" x14ac:dyDescent="0.25">
      <c r="A1182" s="19" t="s">
        <v>5172</v>
      </c>
      <c r="B1182" s="8" t="s">
        <v>5173</v>
      </c>
      <c r="C1182" s="8" t="s">
        <v>5174</v>
      </c>
      <c r="D1182" s="8" t="s">
        <v>411</v>
      </c>
      <c r="E1182" s="8" t="s">
        <v>3890</v>
      </c>
      <c r="F1182" s="8"/>
      <c r="G1182" s="10"/>
      <c r="H1182" s="10"/>
      <c r="I1182" s="10"/>
    </row>
    <row r="1183" spans="1:9" ht="14.25" customHeight="1" x14ac:dyDescent="0.25">
      <c r="A1183" s="7" t="s">
        <v>5175</v>
      </c>
      <c r="B1183" s="8" t="s">
        <v>5176</v>
      </c>
      <c r="C1183" s="8" t="s">
        <v>5177</v>
      </c>
      <c r="D1183" s="8" t="s">
        <v>411</v>
      </c>
      <c r="E1183" s="8" t="s">
        <v>3890</v>
      </c>
      <c r="F1183" s="11" t="s">
        <v>5178</v>
      </c>
      <c r="G1183" s="10" t="s">
        <v>5179</v>
      </c>
      <c r="H1183" s="10" t="s">
        <v>5180</v>
      </c>
      <c r="I1183" s="10" t="s">
        <v>4039</v>
      </c>
    </row>
    <row r="1184" spans="1:9" ht="14.25" customHeight="1" x14ac:dyDescent="0.25">
      <c r="A1184" s="7" t="s">
        <v>5181</v>
      </c>
      <c r="B1184" s="8" t="s">
        <v>5182</v>
      </c>
      <c r="C1184" s="8" t="s">
        <v>5183</v>
      </c>
      <c r="D1184" s="8" t="s">
        <v>3163</v>
      </c>
      <c r="E1184" s="8" t="s">
        <v>1359</v>
      </c>
      <c r="F1184" s="11" t="s">
        <v>5184</v>
      </c>
      <c r="G1184" s="10" t="s">
        <v>5185</v>
      </c>
      <c r="H1184" s="10" t="s">
        <v>5186</v>
      </c>
      <c r="I1184" s="10" t="s">
        <v>4039</v>
      </c>
    </row>
    <row r="1185" spans="1:9" ht="14.25" customHeight="1" x14ac:dyDescent="0.25">
      <c r="A1185" s="7" t="s">
        <v>5187</v>
      </c>
      <c r="B1185" s="8" t="s">
        <v>5188</v>
      </c>
      <c r="C1185" s="8" t="s">
        <v>5189</v>
      </c>
      <c r="D1185" s="8" t="s">
        <v>411</v>
      </c>
      <c r="E1185" s="8"/>
      <c r="F1185" s="8"/>
      <c r="G1185" s="10"/>
      <c r="H1185" s="10"/>
      <c r="I1185" s="10"/>
    </row>
    <row r="1186" spans="1:9" ht="14.25" customHeight="1" x14ac:dyDescent="0.25">
      <c r="A1186" s="7" t="s">
        <v>5190</v>
      </c>
      <c r="B1186" s="8" t="s">
        <v>5191</v>
      </c>
      <c r="C1186" s="8" t="s">
        <v>3432</v>
      </c>
      <c r="D1186" s="8"/>
      <c r="E1186" s="8" t="s">
        <v>412</v>
      </c>
      <c r="F1186" s="11" t="s">
        <v>5192</v>
      </c>
      <c r="G1186" s="10"/>
      <c r="H1186" s="10"/>
      <c r="I1186" s="10" t="s">
        <v>4039</v>
      </c>
    </row>
    <row r="1187" spans="1:9" ht="14.25" customHeight="1" x14ac:dyDescent="0.25">
      <c r="A1187" s="7" t="s">
        <v>5193</v>
      </c>
      <c r="B1187" s="8" t="s">
        <v>1555</v>
      </c>
      <c r="C1187" s="8" t="s">
        <v>22</v>
      </c>
      <c r="D1187" s="8" t="s">
        <v>411</v>
      </c>
      <c r="E1187" s="8" t="s">
        <v>3890</v>
      </c>
      <c r="F1187" s="11" t="s">
        <v>5194</v>
      </c>
      <c r="G1187" s="10" t="s">
        <v>5195</v>
      </c>
      <c r="H1187" s="10" t="s">
        <v>5196</v>
      </c>
      <c r="I1187" s="10" t="s">
        <v>3756</v>
      </c>
    </row>
    <row r="1188" spans="1:9" ht="14.25" customHeight="1" x14ac:dyDescent="0.25">
      <c r="A1188" s="7" t="s">
        <v>5197</v>
      </c>
      <c r="B1188" s="8" t="s">
        <v>2674</v>
      </c>
      <c r="C1188" s="8" t="s">
        <v>5198</v>
      </c>
      <c r="D1188" s="8" t="s">
        <v>3163</v>
      </c>
      <c r="E1188" s="8" t="s">
        <v>3890</v>
      </c>
      <c r="F1188" s="11" t="s">
        <v>5199</v>
      </c>
      <c r="G1188" s="10"/>
      <c r="H1188" s="10"/>
      <c r="I1188" s="10" t="s">
        <v>3756</v>
      </c>
    </row>
    <row r="1189" spans="1:9" ht="14.25" customHeight="1" x14ac:dyDescent="0.25">
      <c r="A1189" s="7" t="s">
        <v>5200</v>
      </c>
      <c r="B1189" s="8" t="s">
        <v>5201</v>
      </c>
      <c r="C1189" s="8" t="s">
        <v>5202</v>
      </c>
      <c r="D1189" s="8" t="s">
        <v>3163</v>
      </c>
      <c r="E1189" s="8" t="s">
        <v>412</v>
      </c>
      <c r="F1189" s="8"/>
      <c r="G1189" s="10"/>
      <c r="H1189" s="10"/>
      <c r="I1189" s="10" t="s">
        <v>4039</v>
      </c>
    </row>
    <row r="1190" spans="1:9" ht="14.25" customHeight="1" x14ac:dyDescent="0.25">
      <c r="A1190" s="7" t="s">
        <v>5203</v>
      </c>
      <c r="B1190" s="8" t="s">
        <v>5204</v>
      </c>
      <c r="C1190" s="8" t="s">
        <v>5205</v>
      </c>
      <c r="D1190" s="8" t="s">
        <v>3163</v>
      </c>
      <c r="E1190" s="8" t="s">
        <v>412</v>
      </c>
      <c r="F1190" s="11" t="s">
        <v>5206</v>
      </c>
      <c r="G1190" s="10" t="s">
        <v>5207</v>
      </c>
      <c r="H1190" s="10" t="s">
        <v>72</v>
      </c>
      <c r="I1190" s="10" t="s">
        <v>3756</v>
      </c>
    </row>
    <row r="1191" spans="1:9" ht="14.25" customHeight="1" x14ac:dyDescent="0.25">
      <c r="A1191" s="7" t="s">
        <v>5208</v>
      </c>
      <c r="B1191" s="8" t="s">
        <v>5209</v>
      </c>
      <c r="C1191" s="8" t="s">
        <v>5210</v>
      </c>
      <c r="D1191" s="8" t="s">
        <v>411</v>
      </c>
      <c r="E1191" s="20" t="s">
        <v>412</v>
      </c>
      <c r="F1191" s="11" t="s">
        <v>5211</v>
      </c>
      <c r="G1191" s="10" t="s">
        <v>5212</v>
      </c>
      <c r="H1191" s="10" t="s">
        <v>5213</v>
      </c>
      <c r="I1191" s="10" t="s">
        <v>3756</v>
      </c>
    </row>
    <row r="1192" spans="1:9" ht="14.25" customHeight="1" x14ac:dyDescent="0.25">
      <c r="A1192" s="7" t="s">
        <v>5214</v>
      </c>
      <c r="B1192" s="8" t="s">
        <v>5215</v>
      </c>
      <c r="C1192" s="8" t="s">
        <v>5216</v>
      </c>
      <c r="D1192" s="8" t="s">
        <v>3163</v>
      </c>
      <c r="E1192" s="8" t="s">
        <v>412</v>
      </c>
      <c r="F1192" s="8"/>
      <c r="G1192" s="10"/>
      <c r="H1192" s="10"/>
      <c r="I1192" s="10" t="s">
        <v>3756</v>
      </c>
    </row>
    <row r="1193" spans="1:9" ht="14.25" customHeight="1" x14ac:dyDescent="0.25">
      <c r="A1193" s="7" t="s">
        <v>5217</v>
      </c>
      <c r="B1193" s="8" t="s">
        <v>2972</v>
      </c>
      <c r="C1193" s="8" t="s">
        <v>4567</v>
      </c>
      <c r="D1193" s="8" t="s">
        <v>411</v>
      </c>
      <c r="E1193" s="8" t="s">
        <v>412</v>
      </c>
      <c r="F1193" s="11" t="s">
        <v>5218</v>
      </c>
      <c r="G1193" s="10" t="s">
        <v>5219</v>
      </c>
      <c r="H1193" s="10" t="s">
        <v>4330</v>
      </c>
      <c r="I1193" s="10" t="s">
        <v>3756</v>
      </c>
    </row>
    <row r="1194" spans="1:9" ht="14.25" customHeight="1" x14ac:dyDescent="0.25">
      <c r="A1194" s="7" t="s">
        <v>5220</v>
      </c>
      <c r="B1194" s="8" t="s">
        <v>1733</v>
      </c>
      <c r="C1194" s="8" t="s">
        <v>5117</v>
      </c>
      <c r="D1194" s="8" t="s">
        <v>411</v>
      </c>
      <c r="E1194" s="8" t="s">
        <v>3890</v>
      </c>
      <c r="F1194" s="11" t="s">
        <v>5221</v>
      </c>
      <c r="G1194" s="10"/>
      <c r="H1194" s="10"/>
      <c r="I1194" s="10" t="s">
        <v>4039</v>
      </c>
    </row>
    <row r="1195" spans="1:9" ht="14.25" customHeight="1" x14ac:dyDescent="0.25">
      <c r="A1195" s="7" t="s">
        <v>5222</v>
      </c>
      <c r="B1195" s="8" t="s">
        <v>5223</v>
      </c>
      <c r="C1195" s="8" t="s">
        <v>5224</v>
      </c>
      <c r="D1195" s="8" t="s">
        <v>3163</v>
      </c>
      <c r="E1195" s="8" t="s">
        <v>4254</v>
      </c>
      <c r="F1195" s="8"/>
      <c r="G1195" s="10"/>
      <c r="H1195" s="10"/>
      <c r="I1195" s="10" t="s">
        <v>4039</v>
      </c>
    </row>
    <row r="1196" spans="1:9" ht="14.25" customHeight="1" x14ac:dyDescent="0.25">
      <c r="A1196" s="7" t="s">
        <v>5225</v>
      </c>
      <c r="B1196" s="8" t="s">
        <v>5226</v>
      </c>
      <c r="C1196" s="8" t="s">
        <v>4972</v>
      </c>
      <c r="D1196" s="8" t="s">
        <v>411</v>
      </c>
      <c r="E1196" s="8" t="s">
        <v>412</v>
      </c>
      <c r="F1196" s="11" t="s">
        <v>5227</v>
      </c>
      <c r="G1196" s="10" t="s">
        <v>5228</v>
      </c>
      <c r="H1196" s="10" t="s">
        <v>15</v>
      </c>
      <c r="I1196" s="10" t="s">
        <v>4039</v>
      </c>
    </row>
    <row r="1197" spans="1:9" ht="14.25" customHeight="1" x14ac:dyDescent="0.25">
      <c r="A1197" s="7" t="s">
        <v>5229</v>
      </c>
      <c r="B1197" s="8" t="s">
        <v>5230</v>
      </c>
      <c r="C1197" s="8" t="s">
        <v>5231</v>
      </c>
      <c r="D1197" s="8" t="s">
        <v>411</v>
      </c>
      <c r="E1197" s="8" t="s">
        <v>412</v>
      </c>
      <c r="F1197" s="8"/>
      <c r="G1197" s="10"/>
      <c r="H1197" s="10"/>
      <c r="I1197" s="10" t="s">
        <v>3756</v>
      </c>
    </row>
    <row r="1198" spans="1:9" ht="14.25" customHeight="1" x14ac:dyDescent="0.25">
      <c r="A1198" s="7" t="s">
        <v>5232</v>
      </c>
      <c r="B1198" s="8" t="s">
        <v>5233</v>
      </c>
      <c r="C1198" s="8" t="s">
        <v>5234</v>
      </c>
      <c r="D1198" s="8" t="s">
        <v>3163</v>
      </c>
      <c r="E1198" s="8" t="s">
        <v>412</v>
      </c>
      <c r="F1198" s="11" t="s">
        <v>5235</v>
      </c>
      <c r="G1198" s="10" t="s">
        <v>5236</v>
      </c>
      <c r="H1198" s="10" t="s">
        <v>37</v>
      </c>
      <c r="I1198" s="10" t="s">
        <v>3756</v>
      </c>
    </row>
    <row r="1199" spans="1:9" ht="14.25" customHeight="1" x14ac:dyDescent="0.25">
      <c r="A1199" s="7" t="s">
        <v>5237</v>
      </c>
      <c r="B1199" s="8" t="s">
        <v>5238</v>
      </c>
      <c r="C1199" s="8" t="s">
        <v>5239</v>
      </c>
      <c r="D1199" s="8" t="s">
        <v>411</v>
      </c>
      <c r="E1199" s="8" t="s">
        <v>412</v>
      </c>
      <c r="F1199" s="11" t="s">
        <v>5240</v>
      </c>
      <c r="G1199" s="10" t="s">
        <v>5241</v>
      </c>
      <c r="H1199" s="10" t="s">
        <v>49</v>
      </c>
      <c r="I1199" s="10" t="s">
        <v>3756</v>
      </c>
    </row>
    <row r="1200" spans="1:9" ht="14.25" customHeight="1" x14ac:dyDescent="0.25">
      <c r="A1200" s="7" t="s">
        <v>5242</v>
      </c>
      <c r="B1200" s="8" t="s">
        <v>4497</v>
      </c>
      <c r="C1200" s="8" t="s">
        <v>5243</v>
      </c>
      <c r="D1200" s="8" t="s">
        <v>411</v>
      </c>
      <c r="E1200" s="8" t="s">
        <v>412</v>
      </c>
      <c r="F1200" s="11" t="s">
        <v>5244</v>
      </c>
      <c r="G1200" s="10"/>
      <c r="H1200" s="10"/>
      <c r="I1200" s="10" t="s">
        <v>3756</v>
      </c>
    </row>
    <row r="1201" spans="1:9" ht="14.25" customHeight="1" x14ac:dyDescent="0.25">
      <c r="A1201" s="7" t="s">
        <v>5245</v>
      </c>
      <c r="B1201" s="8" t="s">
        <v>5246</v>
      </c>
      <c r="C1201" s="8" t="s">
        <v>5247</v>
      </c>
      <c r="D1201" s="8" t="s">
        <v>411</v>
      </c>
      <c r="E1201" s="8" t="s">
        <v>412</v>
      </c>
      <c r="F1201" s="11" t="s">
        <v>5248</v>
      </c>
      <c r="G1201" s="10" t="s">
        <v>5249</v>
      </c>
      <c r="H1201" s="10" t="s">
        <v>4330</v>
      </c>
      <c r="I1201" s="10" t="s">
        <v>3756</v>
      </c>
    </row>
    <row r="1202" spans="1:9" ht="14.25" customHeight="1" x14ac:dyDescent="0.25">
      <c r="A1202" s="7" t="s">
        <v>4048</v>
      </c>
      <c r="B1202" s="8" t="s">
        <v>5250</v>
      </c>
      <c r="C1202" s="8" t="s">
        <v>5251</v>
      </c>
      <c r="D1202" s="8" t="s">
        <v>3163</v>
      </c>
      <c r="E1202" s="8" t="s">
        <v>412</v>
      </c>
      <c r="F1202" s="11" t="s">
        <v>5252</v>
      </c>
      <c r="G1202" s="10"/>
      <c r="H1202" s="10"/>
      <c r="I1202" s="10" t="s">
        <v>3756</v>
      </c>
    </row>
    <row r="1203" spans="1:9" ht="14.25" customHeight="1" x14ac:dyDescent="0.25">
      <c r="A1203" s="7" t="s">
        <v>5253</v>
      </c>
      <c r="B1203" s="8" t="s">
        <v>1912</v>
      </c>
      <c r="C1203" s="8" t="s">
        <v>5254</v>
      </c>
      <c r="D1203" s="8" t="s">
        <v>3163</v>
      </c>
      <c r="E1203" s="8" t="s">
        <v>412</v>
      </c>
      <c r="F1203" s="11" t="s">
        <v>5255</v>
      </c>
      <c r="G1203" s="10" t="s">
        <v>5256</v>
      </c>
      <c r="H1203" s="10" t="s">
        <v>49</v>
      </c>
      <c r="I1203" s="10" t="s">
        <v>3756</v>
      </c>
    </row>
    <row r="1204" spans="1:9" ht="14.25" customHeight="1" x14ac:dyDescent="0.25">
      <c r="A1204" s="7" t="s">
        <v>5257</v>
      </c>
      <c r="B1204" s="8" t="s">
        <v>5258</v>
      </c>
      <c r="C1204" s="8" t="s">
        <v>5259</v>
      </c>
      <c r="D1204" s="8" t="s">
        <v>411</v>
      </c>
      <c r="E1204" s="8" t="s">
        <v>4021</v>
      </c>
      <c r="F1204" s="11" t="s">
        <v>5260</v>
      </c>
      <c r="G1204" s="10"/>
      <c r="H1204" s="10"/>
      <c r="I1204" s="10" t="s">
        <v>4039</v>
      </c>
    </row>
    <row r="1205" spans="1:9" ht="14.25" customHeight="1" x14ac:dyDescent="0.25">
      <c r="A1205" s="7" t="s">
        <v>5261</v>
      </c>
      <c r="B1205" s="8" t="s">
        <v>5262</v>
      </c>
      <c r="C1205" s="8" t="s">
        <v>5263</v>
      </c>
      <c r="D1205" s="8" t="s">
        <v>411</v>
      </c>
      <c r="E1205" s="8" t="s">
        <v>412</v>
      </c>
      <c r="F1205" s="11" t="s">
        <v>5264</v>
      </c>
      <c r="G1205" s="10"/>
      <c r="H1205" s="10"/>
      <c r="I1205" s="10" t="s">
        <v>4039</v>
      </c>
    </row>
    <row r="1206" spans="1:9" ht="14.25" customHeight="1" x14ac:dyDescent="0.25">
      <c r="A1206" s="7" t="s">
        <v>5265</v>
      </c>
      <c r="B1206" s="8" t="s">
        <v>5266</v>
      </c>
      <c r="C1206" s="8" t="s">
        <v>5267</v>
      </c>
      <c r="D1206" s="8" t="s">
        <v>411</v>
      </c>
      <c r="E1206" s="8" t="s">
        <v>412</v>
      </c>
      <c r="F1206" s="11" t="s">
        <v>5268</v>
      </c>
      <c r="G1206" s="10"/>
      <c r="H1206" s="10"/>
      <c r="I1206" s="10" t="s">
        <v>3756</v>
      </c>
    </row>
    <row r="1207" spans="1:9" ht="14.25" customHeight="1" x14ac:dyDescent="0.25">
      <c r="A1207" s="7" t="s">
        <v>5269</v>
      </c>
      <c r="B1207" s="8" t="s">
        <v>5270</v>
      </c>
      <c r="C1207" s="8" t="s">
        <v>4730</v>
      </c>
      <c r="D1207" s="8" t="s">
        <v>3163</v>
      </c>
      <c r="E1207" s="8" t="s">
        <v>3890</v>
      </c>
      <c r="F1207" s="11" t="s">
        <v>5271</v>
      </c>
      <c r="G1207" s="10"/>
      <c r="H1207" s="10"/>
      <c r="I1207" s="10" t="s">
        <v>4039</v>
      </c>
    </row>
    <row r="1208" spans="1:9" ht="14.25" customHeight="1" x14ac:dyDescent="0.25">
      <c r="A1208" s="7" t="s">
        <v>5272</v>
      </c>
      <c r="B1208" s="8" t="s">
        <v>5273</v>
      </c>
      <c r="C1208" s="8" t="s">
        <v>5274</v>
      </c>
      <c r="D1208" s="8" t="s">
        <v>411</v>
      </c>
      <c r="E1208" s="8" t="s">
        <v>3890</v>
      </c>
      <c r="F1208" s="11" t="s">
        <v>5275</v>
      </c>
      <c r="G1208" s="10" t="s">
        <v>5276</v>
      </c>
      <c r="H1208" s="10" t="s">
        <v>3918</v>
      </c>
      <c r="I1208" s="10"/>
    </row>
    <row r="1209" spans="1:9" ht="14.25" customHeight="1" x14ac:dyDescent="0.25">
      <c r="A1209" s="7" t="s">
        <v>5277</v>
      </c>
      <c r="B1209" s="8" t="s">
        <v>5278</v>
      </c>
      <c r="C1209" s="8" t="s">
        <v>5279</v>
      </c>
      <c r="D1209" s="8" t="s">
        <v>3163</v>
      </c>
      <c r="E1209" s="8" t="s">
        <v>3890</v>
      </c>
      <c r="F1209" s="11" t="s">
        <v>5280</v>
      </c>
      <c r="G1209" s="10" t="s">
        <v>5281</v>
      </c>
      <c r="H1209" s="10" t="s">
        <v>49</v>
      </c>
      <c r="I1209" s="10" t="s">
        <v>3756</v>
      </c>
    </row>
    <row r="1210" spans="1:9" ht="14.25" customHeight="1" x14ac:dyDescent="0.25">
      <c r="A1210" s="7" t="s">
        <v>5282</v>
      </c>
      <c r="B1210" s="8" t="s">
        <v>5283</v>
      </c>
      <c r="C1210" s="8" t="s">
        <v>5284</v>
      </c>
      <c r="D1210" s="8" t="s">
        <v>411</v>
      </c>
      <c r="E1210" s="8" t="s">
        <v>4254</v>
      </c>
      <c r="F1210" s="11" t="s">
        <v>5285</v>
      </c>
      <c r="G1210" s="10" t="s">
        <v>5281</v>
      </c>
      <c r="H1210" s="10" t="s">
        <v>49</v>
      </c>
      <c r="I1210" s="10" t="s">
        <v>3756</v>
      </c>
    </row>
    <row r="1211" spans="1:9" ht="14.25" customHeight="1" x14ac:dyDescent="0.25">
      <c r="A1211" s="7" t="s">
        <v>5286</v>
      </c>
      <c r="B1211" s="8" t="s">
        <v>4079</v>
      </c>
      <c r="C1211" s="8" t="s">
        <v>5287</v>
      </c>
      <c r="D1211" s="8" t="s">
        <v>3163</v>
      </c>
      <c r="E1211" s="8" t="s">
        <v>412</v>
      </c>
      <c r="F1211" s="11" t="s">
        <v>5288</v>
      </c>
      <c r="G1211" s="10"/>
      <c r="H1211" s="10"/>
      <c r="I1211" s="10" t="s">
        <v>3756</v>
      </c>
    </row>
    <row r="1212" spans="1:9" ht="14.25" customHeight="1" x14ac:dyDescent="0.25">
      <c r="A1212" s="7" t="s">
        <v>5289</v>
      </c>
      <c r="B1212" s="8" t="s">
        <v>5290</v>
      </c>
      <c r="C1212" s="8" t="s">
        <v>5291</v>
      </c>
      <c r="D1212" s="8" t="s">
        <v>3163</v>
      </c>
      <c r="E1212" s="8" t="s">
        <v>3890</v>
      </c>
      <c r="F1212" s="11" t="s">
        <v>5292</v>
      </c>
      <c r="G1212" s="10" t="s">
        <v>5293</v>
      </c>
      <c r="H1212" s="10" t="s">
        <v>5294</v>
      </c>
      <c r="I1212" s="10" t="s">
        <v>4039</v>
      </c>
    </row>
    <row r="1213" spans="1:9" ht="14.25" customHeight="1" x14ac:dyDescent="0.25">
      <c r="A1213" s="7" t="s">
        <v>5295</v>
      </c>
      <c r="B1213" s="8" t="s">
        <v>3573</v>
      </c>
      <c r="C1213" s="8" t="s">
        <v>5291</v>
      </c>
      <c r="D1213" s="8" t="s">
        <v>411</v>
      </c>
      <c r="E1213" s="8" t="s">
        <v>3890</v>
      </c>
      <c r="F1213" s="11" t="s">
        <v>5296</v>
      </c>
      <c r="G1213" s="10" t="s">
        <v>5293</v>
      </c>
      <c r="H1213" s="10" t="s">
        <v>5294</v>
      </c>
      <c r="I1213" s="10" t="s">
        <v>4039</v>
      </c>
    </row>
    <row r="1214" spans="1:9" ht="14.25" customHeight="1" x14ac:dyDescent="0.25">
      <c r="A1214" s="7" t="s">
        <v>5297</v>
      </c>
      <c r="B1214" s="8" t="s">
        <v>5298</v>
      </c>
      <c r="C1214" s="8" t="s">
        <v>5299</v>
      </c>
      <c r="D1214" s="8" t="s">
        <v>3163</v>
      </c>
      <c r="E1214" s="8" t="s">
        <v>412</v>
      </c>
      <c r="F1214" s="11" t="s">
        <v>5300</v>
      </c>
      <c r="G1214" s="10"/>
      <c r="H1214" s="10"/>
      <c r="I1214" s="10" t="s">
        <v>3756</v>
      </c>
    </row>
    <row r="1215" spans="1:9" ht="14.25" customHeight="1" x14ac:dyDescent="0.25">
      <c r="A1215" s="7" t="s">
        <v>5301</v>
      </c>
      <c r="B1215" s="8" t="s">
        <v>2674</v>
      </c>
      <c r="C1215" s="8" t="s">
        <v>686</v>
      </c>
      <c r="D1215" s="8" t="s">
        <v>3163</v>
      </c>
      <c r="E1215" s="8" t="s">
        <v>4254</v>
      </c>
      <c r="F1215" s="11" t="s">
        <v>5302</v>
      </c>
      <c r="G1215" s="10" t="s">
        <v>5303</v>
      </c>
      <c r="H1215" s="10" t="s">
        <v>2212</v>
      </c>
      <c r="I1215" s="10" t="s">
        <v>3756</v>
      </c>
    </row>
    <row r="1216" spans="1:9" ht="14.25" customHeight="1" x14ac:dyDescent="0.25">
      <c r="A1216" s="7" t="s">
        <v>5304</v>
      </c>
      <c r="B1216" s="8" t="s">
        <v>4840</v>
      </c>
      <c r="C1216" s="8" t="s">
        <v>533</v>
      </c>
      <c r="D1216" s="8" t="s">
        <v>411</v>
      </c>
      <c r="E1216" s="8" t="s">
        <v>4254</v>
      </c>
      <c r="F1216" s="11" t="s">
        <v>5305</v>
      </c>
      <c r="G1216" s="10" t="s">
        <v>5303</v>
      </c>
      <c r="H1216" s="10" t="s">
        <v>2212</v>
      </c>
      <c r="I1216" s="10" t="s">
        <v>3756</v>
      </c>
    </row>
    <row r="1217" spans="1:9" ht="14.25" customHeight="1" x14ac:dyDescent="0.25">
      <c r="A1217" s="7" t="s">
        <v>5306</v>
      </c>
      <c r="B1217" s="8" t="s">
        <v>4041</v>
      </c>
      <c r="C1217" s="8" t="s">
        <v>5307</v>
      </c>
      <c r="D1217" s="8" t="s">
        <v>411</v>
      </c>
      <c r="E1217" s="8" t="s">
        <v>412</v>
      </c>
      <c r="F1217" s="11" t="s">
        <v>5308</v>
      </c>
      <c r="G1217" s="10"/>
      <c r="H1217" s="10"/>
      <c r="I1217" s="10" t="s">
        <v>3756</v>
      </c>
    </row>
    <row r="1218" spans="1:9" ht="14.25" customHeight="1" x14ac:dyDescent="0.25">
      <c r="A1218" s="7" t="s">
        <v>5309</v>
      </c>
      <c r="B1218" s="8" t="s">
        <v>5310</v>
      </c>
      <c r="C1218" s="8" t="s">
        <v>5311</v>
      </c>
      <c r="D1218" s="8" t="s">
        <v>411</v>
      </c>
      <c r="E1218" s="8" t="s">
        <v>412</v>
      </c>
      <c r="F1218" s="11" t="s">
        <v>5312</v>
      </c>
      <c r="G1218" s="10"/>
      <c r="H1218" s="10"/>
      <c r="I1218" s="10" t="s">
        <v>3756</v>
      </c>
    </row>
    <row r="1219" spans="1:9" ht="14.25" customHeight="1" x14ac:dyDescent="0.25">
      <c r="A1219" s="7" t="s">
        <v>5313</v>
      </c>
      <c r="B1219" s="8" t="s">
        <v>3791</v>
      </c>
      <c r="C1219" s="8" t="s">
        <v>5314</v>
      </c>
      <c r="D1219" s="8" t="s">
        <v>3163</v>
      </c>
      <c r="E1219" s="8" t="s">
        <v>3890</v>
      </c>
      <c r="F1219" s="11" t="s">
        <v>5315</v>
      </c>
      <c r="G1219" s="10"/>
      <c r="H1219" s="10"/>
      <c r="I1219" s="10" t="s">
        <v>4039</v>
      </c>
    </row>
    <row r="1220" spans="1:9" ht="14.25" customHeight="1" x14ac:dyDescent="0.25">
      <c r="A1220" s="7" t="s">
        <v>5316</v>
      </c>
      <c r="B1220" s="8" t="s">
        <v>3953</v>
      </c>
      <c r="C1220" s="8" t="s">
        <v>5317</v>
      </c>
      <c r="D1220" s="8" t="s">
        <v>411</v>
      </c>
      <c r="E1220" s="8" t="s">
        <v>4254</v>
      </c>
      <c r="F1220" s="8"/>
      <c r="G1220" s="10"/>
      <c r="H1220" s="10"/>
      <c r="I1220" s="10" t="s">
        <v>4039</v>
      </c>
    </row>
    <row r="1221" spans="1:9" ht="14.25" customHeight="1" x14ac:dyDescent="0.25">
      <c r="A1221" s="7" t="s">
        <v>5318</v>
      </c>
      <c r="B1221" s="8" t="s">
        <v>691</v>
      </c>
      <c r="C1221" s="8" t="s">
        <v>5319</v>
      </c>
      <c r="D1221" s="8" t="s">
        <v>3163</v>
      </c>
      <c r="E1221" s="8" t="s">
        <v>412</v>
      </c>
      <c r="F1221" s="11" t="s">
        <v>5320</v>
      </c>
      <c r="G1221" s="10" t="s">
        <v>4714</v>
      </c>
      <c r="H1221" s="10" t="s">
        <v>61</v>
      </c>
      <c r="I1221" s="10" t="s">
        <v>4039</v>
      </c>
    </row>
    <row r="1222" spans="1:9" ht="14.25" customHeight="1" x14ac:dyDescent="0.25">
      <c r="A1222" s="7" t="s">
        <v>5321</v>
      </c>
      <c r="B1222" s="8" t="s">
        <v>2899</v>
      </c>
      <c r="C1222" s="8" t="s">
        <v>5322</v>
      </c>
      <c r="D1222" s="8" t="s">
        <v>411</v>
      </c>
      <c r="E1222" s="8" t="s">
        <v>412</v>
      </c>
      <c r="F1222" s="11" t="s">
        <v>5323</v>
      </c>
      <c r="G1222" s="10"/>
      <c r="H1222" s="10"/>
      <c r="I1222" s="10" t="s">
        <v>3756</v>
      </c>
    </row>
    <row r="1223" spans="1:9" ht="14.25" customHeight="1" x14ac:dyDescent="0.25">
      <c r="A1223" s="7" t="s">
        <v>5324</v>
      </c>
      <c r="B1223" s="8" t="s">
        <v>3388</v>
      </c>
      <c r="C1223" s="8" t="s">
        <v>5325</v>
      </c>
      <c r="D1223" s="8" t="s">
        <v>3163</v>
      </c>
      <c r="E1223" s="8" t="s">
        <v>412</v>
      </c>
      <c r="F1223" s="11" t="s">
        <v>5326</v>
      </c>
      <c r="G1223" s="10"/>
      <c r="H1223" s="10"/>
      <c r="I1223" s="10" t="s">
        <v>4371</v>
      </c>
    </row>
    <row r="1224" spans="1:9" ht="14.25" customHeight="1" x14ac:dyDescent="0.25">
      <c r="A1224" s="7" t="s">
        <v>5327</v>
      </c>
      <c r="B1224" s="8" t="s">
        <v>4201</v>
      </c>
      <c r="C1224" s="8" t="s">
        <v>537</v>
      </c>
      <c r="D1224" s="8" t="s">
        <v>411</v>
      </c>
      <c r="E1224" s="8" t="s">
        <v>412</v>
      </c>
      <c r="F1224" s="11" t="s">
        <v>5328</v>
      </c>
      <c r="G1224" s="10"/>
      <c r="H1224" s="10"/>
      <c r="I1224" s="10" t="s">
        <v>4371</v>
      </c>
    </row>
    <row r="1225" spans="1:9" ht="14.25" customHeight="1" x14ac:dyDescent="0.25">
      <c r="A1225" s="7" t="s">
        <v>5329</v>
      </c>
      <c r="B1225" s="8" t="s">
        <v>2214</v>
      </c>
      <c r="C1225" s="8" t="s">
        <v>5330</v>
      </c>
      <c r="D1225" s="8" t="s">
        <v>411</v>
      </c>
      <c r="E1225" s="8" t="s">
        <v>412</v>
      </c>
      <c r="F1225" s="11" t="s">
        <v>5331</v>
      </c>
      <c r="G1225" s="10" t="s">
        <v>5332</v>
      </c>
      <c r="H1225" s="10" t="s">
        <v>4199</v>
      </c>
      <c r="I1225" s="10" t="s">
        <v>4039</v>
      </c>
    </row>
    <row r="1226" spans="1:9" ht="14.25" customHeight="1" x14ac:dyDescent="0.25">
      <c r="A1226" s="7" t="s">
        <v>5333</v>
      </c>
      <c r="B1226" s="8" t="s">
        <v>3019</v>
      </c>
      <c r="C1226" s="8" t="s">
        <v>5334</v>
      </c>
      <c r="D1226" s="8" t="s">
        <v>411</v>
      </c>
      <c r="E1226" s="8" t="s">
        <v>412</v>
      </c>
      <c r="F1226" s="11" t="s">
        <v>5335</v>
      </c>
      <c r="G1226" s="10"/>
      <c r="H1226" s="10"/>
      <c r="I1226" s="10" t="s">
        <v>4039</v>
      </c>
    </row>
    <row r="1227" spans="1:9" ht="14.25" customHeight="1" x14ac:dyDescent="0.25">
      <c r="A1227" s="7" t="s">
        <v>5336</v>
      </c>
      <c r="B1227" s="8" t="s">
        <v>5337</v>
      </c>
      <c r="C1227" s="8" t="s">
        <v>1530</v>
      </c>
      <c r="D1227" s="8" t="s">
        <v>3163</v>
      </c>
      <c r="E1227" s="8" t="s">
        <v>4254</v>
      </c>
      <c r="F1227" s="11" t="s">
        <v>5338</v>
      </c>
      <c r="G1227" s="10" t="s">
        <v>5339</v>
      </c>
      <c r="H1227" s="10" t="s">
        <v>2212</v>
      </c>
      <c r="I1227" s="10" t="s">
        <v>4039</v>
      </c>
    </row>
    <row r="1228" spans="1:9" ht="14.25" customHeight="1" x14ac:dyDescent="0.25">
      <c r="A1228" s="7" t="s">
        <v>5340</v>
      </c>
      <c r="B1228" s="8" t="s">
        <v>5341</v>
      </c>
      <c r="C1228" s="8" t="s">
        <v>5342</v>
      </c>
      <c r="D1228" s="8" t="s">
        <v>411</v>
      </c>
      <c r="E1228" s="8" t="s">
        <v>3890</v>
      </c>
      <c r="F1228" s="11" t="s">
        <v>5343</v>
      </c>
      <c r="G1228" s="10"/>
      <c r="H1228" s="10"/>
      <c r="I1228" s="10" t="s">
        <v>4039</v>
      </c>
    </row>
    <row r="1229" spans="1:9" ht="14.25" customHeight="1" x14ac:dyDescent="0.25">
      <c r="A1229" s="7" t="s">
        <v>5344</v>
      </c>
      <c r="B1229" s="8" t="s">
        <v>4451</v>
      </c>
      <c r="C1229" s="8" t="s">
        <v>5345</v>
      </c>
      <c r="D1229" s="8" t="s">
        <v>411</v>
      </c>
      <c r="E1229" s="8" t="s">
        <v>412</v>
      </c>
      <c r="F1229" s="11" t="s">
        <v>5346</v>
      </c>
      <c r="G1229" s="10"/>
      <c r="H1229" s="10"/>
      <c r="I1229" s="10" t="s">
        <v>5347</v>
      </c>
    </row>
    <row r="1230" spans="1:9" ht="14.25" customHeight="1" x14ac:dyDescent="0.25">
      <c r="A1230" s="7" t="s">
        <v>5348</v>
      </c>
      <c r="B1230" s="8" t="s">
        <v>5250</v>
      </c>
      <c r="C1230" s="8" t="s">
        <v>5349</v>
      </c>
      <c r="D1230" s="8" t="s">
        <v>3163</v>
      </c>
      <c r="E1230" s="8" t="s">
        <v>412</v>
      </c>
      <c r="F1230" s="11" t="s">
        <v>5350</v>
      </c>
      <c r="G1230" s="10"/>
      <c r="H1230" s="10"/>
      <c r="I1230" s="10" t="s">
        <v>4371</v>
      </c>
    </row>
    <row r="1231" spans="1:9" ht="14.25" customHeight="1" x14ac:dyDescent="0.25">
      <c r="A1231" s="7" t="s">
        <v>5351</v>
      </c>
      <c r="B1231" s="8" t="s">
        <v>5352</v>
      </c>
      <c r="C1231" s="8" t="s">
        <v>5353</v>
      </c>
      <c r="D1231" s="8" t="s">
        <v>3163</v>
      </c>
      <c r="E1231" s="8" t="s">
        <v>412</v>
      </c>
      <c r="F1231" s="11" t="s">
        <v>5354</v>
      </c>
      <c r="G1231" s="10" t="s">
        <v>5169</v>
      </c>
      <c r="H1231" s="10" t="s">
        <v>25</v>
      </c>
      <c r="I1231" s="10" t="s">
        <v>3756</v>
      </c>
    </row>
    <row r="1232" spans="1:9" ht="14.25" customHeight="1" x14ac:dyDescent="0.25">
      <c r="A1232" s="7" t="s">
        <v>5355</v>
      </c>
      <c r="B1232" s="8" t="s">
        <v>4668</v>
      </c>
      <c r="C1232" s="8" t="s">
        <v>5356</v>
      </c>
      <c r="D1232" s="8" t="s">
        <v>3163</v>
      </c>
      <c r="E1232" s="8" t="s">
        <v>4021</v>
      </c>
      <c r="F1232" s="11" t="s">
        <v>5357</v>
      </c>
      <c r="G1232" s="10"/>
      <c r="H1232" s="10"/>
      <c r="I1232" s="10" t="s">
        <v>4039</v>
      </c>
    </row>
    <row r="1233" spans="1:9" ht="14.25" customHeight="1" x14ac:dyDescent="0.25">
      <c r="A1233" s="7" t="s">
        <v>5358</v>
      </c>
      <c r="B1233" s="8" t="s">
        <v>5359</v>
      </c>
      <c r="C1233" s="8" t="s">
        <v>5360</v>
      </c>
      <c r="D1233" s="8" t="s">
        <v>411</v>
      </c>
      <c r="E1233" s="8" t="s">
        <v>3890</v>
      </c>
      <c r="F1233" s="11" t="s">
        <v>5361</v>
      </c>
      <c r="G1233" s="10"/>
      <c r="H1233" s="10"/>
      <c r="I1233" s="10" t="s">
        <v>3756</v>
      </c>
    </row>
    <row r="1234" spans="1:9" ht="14.25" customHeight="1" x14ac:dyDescent="0.25">
      <c r="A1234" s="7" t="s">
        <v>5362</v>
      </c>
      <c r="B1234" s="8" t="s">
        <v>4053</v>
      </c>
      <c r="C1234" s="8" t="s">
        <v>5360</v>
      </c>
      <c r="D1234" s="8" t="s">
        <v>3163</v>
      </c>
      <c r="E1234" s="8" t="s">
        <v>3890</v>
      </c>
      <c r="F1234" s="11" t="s">
        <v>5363</v>
      </c>
      <c r="G1234" s="10"/>
      <c r="H1234" s="10"/>
      <c r="I1234" s="10" t="s">
        <v>3756</v>
      </c>
    </row>
    <row r="1235" spans="1:9" ht="14.25" customHeight="1" x14ac:dyDescent="0.25">
      <c r="A1235" s="7" t="s">
        <v>5364</v>
      </c>
      <c r="B1235" s="8" t="s">
        <v>5365</v>
      </c>
      <c r="C1235" s="8" t="s">
        <v>5366</v>
      </c>
      <c r="D1235" s="8" t="s">
        <v>3163</v>
      </c>
      <c r="E1235" s="8" t="s">
        <v>4021</v>
      </c>
      <c r="F1235" s="11" t="s">
        <v>5367</v>
      </c>
      <c r="G1235" s="10" t="s">
        <v>5368</v>
      </c>
      <c r="H1235" s="10" t="s">
        <v>3820</v>
      </c>
      <c r="I1235" s="10" t="s">
        <v>4039</v>
      </c>
    </row>
    <row r="1236" spans="1:9" ht="14.25" customHeight="1" x14ac:dyDescent="0.25">
      <c r="A1236" s="7" t="s">
        <v>5369</v>
      </c>
      <c r="B1236" s="8" t="s">
        <v>5370</v>
      </c>
      <c r="C1236" s="8" t="s">
        <v>5366</v>
      </c>
      <c r="D1236" s="8" t="s">
        <v>3163</v>
      </c>
      <c r="E1236" s="8" t="s">
        <v>4021</v>
      </c>
      <c r="F1236" s="11" t="s">
        <v>5371</v>
      </c>
      <c r="G1236" s="10"/>
      <c r="H1236" s="10"/>
      <c r="I1236" s="10" t="s">
        <v>3756</v>
      </c>
    </row>
    <row r="1237" spans="1:9" ht="14.25" customHeight="1" x14ac:dyDescent="0.25">
      <c r="A1237" s="7" t="s">
        <v>5372</v>
      </c>
      <c r="B1237" s="8" t="s">
        <v>57</v>
      </c>
      <c r="C1237" s="8" t="s">
        <v>5129</v>
      </c>
      <c r="D1237" s="8" t="s">
        <v>3163</v>
      </c>
      <c r="E1237" s="8" t="s">
        <v>412</v>
      </c>
      <c r="F1237" s="11" t="s">
        <v>5373</v>
      </c>
      <c r="G1237" s="10"/>
      <c r="H1237" s="10"/>
      <c r="I1237" s="10" t="s">
        <v>4039</v>
      </c>
    </row>
    <row r="1238" spans="1:9" ht="14.25" customHeight="1" x14ac:dyDescent="0.25">
      <c r="A1238" s="7" t="s">
        <v>5374</v>
      </c>
      <c r="B1238" s="8" t="s">
        <v>5375</v>
      </c>
      <c r="C1238" s="8" t="s">
        <v>5376</v>
      </c>
      <c r="D1238" s="8" t="s">
        <v>3163</v>
      </c>
      <c r="E1238" s="8" t="s">
        <v>412</v>
      </c>
      <c r="F1238" s="11" t="s">
        <v>5377</v>
      </c>
      <c r="G1238" s="10" t="s">
        <v>5378</v>
      </c>
      <c r="H1238" s="10" t="s">
        <v>3918</v>
      </c>
      <c r="I1238" s="10" t="s">
        <v>3756</v>
      </c>
    </row>
    <row r="1239" spans="1:9" ht="14.25" customHeight="1" x14ac:dyDescent="0.25">
      <c r="A1239" s="7" t="s">
        <v>5379</v>
      </c>
      <c r="B1239" s="8" t="s">
        <v>68</v>
      </c>
      <c r="C1239" s="8" t="s">
        <v>5380</v>
      </c>
      <c r="D1239" s="8" t="s">
        <v>411</v>
      </c>
      <c r="E1239" s="8" t="s">
        <v>412</v>
      </c>
      <c r="F1239" s="11" t="s">
        <v>5381</v>
      </c>
      <c r="G1239" s="10" t="s">
        <v>5382</v>
      </c>
      <c r="H1239" s="10" t="s">
        <v>25</v>
      </c>
      <c r="I1239" s="10" t="s">
        <v>4371</v>
      </c>
    </row>
    <row r="1240" spans="1:9" ht="14.25" customHeight="1" x14ac:dyDescent="0.25">
      <c r="A1240" s="7" t="s">
        <v>5383</v>
      </c>
      <c r="B1240" s="8" t="s">
        <v>5052</v>
      </c>
      <c r="C1240" s="8" t="s">
        <v>5311</v>
      </c>
      <c r="D1240" s="8" t="s">
        <v>3163</v>
      </c>
      <c r="E1240" s="8" t="s">
        <v>412</v>
      </c>
      <c r="F1240" s="8"/>
      <c r="G1240" s="10"/>
      <c r="H1240" s="10"/>
      <c r="I1240" s="10" t="s">
        <v>3756</v>
      </c>
    </row>
    <row r="1241" spans="1:9" ht="14.25" customHeight="1" x14ac:dyDescent="0.25">
      <c r="A1241" s="7" t="s">
        <v>5384</v>
      </c>
      <c r="B1241" s="8" t="s">
        <v>5385</v>
      </c>
      <c r="C1241" s="8" t="s">
        <v>5386</v>
      </c>
      <c r="D1241" s="8" t="s">
        <v>3163</v>
      </c>
      <c r="E1241" s="8" t="s">
        <v>412</v>
      </c>
      <c r="F1241" s="8"/>
      <c r="G1241" s="10"/>
      <c r="H1241" s="10"/>
      <c r="I1241" s="10"/>
    </row>
    <row r="1242" spans="1:9" ht="14.25" customHeight="1" x14ac:dyDescent="0.25">
      <c r="A1242" s="7" t="s">
        <v>5387</v>
      </c>
      <c r="B1242" s="8" t="s">
        <v>5388</v>
      </c>
      <c r="C1242" s="8" t="s">
        <v>5389</v>
      </c>
      <c r="D1242" s="8" t="s">
        <v>3163</v>
      </c>
      <c r="E1242" s="8" t="s">
        <v>3890</v>
      </c>
      <c r="F1242" s="11" t="s">
        <v>5390</v>
      </c>
      <c r="G1242" s="10" t="s">
        <v>5391</v>
      </c>
      <c r="H1242" s="10" t="s">
        <v>5392</v>
      </c>
      <c r="I1242" s="10" t="s">
        <v>4039</v>
      </c>
    </row>
    <row r="1243" spans="1:9" ht="14.25" customHeight="1" x14ac:dyDescent="0.25">
      <c r="A1243" s="7" t="s">
        <v>5393</v>
      </c>
      <c r="B1243" s="8" t="s">
        <v>5226</v>
      </c>
      <c r="C1243" s="8" t="s">
        <v>5394</v>
      </c>
      <c r="D1243" s="8" t="s">
        <v>411</v>
      </c>
      <c r="E1243" s="8" t="s">
        <v>3890</v>
      </c>
      <c r="F1243" s="11" t="s">
        <v>5395</v>
      </c>
      <c r="G1243" s="10" t="s">
        <v>5391</v>
      </c>
      <c r="H1243" s="10" t="s">
        <v>5392</v>
      </c>
      <c r="I1243" s="10" t="s">
        <v>4039</v>
      </c>
    </row>
    <row r="1244" spans="1:9" ht="14.25" customHeight="1" x14ac:dyDescent="0.25">
      <c r="A1244" s="7" t="s">
        <v>5396</v>
      </c>
      <c r="B1244" s="8" t="s">
        <v>3058</v>
      </c>
      <c r="C1244" s="8" t="s">
        <v>5397</v>
      </c>
      <c r="D1244" s="8"/>
      <c r="E1244" s="8" t="s">
        <v>412</v>
      </c>
      <c r="F1244" s="11" t="s">
        <v>5398</v>
      </c>
      <c r="G1244" s="10"/>
      <c r="H1244" s="10"/>
      <c r="I1244" s="10" t="s">
        <v>4039</v>
      </c>
    </row>
    <row r="1245" spans="1:9" ht="14.25" customHeight="1" x14ac:dyDescent="0.25">
      <c r="A1245" s="7" t="s">
        <v>5399</v>
      </c>
      <c r="B1245" s="8" t="s">
        <v>5400</v>
      </c>
      <c r="C1245" s="8" t="s">
        <v>5401</v>
      </c>
      <c r="D1245" s="8" t="s">
        <v>3163</v>
      </c>
      <c r="E1245" s="8" t="s">
        <v>4254</v>
      </c>
      <c r="F1245" s="11" t="s">
        <v>5402</v>
      </c>
      <c r="G1245" s="10" t="s">
        <v>5403</v>
      </c>
      <c r="H1245" s="10" t="s">
        <v>49</v>
      </c>
      <c r="I1245" s="10" t="s">
        <v>4039</v>
      </c>
    </row>
    <row r="1246" spans="1:9" ht="14.25" customHeight="1" x14ac:dyDescent="0.25">
      <c r="A1246" s="7" t="s">
        <v>5404</v>
      </c>
      <c r="B1246" s="8" t="s">
        <v>5405</v>
      </c>
      <c r="C1246" s="8" t="s">
        <v>5406</v>
      </c>
      <c r="D1246" s="8" t="s">
        <v>411</v>
      </c>
      <c r="E1246" s="8" t="s">
        <v>4254</v>
      </c>
      <c r="F1246" s="11" t="s">
        <v>5407</v>
      </c>
      <c r="G1246" s="10" t="s">
        <v>5403</v>
      </c>
      <c r="H1246" s="10" t="s">
        <v>49</v>
      </c>
      <c r="I1246" s="10" t="s">
        <v>4039</v>
      </c>
    </row>
    <row r="1247" spans="1:9" ht="14.25" customHeight="1" x14ac:dyDescent="0.25">
      <c r="A1247" s="7" t="s">
        <v>5408</v>
      </c>
      <c r="B1247" s="8" t="s">
        <v>2006</v>
      </c>
      <c r="C1247" s="8" t="s">
        <v>5409</v>
      </c>
      <c r="D1247" s="8" t="s">
        <v>3163</v>
      </c>
      <c r="E1247" s="8" t="s">
        <v>412</v>
      </c>
      <c r="F1247" s="11" t="s">
        <v>5410</v>
      </c>
      <c r="G1247" s="10" t="s">
        <v>5411</v>
      </c>
      <c r="H1247" s="10" t="s">
        <v>2212</v>
      </c>
      <c r="I1247" s="10" t="s">
        <v>4371</v>
      </c>
    </row>
    <row r="1248" spans="1:9" ht="14.25" customHeight="1" x14ac:dyDescent="0.25">
      <c r="A1248" s="7" t="s">
        <v>5412</v>
      </c>
      <c r="B1248" s="8" t="s">
        <v>2230</v>
      </c>
      <c r="C1248" s="8" t="s">
        <v>5413</v>
      </c>
      <c r="D1248" s="8" t="s">
        <v>411</v>
      </c>
      <c r="E1248" s="8" t="s">
        <v>412</v>
      </c>
      <c r="F1248" s="11" t="s">
        <v>5414</v>
      </c>
      <c r="G1248" s="10" t="s">
        <v>5415</v>
      </c>
      <c r="H1248" s="10" t="s">
        <v>5416</v>
      </c>
      <c r="I1248" s="10" t="s">
        <v>4371</v>
      </c>
    </row>
    <row r="1249" spans="1:9" ht="14.25" customHeight="1" x14ac:dyDescent="0.25">
      <c r="A1249" s="7" t="s">
        <v>5417</v>
      </c>
      <c r="B1249" s="8" t="s">
        <v>3936</v>
      </c>
      <c r="C1249" s="8" t="s">
        <v>660</v>
      </c>
      <c r="D1249" s="8" t="s">
        <v>411</v>
      </c>
      <c r="E1249" s="8" t="s">
        <v>4021</v>
      </c>
      <c r="F1249" s="11" t="s">
        <v>5418</v>
      </c>
      <c r="G1249" s="10"/>
      <c r="H1249" s="10"/>
      <c r="I1249" s="10" t="s">
        <v>4404</v>
      </c>
    </row>
    <row r="1250" spans="1:9" ht="14.25" customHeight="1" x14ac:dyDescent="0.25">
      <c r="A1250" s="7" t="s">
        <v>5419</v>
      </c>
      <c r="B1250" s="8" t="s">
        <v>5420</v>
      </c>
      <c r="C1250" s="8" t="s">
        <v>5421</v>
      </c>
      <c r="D1250" s="8" t="s">
        <v>3163</v>
      </c>
      <c r="E1250" s="8" t="s">
        <v>412</v>
      </c>
      <c r="F1250" s="8"/>
      <c r="G1250" s="10"/>
      <c r="H1250" s="10"/>
      <c r="I1250" s="10" t="s">
        <v>3756</v>
      </c>
    </row>
    <row r="1251" spans="1:9" ht="14.25" customHeight="1" x14ac:dyDescent="0.25">
      <c r="A1251" s="7" t="s">
        <v>5422</v>
      </c>
      <c r="B1251" s="8" t="s">
        <v>3995</v>
      </c>
      <c r="C1251" s="8" t="s">
        <v>3775</v>
      </c>
      <c r="D1251" s="8" t="s">
        <v>411</v>
      </c>
      <c r="E1251" s="8" t="s">
        <v>412</v>
      </c>
      <c r="F1251" s="11" t="s">
        <v>5423</v>
      </c>
      <c r="G1251" s="10" t="s">
        <v>5424</v>
      </c>
      <c r="H1251" s="10" t="s">
        <v>5425</v>
      </c>
      <c r="I1251" s="10" t="s">
        <v>3756</v>
      </c>
    </row>
    <row r="1252" spans="1:9" ht="14.25" customHeight="1" x14ac:dyDescent="0.25">
      <c r="A1252" s="7" t="s">
        <v>5426</v>
      </c>
      <c r="B1252" s="8" t="s">
        <v>5427</v>
      </c>
      <c r="C1252" s="8" t="s">
        <v>5428</v>
      </c>
      <c r="D1252" s="8" t="s">
        <v>411</v>
      </c>
      <c r="E1252" s="8" t="s">
        <v>412</v>
      </c>
      <c r="F1252" s="11" t="s">
        <v>5429</v>
      </c>
      <c r="G1252" s="10" t="s">
        <v>5430</v>
      </c>
      <c r="H1252" s="10" t="s">
        <v>5431</v>
      </c>
      <c r="I1252" s="10" t="s">
        <v>3756</v>
      </c>
    </row>
    <row r="1253" spans="1:9" ht="14.25" customHeight="1" x14ac:dyDescent="0.25">
      <c r="A1253" s="7" t="s">
        <v>5432</v>
      </c>
      <c r="B1253" s="8" t="s">
        <v>4687</v>
      </c>
      <c r="C1253" s="8" t="s">
        <v>5433</v>
      </c>
      <c r="D1253" s="8" t="s">
        <v>411</v>
      </c>
      <c r="E1253" s="8" t="s">
        <v>412</v>
      </c>
      <c r="F1253" s="11" t="s">
        <v>5434</v>
      </c>
      <c r="G1253" s="10"/>
      <c r="H1253" s="10"/>
      <c r="I1253" s="10"/>
    </row>
    <row r="1254" spans="1:9" ht="14.25" customHeight="1" x14ac:dyDescent="0.25">
      <c r="A1254" s="7" t="s">
        <v>5435</v>
      </c>
      <c r="B1254" s="8" t="s">
        <v>5352</v>
      </c>
      <c r="C1254" s="8" t="s">
        <v>5436</v>
      </c>
      <c r="D1254" s="8" t="s">
        <v>3163</v>
      </c>
      <c r="E1254" s="8" t="s">
        <v>412</v>
      </c>
      <c r="F1254" s="8"/>
      <c r="G1254" s="10"/>
      <c r="H1254" s="10"/>
      <c r="I1254" s="10"/>
    </row>
    <row r="1255" spans="1:9" ht="14.25" customHeight="1" x14ac:dyDescent="0.25">
      <c r="A1255" s="7" t="s">
        <v>5437</v>
      </c>
      <c r="B1255" s="8" t="s">
        <v>2537</v>
      </c>
      <c r="C1255" s="8" t="s">
        <v>5438</v>
      </c>
      <c r="D1255" s="8" t="s">
        <v>411</v>
      </c>
      <c r="E1255" s="8" t="s">
        <v>3890</v>
      </c>
      <c r="F1255" s="11" t="s">
        <v>5439</v>
      </c>
      <c r="G1255" s="10"/>
      <c r="H1255" s="10"/>
      <c r="I1255" s="10" t="s">
        <v>4039</v>
      </c>
    </row>
    <row r="1256" spans="1:9" ht="14.25" customHeight="1" x14ac:dyDescent="0.25">
      <c r="A1256" s="7" t="s">
        <v>5440</v>
      </c>
      <c r="B1256" s="8" t="s">
        <v>5441</v>
      </c>
      <c r="C1256" s="8" t="s">
        <v>5438</v>
      </c>
      <c r="D1256" s="8" t="s">
        <v>3163</v>
      </c>
      <c r="E1256" s="8" t="s">
        <v>3890</v>
      </c>
      <c r="F1256" s="8"/>
      <c r="G1256" s="10"/>
      <c r="H1256" s="10"/>
      <c r="I1256" s="10" t="s">
        <v>4039</v>
      </c>
    </row>
    <row r="1257" spans="1:9" ht="14.25" customHeight="1" x14ac:dyDescent="0.25">
      <c r="A1257" s="7" t="s">
        <v>5442</v>
      </c>
      <c r="B1257" s="8" t="s">
        <v>5443</v>
      </c>
      <c r="C1257" s="8" t="s">
        <v>5444</v>
      </c>
      <c r="D1257" s="8" t="s">
        <v>3163</v>
      </c>
      <c r="E1257" s="8" t="s">
        <v>3890</v>
      </c>
      <c r="F1257" s="11" t="s">
        <v>5445</v>
      </c>
      <c r="G1257" s="10" t="s">
        <v>5446</v>
      </c>
      <c r="H1257" s="10" t="s">
        <v>5447</v>
      </c>
      <c r="I1257" s="10" t="s">
        <v>4039</v>
      </c>
    </row>
    <row r="1258" spans="1:9" ht="14.25" customHeight="1" x14ac:dyDescent="0.25">
      <c r="A1258" s="7" t="s">
        <v>5448</v>
      </c>
      <c r="B1258" s="8" t="s">
        <v>5449</v>
      </c>
      <c r="C1258" s="8" t="s">
        <v>5224</v>
      </c>
      <c r="D1258" s="8" t="s">
        <v>411</v>
      </c>
      <c r="E1258" s="8" t="s">
        <v>3890</v>
      </c>
      <c r="F1258" s="8"/>
      <c r="G1258" s="10" t="s">
        <v>5446</v>
      </c>
      <c r="H1258" s="10" t="s">
        <v>5447</v>
      </c>
      <c r="I1258" s="10" t="s">
        <v>4039</v>
      </c>
    </row>
    <row r="1259" spans="1:9" ht="14.25" customHeight="1" x14ac:dyDescent="0.25">
      <c r="A1259" s="7" t="s">
        <v>5450</v>
      </c>
      <c r="B1259" s="8" t="s">
        <v>1352</v>
      </c>
      <c r="C1259" s="8" t="s">
        <v>5451</v>
      </c>
      <c r="D1259" s="8" t="s">
        <v>411</v>
      </c>
      <c r="E1259" s="8" t="s">
        <v>412</v>
      </c>
      <c r="F1259" s="11" t="s">
        <v>5452</v>
      </c>
      <c r="G1259" s="10" t="s">
        <v>5453</v>
      </c>
      <c r="H1259" s="10" t="s">
        <v>5454</v>
      </c>
      <c r="I1259" s="10" t="s">
        <v>4039</v>
      </c>
    </row>
    <row r="1260" spans="1:9" ht="14.25" customHeight="1" x14ac:dyDescent="0.25">
      <c r="A1260" s="7" t="s">
        <v>5455</v>
      </c>
      <c r="B1260" s="8" t="s">
        <v>5456</v>
      </c>
      <c r="C1260" s="8" t="s">
        <v>5457</v>
      </c>
      <c r="D1260" s="8" t="s">
        <v>411</v>
      </c>
      <c r="E1260" s="8" t="s">
        <v>3890</v>
      </c>
      <c r="F1260" s="11" t="s">
        <v>5458</v>
      </c>
      <c r="G1260" s="10"/>
      <c r="H1260" s="10"/>
      <c r="I1260" s="10" t="s">
        <v>3756</v>
      </c>
    </row>
    <row r="1261" spans="1:9" ht="14.25" customHeight="1" x14ac:dyDescent="0.25">
      <c r="A1261" s="7" t="s">
        <v>5459</v>
      </c>
      <c r="B1261" s="8" t="s">
        <v>3207</v>
      </c>
      <c r="C1261" s="8" t="s">
        <v>5460</v>
      </c>
      <c r="D1261" s="8" t="s">
        <v>411</v>
      </c>
      <c r="E1261" s="8" t="s">
        <v>3890</v>
      </c>
      <c r="F1261" s="8"/>
      <c r="G1261" s="10"/>
      <c r="H1261" s="10"/>
      <c r="I1261" s="10" t="s">
        <v>3756</v>
      </c>
    </row>
    <row r="1262" spans="1:9" ht="14.25" customHeight="1" x14ac:dyDescent="0.25">
      <c r="A1262" s="7" t="s">
        <v>5461</v>
      </c>
      <c r="B1262" s="8" t="s">
        <v>5462</v>
      </c>
      <c r="C1262" s="8" t="s">
        <v>5463</v>
      </c>
      <c r="D1262" s="8" t="s">
        <v>3163</v>
      </c>
      <c r="E1262" s="8" t="s">
        <v>3890</v>
      </c>
      <c r="F1262" s="11" t="s">
        <v>5464</v>
      </c>
      <c r="G1262" s="10"/>
      <c r="H1262" s="10"/>
      <c r="I1262" s="10" t="s">
        <v>3756</v>
      </c>
    </row>
    <row r="1263" spans="1:9" ht="14.25" customHeight="1" x14ac:dyDescent="0.25">
      <c r="A1263" s="7" t="s">
        <v>5465</v>
      </c>
      <c r="B1263" s="8" t="s">
        <v>5466</v>
      </c>
      <c r="C1263" s="8" t="s">
        <v>5467</v>
      </c>
      <c r="D1263" s="8" t="s">
        <v>411</v>
      </c>
      <c r="E1263" s="8" t="s">
        <v>3890</v>
      </c>
      <c r="F1263" s="11" t="s">
        <v>5468</v>
      </c>
      <c r="G1263" s="10"/>
      <c r="H1263" s="10"/>
      <c r="I1263" s="10" t="s">
        <v>3756</v>
      </c>
    </row>
    <row r="1264" spans="1:9" ht="14.25" customHeight="1" x14ac:dyDescent="0.25">
      <c r="A1264" s="7" t="s">
        <v>5469</v>
      </c>
      <c r="B1264" s="8" t="s">
        <v>5470</v>
      </c>
      <c r="C1264" s="8" t="s">
        <v>2837</v>
      </c>
      <c r="D1264" s="8" t="s">
        <v>411</v>
      </c>
      <c r="E1264" s="8" t="s">
        <v>412</v>
      </c>
      <c r="F1264" s="11" t="s">
        <v>5471</v>
      </c>
      <c r="G1264" s="10"/>
      <c r="H1264" s="10"/>
      <c r="I1264" s="10" t="s">
        <v>3756</v>
      </c>
    </row>
    <row r="1265" spans="1:9" ht="14.25" customHeight="1" x14ac:dyDescent="0.25">
      <c r="A1265" s="7" t="s">
        <v>5472</v>
      </c>
      <c r="B1265" s="8" t="s">
        <v>68</v>
      </c>
      <c r="C1265" s="8" t="s">
        <v>5473</v>
      </c>
      <c r="D1265" s="8" t="s">
        <v>411</v>
      </c>
      <c r="E1265" s="8" t="s">
        <v>412</v>
      </c>
      <c r="F1265" s="11" t="s">
        <v>5474</v>
      </c>
      <c r="G1265" s="10"/>
      <c r="H1265" s="10"/>
      <c r="I1265" s="10" t="s">
        <v>3756</v>
      </c>
    </row>
    <row r="1266" spans="1:9" ht="14.25" customHeight="1" x14ac:dyDescent="0.25">
      <c r="A1266" s="7" t="s">
        <v>5475</v>
      </c>
      <c r="B1266" s="8" t="s">
        <v>5476</v>
      </c>
      <c r="C1266" s="8" t="s">
        <v>5477</v>
      </c>
      <c r="D1266" s="8" t="s">
        <v>411</v>
      </c>
      <c r="E1266" s="8" t="s">
        <v>3890</v>
      </c>
      <c r="F1266" s="11" t="s">
        <v>5478</v>
      </c>
      <c r="G1266" s="10"/>
      <c r="H1266" s="10"/>
      <c r="I1266" s="10" t="s">
        <v>5347</v>
      </c>
    </row>
    <row r="1267" spans="1:9" ht="14.25" customHeight="1" x14ac:dyDescent="0.25">
      <c r="A1267" s="7" t="s">
        <v>5479</v>
      </c>
      <c r="B1267" s="8" t="s">
        <v>5480</v>
      </c>
      <c r="C1267" s="8" t="s">
        <v>5481</v>
      </c>
      <c r="D1267" s="8"/>
      <c r="E1267" s="8" t="s">
        <v>3890</v>
      </c>
      <c r="F1267" s="11" t="s">
        <v>5482</v>
      </c>
      <c r="G1267" s="10"/>
      <c r="H1267" s="10"/>
      <c r="I1267" s="10" t="s">
        <v>5347</v>
      </c>
    </row>
    <row r="1268" spans="1:9" ht="14.25" customHeight="1" x14ac:dyDescent="0.25">
      <c r="A1268" s="7" t="s">
        <v>5483</v>
      </c>
      <c r="B1268" s="8" t="s">
        <v>5484</v>
      </c>
      <c r="C1268" s="8" t="s">
        <v>5485</v>
      </c>
      <c r="D1268" s="8" t="s">
        <v>411</v>
      </c>
      <c r="E1268" s="8" t="s">
        <v>3890</v>
      </c>
      <c r="F1268" s="11" t="s">
        <v>5486</v>
      </c>
      <c r="G1268" s="10"/>
      <c r="H1268" s="10"/>
      <c r="I1268" s="10" t="s">
        <v>4039</v>
      </c>
    </row>
    <row r="1269" spans="1:9" ht="14.25" customHeight="1" x14ac:dyDescent="0.25">
      <c r="A1269" s="7" t="s">
        <v>5487</v>
      </c>
      <c r="B1269" s="8" t="s">
        <v>5488</v>
      </c>
      <c r="C1269" s="8" t="s">
        <v>5485</v>
      </c>
      <c r="D1269" s="8" t="s">
        <v>3163</v>
      </c>
      <c r="E1269" s="8" t="s">
        <v>3890</v>
      </c>
      <c r="F1269" s="11" t="s">
        <v>5489</v>
      </c>
      <c r="G1269" s="10"/>
      <c r="H1269" s="10"/>
      <c r="I1269" s="10" t="s">
        <v>4039</v>
      </c>
    </row>
    <row r="1270" spans="1:9" ht="14.25" customHeight="1" x14ac:dyDescent="0.25">
      <c r="A1270" s="7" t="s">
        <v>5490</v>
      </c>
      <c r="B1270" s="8" t="s">
        <v>5491</v>
      </c>
      <c r="C1270" s="8" t="s">
        <v>5492</v>
      </c>
      <c r="D1270" s="8" t="s">
        <v>411</v>
      </c>
      <c r="E1270" s="8" t="s">
        <v>412</v>
      </c>
      <c r="F1270" s="11" t="s">
        <v>5493</v>
      </c>
      <c r="G1270" s="10" t="s">
        <v>5494</v>
      </c>
      <c r="H1270" s="10" t="s">
        <v>25</v>
      </c>
      <c r="I1270" s="10" t="s">
        <v>3756</v>
      </c>
    </row>
    <row r="1271" spans="1:9" ht="14.25" customHeight="1" x14ac:dyDescent="0.25">
      <c r="A1271" s="7" t="s">
        <v>5495</v>
      </c>
      <c r="B1271" s="8" t="s">
        <v>944</v>
      </c>
      <c r="C1271" s="8" t="s">
        <v>5496</v>
      </c>
      <c r="D1271" s="8" t="s">
        <v>411</v>
      </c>
      <c r="E1271" s="8" t="s">
        <v>412</v>
      </c>
      <c r="F1271" s="11" t="s">
        <v>5497</v>
      </c>
      <c r="G1271" s="10" t="s">
        <v>5498</v>
      </c>
      <c r="H1271" s="10" t="s">
        <v>37</v>
      </c>
      <c r="I1271" s="10" t="s">
        <v>3756</v>
      </c>
    </row>
    <row r="1272" spans="1:9" ht="14.25" customHeight="1" x14ac:dyDescent="0.25">
      <c r="A1272" s="7" t="s">
        <v>5499</v>
      </c>
      <c r="B1272" s="8" t="s">
        <v>1363</v>
      </c>
      <c r="C1272" s="8" t="s">
        <v>5500</v>
      </c>
      <c r="D1272" s="8" t="s">
        <v>3163</v>
      </c>
      <c r="E1272" s="8" t="s">
        <v>412</v>
      </c>
      <c r="F1272" s="11" t="s">
        <v>5501</v>
      </c>
      <c r="G1272" s="10"/>
      <c r="H1272" s="10"/>
      <c r="I1272" s="10" t="s">
        <v>4635</v>
      </c>
    </row>
    <row r="1273" spans="1:9" ht="14.25" customHeight="1" x14ac:dyDescent="0.25">
      <c r="A1273" s="7" t="s">
        <v>5502</v>
      </c>
      <c r="B1273" s="8" t="s">
        <v>853</v>
      </c>
      <c r="C1273" s="8" t="s">
        <v>5503</v>
      </c>
      <c r="D1273" s="8" t="s">
        <v>3163</v>
      </c>
      <c r="E1273" s="8" t="s">
        <v>3890</v>
      </c>
      <c r="F1273" s="11" t="s">
        <v>5504</v>
      </c>
      <c r="G1273" s="10"/>
      <c r="H1273" s="10"/>
      <c r="I1273" s="10" t="s">
        <v>4039</v>
      </c>
    </row>
    <row r="1274" spans="1:9" ht="14.25" customHeight="1" x14ac:dyDescent="0.25">
      <c r="A1274" s="7" t="s">
        <v>5505</v>
      </c>
      <c r="B1274" s="8" t="s">
        <v>5506</v>
      </c>
      <c r="C1274" s="8" t="s">
        <v>5507</v>
      </c>
      <c r="D1274" s="8" t="s">
        <v>411</v>
      </c>
      <c r="E1274" s="8" t="s">
        <v>3890</v>
      </c>
      <c r="F1274" s="8"/>
      <c r="G1274" s="10"/>
      <c r="H1274" s="10"/>
      <c r="I1274" s="10" t="s">
        <v>4039</v>
      </c>
    </row>
    <row r="1275" spans="1:9" ht="14.25" customHeight="1" x14ac:dyDescent="0.25">
      <c r="A1275" s="7" t="s">
        <v>5508</v>
      </c>
      <c r="B1275" s="8" t="s">
        <v>659</v>
      </c>
      <c r="C1275" s="8" t="s">
        <v>5509</v>
      </c>
      <c r="D1275" s="8" t="s">
        <v>3163</v>
      </c>
      <c r="E1275" s="8" t="s">
        <v>3890</v>
      </c>
      <c r="F1275" s="11" t="s">
        <v>5510</v>
      </c>
      <c r="G1275" s="10"/>
      <c r="H1275" s="10"/>
      <c r="I1275" s="10"/>
    </row>
    <row r="1276" spans="1:9" ht="14.25" customHeight="1" x14ac:dyDescent="0.25">
      <c r="A1276" s="7" t="s">
        <v>5511</v>
      </c>
      <c r="B1276" s="8" t="s">
        <v>5512</v>
      </c>
      <c r="C1276" s="8" t="s">
        <v>5513</v>
      </c>
      <c r="D1276" s="8" t="s">
        <v>411</v>
      </c>
      <c r="E1276" s="8" t="s">
        <v>3890</v>
      </c>
      <c r="F1276" s="11" t="s">
        <v>5514</v>
      </c>
      <c r="G1276" s="10" t="s">
        <v>5515</v>
      </c>
      <c r="H1276" s="10" t="s">
        <v>2212</v>
      </c>
      <c r="I1276" s="10" t="s">
        <v>4039</v>
      </c>
    </row>
    <row r="1277" spans="1:9" ht="14.25" customHeight="1" x14ac:dyDescent="0.25">
      <c r="A1277" s="7" t="s">
        <v>5516</v>
      </c>
      <c r="B1277" s="8" t="s">
        <v>5517</v>
      </c>
      <c r="C1277" s="8" t="s">
        <v>5518</v>
      </c>
      <c r="D1277" s="8" t="s">
        <v>411</v>
      </c>
      <c r="E1277" s="8" t="s">
        <v>412</v>
      </c>
      <c r="F1277" s="8"/>
      <c r="G1277" s="10"/>
      <c r="H1277" s="10"/>
      <c r="I1277" s="10" t="s">
        <v>3756</v>
      </c>
    </row>
    <row r="1278" spans="1:9" ht="14.25" customHeight="1" x14ac:dyDescent="0.25">
      <c r="A1278" s="7" t="s">
        <v>5519</v>
      </c>
      <c r="B1278" s="8" t="s">
        <v>447</v>
      </c>
      <c r="C1278" s="8" t="s">
        <v>5520</v>
      </c>
      <c r="D1278" s="8" t="s">
        <v>3163</v>
      </c>
      <c r="E1278" s="8" t="s">
        <v>412</v>
      </c>
      <c r="F1278" s="11" t="s">
        <v>5521</v>
      </c>
      <c r="G1278" s="10" t="s">
        <v>5522</v>
      </c>
      <c r="H1278" s="10" t="s">
        <v>37</v>
      </c>
      <c r="I1278" s="10"/>
    </row>
    <row r="1279" spans="1:9" ht="14.25" customHeight="1" x14ac:dyDescent="0.25">
      <c r="A1279" s="7" t="s">
        <v>5523</v>
      </c>
      <c r="B1279" s="8" t="s">
        <v>5524</v>
      </c>
      <c r="C1279" s="8" t="s">
        <v>5525</v>
      </c>
      <c r="D1279" s="8" t="s">
        <v>411</v>
      </c>
      <c r="E1279" s="8" t="s">
        <v>412</v>
      </c>
      <c r="F1279" s="11" t="s">
        <v>5526</v>
      </c>
      <c r="G1279" s="10" t="s">
        <v>5527</v>
      </c>
      <c r="H1279" s="10" t="s">
        <v>72</v>
      </c>
      <c r="I1279" s="10" t="s">
        <v>3756</v>
      </c>
    </row>
    <row r="1280" spans="1:9" ht="14.25" customHeight="1" x14ac:dyDescent="0.25">
      <c r="A1280" s="7" t="s">
        <v>5528</v>
      </c>
      <c r="B1280" s="8" t="s">
        <v>5173</v>
      </c>
      <c r="C1280" s="8" t="s">
        <v>5529</v>
      </c>
      <c r="D1280" s="8" t="s">
        <v>411</v>
      </c>
      <c r="E1280" s="8" t="s">
        <v>412</v>
      </c>
      <c r="F1280" s="11" t="s">
        <v>5530</v>
      </c>
      <c r="G1280" s="10" t="s">
        <v>5531</v>
      </c>
      <c r="H1280" s="10" t="s">
        <v>37</v>
      </c>
      <c r="I1280" s="10" t="s">
        <v>4039</v>
      </c>
    </row>
    <row r="1281" spans="1:9" ht="14.25" customHeight="1" x14ac:dyDescent="0.25">
      <c r="A1281" s="7" t="s">
        <v>5532</v>
      </c>
      <c r="B1281" s="8" t="s">
        <v>5533</v>
      </c>
      <c r="C1281" s="8" t="s">
        <v>5534</v>
      </c>
      <c r="D1281" s="8" t="s">
        <v>411</v>
      </c>
      <c r="E1281" s="8" t="s">
        <v>412</v>
      </c>
      <c r="F1281" s="11" t="s">
        <v>5535</v>
      </c>
      <c r="G1281" s="10" t="s">
        <v>5536</v>
      </c>
      <c r="H1281" s="10" t="s">
        <v>5537</v>
      </c>
      <c r="I1281" s="10" t="s">
        <v>4039</v>
      </c>
    </row>
    <row r="1282" spans="1:9" ht="14.25" customHeight="1" x14ac:dyDescent="0.25">
      <c r="A1282" s="7" t="s">
        <v>5538</v>
      </c>
      <c r="B1282" s="8" t="s">
        <v>4428</v>
      </c>
      <c r="C1282" s="8" t="s">
        <v>5539</v>
      </c>
      <c r="D1282" s="8" t="s">
        <v>3163</v>
      </c>
      <c r="E1282" s="8" t="s">
        <v>3890</v>
      </c>
      <c r="F1282" s="11" t="s">
        <v>5540</v>
      </c>
      <c r="G1282" s="10" t="s">
        <v>5541</v>
      </c>
      <c r="H1282" s="10" t="s">
        <v>37</v>
      </c>
      <c r="I1282" s="10" t="s">
        <v>3756</v>
      </c>
    </row>
    <row r="1283" spans="1:9" ht="14.25" customHeight="1" x14ac:dyDescent="0.25">
      <c r="A1283" s="7" t="s">
        <v>5542</v>
      </c>
      <c r="B1283" s="8" t="s">
        <v>2294</v>
      </c>
      <c r="C1283" s="8" t="s">
        <v>5543</v>
      </c>
      <c r="D1283" s="8" t="s">
        <v>411</v>
      </c>
      <c r="E1283" s="8" t="s">
        <v>3890</v>
      </c>
      <c r="F1283" s="11" t="s">
        <v>5544</v>
      </c>
      <c r="G1283" s="10" t="s">
        <v>5541</v>
      </c>
      <c r="H1283" s="10" t="s">
        <v>37</v>
      </c>
      <c r="I1283" s="10" t="s">
        <v>3756</v>
      </c>
    </row>
    <row r="1284" spans="1:9" ht="14.25" customHeight="1" x14ac:dyDescent="0.25">
      <c r="A1284" s="7" t="s">
        <v>5545</v>
      </c>
      <c r="B1284" s="8" t="s">
        <v>5546</v>
      </c>
      <c r="C1284" s="8" t="s">
        <v>5547</v>
      </c>
      <c r="D1284" s="8" t="s">
        <v>411</v>
      </c>
      <c r="E1284" s="8" t="s">
        <v>412</v>
      </c>
      <c r="F1284" s="11" t="s">
        <v>5548</v>
      </c>
      <c r="G1284" s="10"/>
      <c r="H1284" s="10"/>
      <c r="I1284" s="10" t="s">
        <v>4039</v>
      </c>
    </row>
    <row r="1285" spans="1:9" ht="14.25" customHeight="1" x14ac:dyDescent="0.25">
      <c r="A1285" s="7" t="s">
        <v>5549</v>
      </c>
      <c r="B1285" s="8" t="s">
        <v>4840</v>
      </c>
      <c r="C1285" s="8" t="s">
        <v>5550</v>
      </c>
      <c r="D1285" s="8" t="s">
        <v>411</v>
      </c>
      <c r="E1285" s="8" t="s">
        <v>412</v>
      </c>
      <c r="F1285" s="11" t="s">
        <v>5551</v>
      </c>
      <c r="G1285" s="10"/>
      <c r="H1285" s="10"/>
      <c r="I1285" s="10" t="s">
        <v>4039</v>
      </c>
    </row>
    <row r="1286" spans="1:9" ht="14.25" customHeight="1" x14ac:dyDescent="0.25">
      <c r="A1286" s="7" t="s">
        <v>5552</v>
      </c>
      <c r="B1286" s="8" t="s">
        <v>5553</v>
      </c>
      <c r="C1286" s="8" t="s">
        <v>5554</v>
      </c>
      <c r="D1286" s="8" t="s">
        <v>411</v>
      </c>
      <c r="E1286" s="8" t="s">
        <v>3890</v>
      </c>
      <c r="F1286" s="11" t="s">
        <v>5555</v>
      </c>
      <c r="G1286" s="10"/>
      <c r="H1286" s="10"/>
      <c r="I1286" s="10" t="s">
        <v>4039</v>
      </c>
    </row>
    <row r="1287" spans="1:9" ht="14.25" customHeight="1" x14ac:dyDescent="0.25">
      <c r="A1287" s="7" t="s">
        <v>5556</v>
      </c>
      <c r="B1287" s="8" t="s">
        <v>5557</v>
      </c>
      <c r="C1287" s="8" t="s">
        <v>5558</v>
      </c>
      <c r="D1287" s="8" t="s">
        <v>3163</v>
      </c>
      <c r="E1287" s="8" t="s">
        <v>3890</v>
      </c>
      <c r="F1287" s="8"/>
      <c r="G1287" s="10"/>
      <c r="H1287" s="10"/>
      <c r="I1287" s="10" t="s">
        <v>4039</v>
      </c>
    </row>
    <row r="1288" spans="1:9" ht="14.25" customHeight="1" x14ac:dyDescent="0.25">
      <c r="A1288" s="7" t="s">
        <v>5559</v>
      </c>
      <c r="B1288" s="8" t="s">
        <v>5560</v>
      </c>
      <c r="C1288" s="8" t="s">
        <v>5561</v>
      </c>
      <c r="D1288" s="8" t="s">
        <v>411</v>
      </c>
      <c r="E1288" s="8" t="s">
        <v>412</v>
      </c>
      <c r="F1288" s="8"/>
      <c r="G1288" s="10"/>
      <c r="H1288" s="10"/>
      <c r="I1288" s="10"/>
    </row>
    <row r="1289" spans="1:9" ht="14.25" customHeight="1" x14ac:dyDescent="0.25">
      <c r="A1289" s="7" t="s">
        <v>5562</v>
      </c>
      <c r="B1289" s="8" t="s">
        <v>1463</v>
      </c>
      <c r="C1289" s="8" t="s">
        <v>5563</v>
      </c>
      <c r="D1289" s="8" t="s">
        <v>411</v>
      </c>
      <c r="E1289" s="8" t="s">
        <v>412</v>
      </c>
      <c r="F1289" s="11" t="s">
        <v>5564</v>
      </c>
      <c r="G1289" s="10"/>
      <c r="H1289" s="10"/>
      <c r="I1289" s="10"/>
    </row>
    <row r="1290" spans="1:9" ht="14.25" customHeight="1" x14ac:dyDescent="0.25">
      <c r="A1290" s="7" t="s">
        <v>5565</v>
      </c>
      <c r="B1290" s="8" t="s">
        <v>5566</v>
      </c>
      <c r="C1290" s="8" t="s">
        <v>5567</v>
      </c>
      <c r="D1290" s="8" t="s">
        <v>411</v>
      </c>
      <c r="E1290" s="8" t="s">
        <v>412</v>
      </c>
      <c r="F1290" s="11" t="s">
        <v>5568</v>
      </c>
      <c r="G1290" s="10" t="s">
        <v>5569</v>
      </c>
      <c r="H1290" s="10" t="s">
        <v>5570</v>
      </c>
      <c r="I1290" s="10" t="s">
        <v>4039</v>
      </c>
    </row>
    <row r="1291" spans="1:9" ht="14.25" customHeight="1" x14ac:dyDescent="0.25">
      <c r="A1291" s="7" t="s">
        <v>5571</v>
      </c>
      <c r="B1291" s="8" t="s">
        <v>5572</v>
      </c>
      <c r="C1291" s="8" t="s">
        <v>5573</v>
      </c>
      <c r="D1291" s="8" t="s">
        <v>3163</v>
      </c>
      <c r="E1291" s="8" t="s">
        <v>412</v>
      </c>
      <c r="F1291" s="11" t="s">
        <v>5574</v>
      </c>
      <c r="G1291" s="10" t="s">
        <v>5575</v>
      </c>
      <c r="H1291" s="10" t="s">
        <v>5576</v>
      </c>
      <c r="I1291" s="10" t="s">
        <v>3756</v>
      </c>
    </row>
    <row r="1292" spans="1:9" ht="14.25" customHeight="1" x14ac:dyDescent="0.25">
      <c r="A1292" s="7" t="s">
        <v>5577</v>
      </c>
      <c r="B1292" s="8" t="s">
        <v>5578</v>
      </c>
      <c r="C1292" s="8" t="s">
        <v>5579</v>
      </c>
      <c r="D1292" s="8" t="s">
        <v>411</v>
      </c>
      <c r="E1292" s="8" t="s">
        <v>3890</v>
      </c>
      <c r="F1292" s="11" t="s">
        <v>5580</v>
      </c>
      <c r="G1292" s="10" t="s">
        <v>5581</v>
      </c>
      <c r="H1292" s="10" t="s">
        <v>2212</v>
      </c>
      <c r="I1292" s="10" t="s">
        <v>4039</v>
      </c>
    </row>
    <row r="1293" spans="1:9" ht="14.25" customHeight="1" x14ac:dyDescent="0.25">
      <c r="A1293" s="7" t="s">
        <v>5582</v>
      </c>
      <c r="B1293" s="8" t="s">
        <v>5223</v>
      </c>
      <c r="C1293" s="8" t="s">
        <v>5583</v>
      </c>
      <c r="D1293" s="8" t="s">
        <v>3163</v>
      </c>
      <c r="E1293" s="8" t="s">
        <v>3890</v>
      </c>
      <c r="F1293" s="11" t="s">
        <v>5584</v>
      </c>
      <c r="G1293" s="10" t="s">
        <v>5581</v>
      </c>
      <c r="H1293" s="10" t="s">
        <v>2212</v>
      </c>
      <c r="I1293" s="10" t="s">
        <v>4039</v>
      </c>
    </row>
    <row r="1294" spans="1:9" ht="14.25" customHeight="1" x14ac:dyDescent="0.25">
      <c r="A1294" s="7" t="s">
        <v>5585</v>
      </c>
      <c r="B1294" s="8" t="s">
        <v>5586</v>
      </c>
      <c r="C1294" s="8" t="s">
        <v>5587</v>
      </c>
      <c r="D1294" s="8" t="s">
        <v>411</v>
      </c>
      <c r="E1294" s="8" t="s">
        <v>412</v>
      </c>
      <c r="F1294" s="11" t="s">
        <v>5588</v>
      </c>
      <c r="G1294" s="10"/>
      <c r="H1294" s="10"/>
      <c r="I1294" s="10" t="s">
        <v>4039</v>
      </c>
    </row>
    <row r="1295" spans="1:9" ht="14.25" customHeight="1" x14ac:dyDescent="0.25">
      <c r="A1295" s="7" t="s">
        <v>5589</v>
      </c>
      <c r="B1295" s="8" t="s">
        <v>944</v>
      </c>
      <c r="C1295" s="8" t="s">
        <v>5590</v>
      </c>
      <c r="D1295" s="8" t="s">
        <v>411</v>
      </c>
      <c r="E1295" s="8" t="s">
        <v>412</v>
      </c>
      <c r="F1295" s="11" t="s">
        <v>5591</v>
      </c>
      <c r="G1295" s="10" t="s">
        <v>5592</v>
      </c>
      <c r="H1295" s="10" t="s">
        <v>4272</v>
      </c>
      <c r="I1295" s="10" t="s">
        <v>3756</v>
      </c>
    </row>
    <row r="1296" spans="1:9" ht="14.25" customHeight="1" x14ac:dyDescent="0.25">
      <c r="A1296" s="7" t="s">
        <v>5593</v>
      </c>
      <c r="B1296" s="8" t="s">
        <v>2297</v>
      </c>
      <c r="C1296" s="8" t="s">
        <v>462</v>
      </c>
      <c r="D1296" s="8" t="s">
        <v>411</v>
      </c>
      <c r="E1296" s="8" t="s">
        <v>412</v>
      </c>
      <c r="F1296" s="11" t="s">
        <v>5594</v>
      </c>
      <c r="G1296" s="10"/>
      <c r="H1296" s="10"/>
      <c r="I1296" s="10" t="s">
        <v>4039</v>
      </c>
    </row>
    <row r="1297" spans="1:9" ht="14.25" customHeight="1" x14ac:dyDescent="0.25">
      <c r="A1297" s="7" t="s">
        <v>5595</v>
      </c>
      <c r="B1297" s="8" t="s">
        <v>5596</v>
      </c>
      <c r="C1297" s="8" t="s">
        <v>5597</v>
      </c>
      <c r="D1297" s="8" t="s">
        <v>411</v>
      </c>
      <c r="E1297" s="8" t="s">
        <v>3890</v>
      </c>
      <c r="F1297" s="11" t="s">
        <v>5598</v>
      </c>
      <c r="G1297" s="10" t="s">
        <v>5599</v>
      </c>
      <c r="H1297" s="10" t="s">
        <v>3820</v>
      </c>
      <c r="I1297" s="10" t="s">
        <v>4039</v>
      </c>
    </row>
    <row r="1298" spans="1:9" ht="14.25" customHeight="1" x14ac:dyDescent="0.25">
      <c r="A1298" s="7" t="s">
        <v>5600</v>
      </c>
      <c r="B1298" s="8" t="s">
        <v>5601</v>
      </c>
      <c r="C1298" s="8" t="s">
        <v>5597</v>
      </c>
      <c r="D1298" s="8" t="s">
        <v>3163</v>
      </c>
      <c r="E1298" s="8" t="s">
        <v>3890</v>
      </c>
      <c r="F1298" s="11" t="s">
        <v>5602</v>
      </c>
      <c r="G1298" s="10" t="s">
        <v>5599</v>
      </c>
      <c r="H1298" s="10" t="s">
        <v>3820</v>
      </c>
      <c r="I1298" s="10" t="s">
        <v>4039</v>
      </c>
    </row>
    <row r="1299" spans="1:9" ht="14.25" customHeight="1" x14ac:dyDescent="0.25">
      <c r="A1299" s="7" t="s">
        <v>5603</v>
      </c>
      <c r="B1299" s="8" t="s">
        <v>4191</v>
      </c>
      <c r="C1299" s="8" t="s">
        <v>5604</v>
      </c>
      <c r="D1299" s="8" t="s">
        <v>411</v>
      </c>
      <c r="E1299" s="8" t="s">
        <v>3890</v>
      </c>
      <c r="F1299" s="11" t="s">
        <v>5605</v>
      </c>
      <c r="G1299" s="10" t="s">
        <v>5606</v>
      </c>
      <c r="H1299" s="10" t="s">
        <v>3820</v>
      </c>
      <c r="I1299" s="10" t="s">
        <v>4039</v>
      </c>
    </row>
    <row r="1300" spans="1:9" ht="14.25" customHeight="1" x14ac:dyDescent="0.25">
      <c r="A1300" s="7" t="s">
        <v>5607</v>
      </c>
      <c r="B1300" s="8" t="s">
        <v>5608</v>
      </c>
      <c r="C1300" s="8" t="s">
        <v>5604</v>
      </c>
      <c r="D1300" s="8" t="s">
        <v>3163</v>
      </c>
      <c r="E1300" s="8" t="s">
        <v>3890</v>
      </c>
      <c r="F1300" s="8"/>
      <c r="G1300" s="10" t="s">
        <v>5606</v>
      </c>
      <c r="H1300" s="10" t="s">
        <v>3820</v>
      </c>
      <c r="I1300" s="10" t="s">
        <v>4039</v>
      </c>
    </row>
    <row r="1301" spans="1:9" ht="14.25" customHeight="1" x14ac:dyDescent="0.25">
      <c r="A1301" s="7" t="s">
        <v>5609</v>
      </c>
      <c r="B1301" s="8" t="s">
        <v>3121</v>
      </c>
      <c r="C1301" s="8" t="s">
        <v>5610</v>
      </c>
      <c r="D1301" s="8" t="s">
        <v>411</v>
      </c>
      <c r="E1301" s="8" t="s">
        <v>412</v>
      </c>
      <c r="F1301" s="11" t="s">
        <v>5611</v>
      </c>
      <c r="G1301" s="10" t="s">
        <v>5612</v>
      </c>
      <c r="H1301" s="10" t="s">
        <v>5613</v>
      </c>
      <c r="I1301" s="10" t="s">
        <v>3756</v>
      </c>
    </row>
    <row r="1302" spans="1:9" ht="14.25" customHeight="1" x14ac:dyDescent="0.25">
      <c r="A1302" s="7" t="s">
        <v>5614</v>
      </c>
      <c r="B1302" s="8" t="s">
        <v>2806</v>
      </c>
      <c r="C1302" s="8" t="s">
        <v>5615</v>
      </c>
      <c r="D1302" s="8" t="s">
        <v>3163</v>
      </c>
      <c r="E1302" s="8" t="s">
        <v>412</v>
      </c>
      <c r="F1302" s="11" t="s">
        <v>5616</v>
      </c>
      <c r="G1302" s="10"/>
      <c r="H1302" s="10"/>
      <c r="I1302" s="10" t="s">
        <v>4039</v>
      </c>
    </row>
    <row r="1303" spans="1:9" ht="14.25" customHeight="1" x14ac:dyDescent="0.25">
      <c r="A1303" s="7" t="s">
        <v>5617</v>
      </c>
      <c r="B1303" s="8" t="s">
        <v>5618</v>
      </c>
      <c r="C1303" s="8" t="s">
        <v>5619</v>
      </c>
      <c r="D1303" s="8" t="s">
        <v>411</v>
      </c>
      <c r="E1303" s="8" t="s">
        <v>412</v>
      </c>
      <c r="F1303" s="11" t="s">
        <v>5620</v>
      </c>
      <c r="G1303" s="10"/>
      <c r="H1303" s="10" t="s">
        <v>4951</v>
      </c>
      <c r="I1303" s="10" t="s">
        <v>4039</v>
      </c>
    </row>
    <row r="1304" spans="1:9" ht="14.25" customHeight="1" x14ac:dyDescent="0.25">
      <c r="A1304" s="7" t="s">
        <v>5621</v>
      </c>
      <c r="B1304" s="8" t="s">
        <v>5622</v>
      </c>
      <c r="C1304" s="8" t="s">
        <v>1229</v>
      </c>
      <c r="D1304" s="8" t="s">
        <v>3163</v>
      </c>
      <c r="E1304" s="8" t="s">
        <v>3890</v>
      </c>
      <c r="F1304" s="8"/>
      <c r="G1304" s="10"/>
      <c r="H1304" s="10" t="s">
        <v>4951</v>
      </c>
      <c r="I1304" s="10" t="s">
        <v>4039</v>
      </c>
    </row>
    <row r="1305" spans="1:9" ht="14.25" customHeight="1" x14ac:dyDescent="0.25">
      <c r="A1305" s="7" t="s">
        <v>5623</v>
      </c>
      <c r="B1305" s="8" t="s">
        <v>5624</v>
      </c>
      <c r="C1305" s="8" t="s">
        <v>5625</v>
      </c>
      <c r="D1305" s="8" t="s">
        <v>411</v>
      </c>
      <c r="E1305" s="8" t="s">
        <v>412</v>
      </c>
      <c r="F1305" s="11" t="s">
        <v>5626</v>
      </c>
      <c r="G1305" s="10" t="s">
        <v>5627</v>
      </c>
      <c r="H1305" s="10" t="s">
        <v>4077</v>
      </c>
      <c r="I1305" s="10" t="s">
        <v>4039</v>
      </c>
    </row>
    <row r="1306" spans="1:9" ht="14.25" customHeight="1" x14ac:dyDescent="0.25">
      <c r="A1306" s="7" t="s">
        <v>5628</v>
      </c>
      <c r="B1306" s="8" t="s">
        <v>5629</v>
      </c>
      <c r="C1306" s="8" t="s">
        <v>5630</v>
      </c>
      <c r="D1306" s="8" t="s">
        <v>411</v>
      </c>
      <c r="E1306" s="8" t="s">
        <v>412</v>
      </c>
      <c r="F1306" s="11" t="s">
        <v>5631</v>
      </c>
      <c r="G1306" s="10" t="s">
        <v>5632</v>
      </c>
      <c r="H1306" s="10" t="s">
        <v>4077</v>
      </c>
      <c r="I1306" s="10" t="s">
        <v>4039</v>
      </c>
    </row>
    <row r="1307" spans="1:9" ht="14.25" customHeight="1" x14ac:dyDescent="0.25">
      <c r="A1307" s="7" t="s">
        <v>5633</v>
      </c>
      <c r="B1307" s="8" t="s">
        <v>5634</v>
      </c>
      <c r="C1307" s="8" t="s">
        <v>5635</v>
      </c>
      <c r="D1307" s="8" t="s">
        <v>3163</v>
      </c>
      <c r="E1307" s="8" t="s">
        <v>412</v>
      </c>
      <c r="F1307" s="11" t="s">
        <v>5636</v>
      </c>
      <c r="G1307" s="10" t="s">
        <v>5637</v>
      </c>
      <c r="H1307" s="10" t="s">
        <v>2212</v>
      </c>
      <c r="I1307" s="10" t="s">
        <v>4039</v>
      </c>
    </row>
    <row r="1308" spans="1:9" ht="14.25" customHeight="1" x14ac:dyDescent="0.25">
      <c r="A1308" s="7" t="s">
        <v>5638</v>
      </c>
      <c r="B1308" s="8" t="s">
        <v>754</v>
      </c>
      <c r="C1308" s="8" t="s">
        <v>5639</v>
      </c>
      <c r="D1308" s="8" t="s">
        <v>411</v>
      </c>
      <c r="E1308" s="8" t="s">
        <v>412</v>
      </c>
      <c r="F1308" s="11" t="s">
        <v>5640</v>
      </c>
      <c r="G1308" s="10" t="s">
        <v>5641</v>
      </c>
      <c r="H1308" s="10" t="s">
        <v>5642</v>
      </c>
      <c r="I1308" s="10" t="s">
        <v>4039</v>
      </c>
    </row>
    <row r="1309" spans="1:9" ht="14.25" customHeight="1" x14ac:dyDescent="0.25">
      <c r="A1309" s="7" t="s">
        <v>5643</v>
      </c>
      <c r="B1309" s="8" t="s">
        <v>5644</v>
      </c>
      <c r="C1309" s="8" t="s">
        <v>5645</v>
      </c>
      <c r="D1309" s="8" t="s">
        <v>411</v>
      </c>
      <c r="E1309" s="8" t="s">
        <v>412</v>
      </c>
      <c r="F1309" s="11" t="s">
        <v>5646</v>
      </c>
      <c r="G1309" s="10" t="s">
        <v>5647</v>
      </c>
      <c r="H1309" s="10" t="s">
        <v>15</v>
      </c>
      <c r="I1309" s="10" t="s">
        <v>4039</v>
      </c>
    </row>
    <row r="1310" spans="1:9" ht="14.25" customHeight="1" x14ac:dyDescent="0.25">
      <c r="A1310" s="7" t="s">
        <v>5648</v>
      </c>
      <c r="B1310" s="8" t="s">
        <v>5266</v>
      </c>
      <c r="C1310" s="8" t="s">
        <v>5649</v>
      </c>
      <c r="D1310" s="8" t="s">
        <v>411</v>
      </c>
      <c r="E1310" s="8" t="s">
        <v>412</v>
      </c>
      <c r="F1310" s="11" t="s">
        <v>5650</v>
      </c>
      <c r="G1310" s="10" t="s">
        <v>5651</v>
      </c>
      <c r="H1310" s="10" t="s">
        <v>5652</v>
      </c>
      <c r="I1310" s="10" t="s">
        <v>4039</v>
      </c>
    </row>
    <row r="1311" spans="1:9" ht="14.25" customHeight="1" x14ac:dyDescent="0.25">
      <c r="A1311" s="7" t="s">
        <v>5653</v>
      </c>
      <c r="B1311" s="8" t="s">
        <v>5654</v>
      </c>
      <c r="C1311" s="8" t="s">
        <v>4034</v>
      </c>
      <c r="D1311" s="8" t="s">
        <v>411</v>
      </c>
      <c r="E1311" s="8" t="s">
        <v>3890</v>
      </c>
      <c r="F1311" s="11" t="s">
        <v>5655</v>
      </c>
      <c r="G1311" s="10" t="s">
        <v>5656</v>
      </c>
      <c r="H1311" s="10" t="s">
        <v>5657</v>
      </c>
      <c r="I1311" s="10" t="s">
        <v>4039</v>
      </c>
    </row>
    <row r="1312" spans="1:9" ht="14.25" customHeight="1" x14ac:dyDescent="0.25">
      <c r="A1312" s="7" t="s">
        <v>5658</v>
      </c>
      <c r="B1312" s="8" t="s">
        <v>659</v>
      </c>
      <c r="C1312" s="8" t="s">
        <v>4034</v>
      </c>
      <c r="D1312" s="8" t="s">
        <v>3163</v>
      </c>
      <c r="E1312" s="8" t="s">
        <v>4254</v>
      </c>
      <c r="F1312" s="11" t="s">
        <v>5655</v>
      </c>
      <c r="G1312" s="10" t="s">
        <v>5656</v>
      </c>
      <c r="H1312" s="10" t="s">
        <v>5657</v>
      </c>
      <c r="I1312" s="10" t="s">
        <v>4039</v>
      </c>
    </row>
    <row r="1313" spans="1:9" ht="14.25" customHeight="1" x14ac:dyDescent="0.25">
      <c r="A1313" s="7" t="s">
        <v>5659</v>
      </c>
      <c r="B1313" s="8" t="s">
        <v>1970</v>
      </c>
      <c r="C1313" s="8" t="s">
        <v>5660</v>
      </c>
      <c r="D1313" s="8" t="s">
        <v>411</v>
      </c>
      <c r="E1313" s="8" t="s">
        <v>412</v>
      </c>
      <c r="F1313" s="11" t="s">
        <v>5661</v>
      </c>
      <c r="G1313" s="10" t="s">
        <v>5662</v>
      </c>
      <c r="H1313" s="10" t="s">
        <v>5570</v>
      </c>
      <c r="I1313" s="10" t="s">
        <v>3756</v>
      </c>
    </row>
    <row r="1314" spans="1:9" ht="14.25" customHeight="1" x14ac:dyDescent="0.25">
      <c r="A1314" s="7" t="s">
        <v>5663</v>
      </c>
      <c r="B1314" s="8" t="s">
        <v>3781</v>
      </c>
      <c r="C1314" s="8" t="s">
        <v>4548</v>
      </c>
      <c r="D1314" s="8" t="s">
        <v>411</v>
      </c>
      <c r="E1314" s="8" t="s">
        <v>412</v>
      </c>
      <c r="F1314" s="11" t="s">
        <v>5664</v>
      </c>
      <c r="G1314" s="10" t="s">
        <v>5665</v>
      </c>
      <c r="H1314" s="10" t="s">
        <v>20</v>
      </c>
      <c r="I1314" s="10" t="s">
        <v>3756</v>
      </c>
    </row>
    <row r="1315" spans="1:9" ht="14.25" customHeight="1" x14ac:dyDescent="0.25">
      <c r="A1315" s="7" t="s">
        <v>5666</v>
      </c>
      <c r="B1315" s="8" t="s">
        <v>5667</v>
      </c>
      <c r="C1315" s="8" t="s">
        <v>5668</v>
      </c>
      <c r="D1315" s="8" t="s">
        <v>3163</v>
      </c>
      <c r="E1315" s="8" t="s">
        <v>412</v>
      </c>
      <c r="F1315" s="11" t="s">
        <v>5669</v>
      </c>
      <c r="G1315" s="10" t="s">
        <v>5670</v>
      </c>
      <c r="H1315" s="10" t="s">
        <v>5213</v>
      </c>
      <c r="I1315" s="10" t="s">
        <v>3756</v>
      </c>
    </row>
    <row r="1316" spans="1:9" ht="14.25" customHeight="1" x14ac:dyDescent="0.25">
      <c r="A1316" s="7" t="s">
        <v>5671</v>
      </c>
      <c r="B1316" s="8" t="s">
        <v>5672</v>
      </c>
      <c r="C1316" s="8" t="s">
        <v>5673</v>
      </c>
      <c r="D1316" s="8" t="s">
        <v>411</v>
      </c>
      <c r="E1316" s="8" t="s">
        <v>412</v>
      </c>
      <c r="F1316" s="11" t="s">
        <v>5674</v>
      </c>
      <c r="G1316" s="10" t="s">
        <v>5675</v>
      </c>
      <c r="H1316" s="10" t="s">
        <v>92</v>
      </c>
      <c r="I1316" s="10" t="s">
        <v>4039</v>
      </c>
    </row>
    <row r="1317" spans="1:9" ht="14.25" customHeight="1" x14ac:dyDescent="0.25">
      <c r="A1317" s="7" t="s">
        <v>5676</v>
      </c>
      <c r="B1317" s="8" t="s">
        <v>4578</v>
      </c>
      <c r="C1317" s="8" t="s">
        <v>3803</v>
      </c>
      <c r="D1317" s="8" t="s">
        <v>411</v>
      </c>
      <c r="E1317" s="8" t="s">
        <v>412</v>
      </c>
      <c r="F1317" s="11" t="s">
        <v>5677</v>
      </c>
      <c r="G1317" s="10" t="s">
        <v>5678</v>
      </c>
      <c r="H1317" s="10" t="s">
        <v>2212</v>
      </c>
      <c r="I1317" s="10" t="s">
        <v>5347</v>
      </c>
    </row>
    <row r="1318" spans="1:9" ht="14.25" customHeight="1" x14ac:dyDescent="0.25">
      <c r="A1318" s="7" t="s">
        <v>5679</v>
      </c>
      <c r="B1318" s="8" t="s">
        <v>3718</v>
      </c>
      <c r="C1318" s="8" t="s">
        <v>5680</v>
      </c>
      <c r="D1318" s="8" t="s">
        <v>411</v>
      </c>
      <c r="E1318" s="8" t="s">
        <v>412</v>
      </c>
      <c r="F1318" s="11" t="s">
        <v>5681</v>
      </c>
      <c r="I1318" s="10" t="s">
        <v>4039</v>
      </c>
    </row>
    <row r="1319" spans="1:9" ht="14.25" customHeight="1" x14ac:dyDescent="0.25">
      <c r="A1319" s="7" t="s">
        <v>5682</v>
      </c>
      <c r="B1319" s="8" t="s">
        <v>5683</v>
      </c>
      <c r="C1319" s="8" t="s">
        <v>5684</v>
      </c>
      <c r="D1319" s="8" t="s">
        <v>411</v>
      </c>
      <c r="E1319" s="8" t="s">
        <v>412</v>
      </c>
      <c r="F1319" s="11" t="s">
        <v>5685</v>
      </c>
      <c r="G1319" s="10" t="s">
        <v>5686</v>
      </c>
      <c r="H1319" s="10" t="s">
        <v>37</v>
      </c>
      <c r="I1319" s="10" t="s">
        <v>5347</v>
      </c>
    </row>
    <row r="1320" spans="1:9" ht="14.25" customHeight="1" x14ac:dyDescent="0.25">
      <c r="A1320" s="7" t="s">
        <v>5687</v>
      </c>
      <c r="B1320" s="8" t="s">
        <v>2230</v>
      </c>
      <c r="C1320" s="8" t="s">
        <v>5509</v>
      </c>
      <c r="D1320" s="8" t="s">
        <v>411</v>
      </c>
      <c r="E1320" s="8" t="s">
        <v>412</v>
      </c>
      <c r="F1320" s="11" t="s">
        <v>5688</v>
      </c>
      <c r="G1320" s="10" t="s">
        <v>5689</v>
      </c>
      <c r="H1320" s="10" t="s">
        <v>2212</v>
      </c>
      <c r="I1320" s="10" t="s">
        <v>3756</v>
      </c>
    </row>
    <row r="1321" spans="1:9" ht="14.25" customHeight="1" x14ac:dyDescent="0.25">
      <c r="A1321" s="7" t="s">
        <v>5690</v>
      </c>
      <c r="B1321" s="8" t="s">
        <v>1402</v>
      </c>
      <c r="C1321" s="8" t="s">
        <v>1134</v>
      </c>
      <c r="D1321" s="8" t="s">
        <v>411</v>
      </c>
      <c r="E1321" s="8" t="s">
        <v>412</v>
      </c>
      <c r="F1321" s="11" t="s">
        <v>5691</v>
      </c>
      <c r="G1321" s="10" t="s">
        <v>5692</v>
      </c>
      <c r="H1321" s="10" t="s">
        <v>92</v>
      </c>
      <c r="I1321" s="10" t="s">
        <v>4039</v>
      </c>
    </row>
    <row r="1322" spans="1:9" ht="14.25" customHeight="1" x14ac:dyDescent="0.25">
      <c r="A1322" s="7" t="s">
        <v>5693</v>
      </c>
      <c r="B1322" s="8" t="s">
        <v>5694</v>
      </c>
      <c r="C1322" s="8" t="s">
        <v>5695</v>
      </c>
      <c r="D1322" s="8" t="s">
        <v>3163</v>
      </c>
      <c r="E1322" s="8" t="s">
        <v>412</v>
      </c>
      <c r="F1322" s="11" t="s">
        <v>5696</v>
      </c>
      <c r="G1322" s="10" t="s">
        <v>5697</v>
      </c>
      <c r="H1322" s="10" t="s">
        <v>5213</v>
      </c>
      <c r="I1322" s="10" t="s">
        <v>3756</v>
      </c>
    </row>
    <row r="1323" spans="1:9" ht="14.25" customHeight="1" x14ac:dyDescent="0.25">
      <c r="A1323" s="7" t="s">
        <v>5698</v>
      </c>
      <c r="B1323" s="8" t="s">
        <v>5699</v>
      </c>
      <c r="C1323" s="8" t="s">
        <v>5700</v>
      </c>
      <c r="D1323" s="8" t="s">
        <v>3163</v>
      </c>
      <c r="E1323" s="8" t="s">
        <v>3890</v>
      </c>
      <c r="F1323" s="11" t="s">
        <v>5701</v>
      </c>
      <c r="G1323" s="10" t="s">
        <v>5702</v>
      </c>
      <c r="H1323" s="10" t="s">
        <v>3618</v>
      </c>
      <c r="I1323" s="10" t="s">
        <v>4404</v>
      </c>
    </row>
    <row r="1324" spans="1:9" ht="14.25" customHeight="1" x14ac:dyDescent="0.25">
      <c r="A1324" s="7" t="s">
        <v>5703</v>
      </c>
      <c r="B1324" s="8" t="s">
        <v>5704</v>
      </c>
      <c r="C1324" s="8" t="s">
        <v>5705</v>
      </c>
      <c r="D1324" s="8" t="s">
        <v>411</v>
      </c>
      <c r="E1324" s="8" t="s">
        <v>3890</v>
      </c>
    </row>
    <row r="1325" spans="1:9" ht="14.25" customHeight="1" x14ac:dyDescent="0.25">
      <c r="A1325" s="7" t="s">
        <v>5706</v>
      </c>
      <c r="B1325" s="8" t="s">
        <v>276</v>
      </c>
      <c r="C1325" s="8" t="s">
        <v>5707</v>
      </c>
      <c r="D1325" s="8"/>
      <c r="E1325" s="8" t="s">
        <v>412</v>
      </c>
      <c r="F1325" s="11" t="s">
        <v>5708</v>
      </c>
      <c r="G1325" s="10" t="s">
        <v>5709</v>
      </c>
      <c r="H1325" s="10" t="s">
        <v>20</v>
      </c>
      <c r="I1325" s="10" t="s">
        <v>4039</v>
      </c>
    </row>
    <row r="1326" spans="1:9" ht="14.25" customHeight="1" x14ac:dyDescent="0.25">
      <c r="A1326" s="7" t="s">
        <v>5710</v>
      </c>
      <c r="B1326" s="8" t="s">
        <v>5711</v>
      </c>
      <c r="C1326" s="8" t="s">
        <v>5712</v>
      </c>
      <c r="D1326" s="8" t="s">
        <v>3163</v>
      </c>
      <c r="E1326" s="8" t="s">
        <v>412</v>
      </c>
      <c r="F1326" s="11" t="s">
        <v>5713</v>
      </c>
      <c r="G1326" s="10" t="s">
        <v>5714</v>
      </c>
      <c r="H1326" s="10" t="s">
        <v>4199</v>
      </c>
      <c r="I1326" s="10" t="s">
        <v>4039</v>
      </c>
    </row>
    <row r="1327" spans="1:9" ht="14.25" customHeight="1" x14ac:dyDescent="0.25">
      <c r="A1327" s="7" t="s">
        <v>5715</v>
      </c>
      <c r="B1327" s="8" t="s">
        <v>1912</v>
      </c>
      <c r="C1327" s="8" t="s">
        <v>5716</v>
      </c>
      <c r="D1327" s="8" t="s">
        <v>3163</v>
      </c>
      <c r="E1327" s="8" t="s">
        <v>412</v>
      </c>
      <c r="F1327" s="11" t="s">
        <v>5717</v>
      </c>
      <c r="G1327" s="10" t="s">
        <v>5718</v>
      </c>
      <c r="H1327" s="10" t="s">
        <v>37</v>
      </c>
      <c r="I1327" s="10" t="s">
        <v>3756</v>
      </c>
    </row>
    <row r="1328" spans="1:9" ht="14.25" customHeight="1" x14ac:dyDescent="0.25">
      <c r="A1328" s="7" t="s">
        <v>5719</v>
      </c>
      <c r="B1328" s="8" t="s">
        <v>1463</v>
      </c>
      <c r="C1328" s="8" t="s">
        <v>5720</v>
      </c>
      <c r="D1328" s="8" t="s">
        <v>411</v>
      </c>
      <c r="E1328" s="8" t="s">
        <v>412</v>
      </c>
      <c r="F1328" s="11" t="s">
        <v>5721</v>
      </c>
      <c r="G1328" s="10" t="s">
        <v>5722</v>
      </c>
      <c r="H1328" s="10" t="s">
        <v>72</v>
      </c>
      <c r="I1328" s="10" t="s">
        <v>4039</v>
      </c>
    </row>
    <row r="1329" spans="1:9" ht="14.25" customHeight="1" x14ac:dyDescent="0.25">
      <c r="A1329" s="7" t="s">
        <v>5723</v>
      </c>
      <c r="B1329" s="8" t="s">
        <v>5724</v>
      </c>
      <c r="C1329" s="8" t="s">
        <v>5725</v>
      </c>
      <c r="D1329" s="8" t="s">
        <v>411</v>
      </c>
      <c r="E1329" s="8" t="s">
        <v>412</v>
      </c>
      <c r="F1329" s="11" t="s">
        <v>5726</v>
      </c>
      <c r="G1329" s="10" t="s">
        <v>5727</v>
      </c>
      <c r="H1329" s="10" t="s">
        <v>15</v>
      </c>
      <c r="I1329" s="10" t="s">
        <v>3756</v>
      </c>
    </row>
    <row r="1330" spans="1:9" ht="14.25" customHeight="1" x14ac:dyDescent="0.25">
      <c r="A1330" s="7" t="s">
        <v>5728</v>
      </c>
      <c r="B1330" s="8" t="s">
        <v>4286</v>
      </c>
      <c r="C1330" s="8" t="s">
        <v>1134</v>
      </c>
      <c r="D1330" s="8" t="s">
        <v>3163</v>
      </c>
      <c r="E1330" s="8" t="s">
        <v>412</v>
      </c>
      <c r="F1330" s="11" t="s">
        <v>5729</v>
      </c>
      <c r="G1330" s="10" t="s">
        <v>5730</v>
      </c>
      <c r="H1330" s="10" t="s">
        <v>25</v>
      </c>
      <c r="I1330" s="10" t="s">
        <v>3756</v>
      </c>
    </row>
    <row r="1331" spans="1:9" ht="14.25" customHeight="1" x14ac:dyDescent="0.25">
      <c r="A1331" s="7" t="s">
        <v>5731</v>
      </c>
      <c r="B1331" s="8" t="s">
        <v>2899</v>
      </c>
      <c r="C1331" s="8" t="s">
        <v>5732</v>
      </c>
      <c r="D1331" s="8" t="s">
        <v>411</v>
      </c>
      <c r="E1331" s="8" t="s">
        <v>412</v>
      </c>
      <c r="F1331" s="11" t="s">
        <v>5733</v>
      </c>
      <c r="G1331" s="10" t="s">
        <v>5734</v>
      </c>
      <c r="H1331" s="10" t="s">
        <v>4026</v>
      </c>
      <c r="I1331" s="10" t="s">
        <v>4039</v>
      </c>
    </row>
    <row r="1332" spans="1:9" ht="14.25" customHeight="1" x14ac:dyDescent="0.25">
      <c r="A1332" s="7" t="s">
        <v>5735</v>
      </c>
      <c r="B1332" s="8" t="s">
        <v>5365</v>
      </c>
      <c r="C1332" s="8" t="s">
        <v>5736</v>
      </c>
      <c r="D1332" s="8" t="s">
        <v>3163</v>
      </c>
      <c r="E1332" s="8" t="s">
        <v>412</v>
      </c>
      <c r="F1332" s="11" t="s">
        <v>5737</v>
      </c>
      <c r="G1332" s="10" t="s">
        <v>5738</v>
      </c>
      <c r="H1332" s="10" t="s">
        <v>5739</v>
      </c>
      <c r="I1332" s="10" t="s">
        <v>4039</v>
      </c>
    </row>
    <row r="1333" spans="1:9" ht="14.25" customHeight="1" x14ac:dyDescent="0.25">
      <c r="A1333" s="7" t="s">
        <v>5740</v>
      </c>
      <c r="B1333" s="8" t="s">
        <v>1912</v>
      </c>
      <c r="C1333" s="8" t="s">
        <v>2784</v>
      </c>
      <c r="D1333" s="8" t="s">
        <v>3163</v>
      </c>
      <c r="E1333" s="8" t="s">
        <v>412</v>
      </c>
      <c r="F1333" s="11" t="s">
        <v>5741</v>
      </c>
      <c r="G1333" s="10" t="s">
        <v>5742</v>
      </c>
      <c r="H1333" s="10" t="s">
        <v>5570</v>
      </c>
      <c r="I1333" s="10" t="s">
        <v>4039</v>
      </c>
    </row>
    <row r="1334" spans="1:9" ht="14.25" customHeight="1" x14ac:dyDescent="0.25">
      <c r="A1334" s="7" t="s">
        <v>5743</v>
      </c>
      <c r="B1334" s="8" t="s">
        <v>5744</v>
      </c>
      <c r="C1334" s="8" t="s">
        <v>5745</v>
      </c>
      <c r="D1334" s="8"/>
      <c r="E1334" s="8" t="s">
        <v>412</v>
      </c>
      <c r="F1334" s="11" t="s">
        <v>5746</v>
      </c>
      <c r="G1334" s="10" t="s">
        <v>5747</v>
      </c>
      <c r="H1334" s="10" t="s">
        <v>25</v>
      </c>
      <c r="I1334" s="10" t="s">
        <v>3756</v>
      </c>
    </row>
    <row r="1335" spans="1:9" ht="14.25" customHeight="1" x14ac:dyDescent="0.25">
      <c r="A1335" s="7" t="s">
        <v>5748</v>
      </c>
      <c r="B1335" s="8" t="s">
        <v>5749</v>
      </c>
      <c r="C1335" s="8" t="s">
        <v>5750</v>
      </c>
      <c r="D1335" s="8"/>
      <c r="E1335" s="8" t="s">
        <v>412</v>
      </c>
      <c r="F1335" s="11" t="s">
        <v>5751</v>
      </c>
      <c r="G1335" s="10" t="s">
        <v>5752</v>
      </c>
      <c r="H1335" s="10" t="s">
        <v>4059</v>
      </c>
      <c r="I1335" s="10" t="s">
        <v>3756</v>
      </c>
    </row>
    <row r="1336" spans="1:9" ht="14.25" customHeight="1" x14ac:dyDescent="0.25">
      <c r="A1336" s="7" t="s">
        <v>5753</v>
      </c>
      <c r="B1336" s="8" t="s">
        <v>5754</v>
      </c>
      <c r="C1336" s="8" t="s">
        <v>1490</v>
      </c>
      <c r="D1336" s="8" t="s">
        <v>3163</v>
      </c>
      <c r="E1336" s="8" t="s">
        <v>412</v>
      </c>
    </row>
    <row r="1337" spans="1:9" ht="14.25" customHeight="1" x14ac:dyDescent="0.25">
      <c r="A1337" s="7" t="s">
        <v>5755</v>
      </c>
      <c r="B1337" s="8" t="s">
        <v>5756</v>
      </c>
      <c r="C1337" s="8" t="s">
        <v>5757</v>
      </c>
      <c r="D1337" s="8"/>
      <c r="E1337" s="8" t="s">
        <v>412</v>
      </c>
      <c r="F1337" s="11" t="s">
        <v>5758</v>
      </c>
      <c r="G1337" s="10" t="s">
        <v>5759</v>
      </c>
      <c r="H1337" s="23">
        <v>68220</v>
      </c>
      <c r="I1337" s="10" t="s">
        <v>3756</v>
      </c>
    </row>
    <row r="1338" spans="1:9" ht="14.25" customHeight="1" x14ac:dyDescent="0.25">
      <c r="A1338" s="7" t="s">
        <v>5760</v>
      </c>
      <c r="B1338" s="8" t="s">
        <v>2950</v>
      </c>
      <c r="C1338" s="8" t="s">
        <v>5761</v>
      </c>
      <c r="D1338" s="8" t="s">
        <v>411</v>
      </c>
      <c r="E1338" s="8" t="s">
        <v>412</v>
      </c>
      <c r="F1338" s="11" t="s">
        <v>5762</v>
      </c>
      <c r="G1338" s="10" t="s">
        <v>5763</v>
      </c>
      <c r="H1338" s="23" t="s">
        <v>4951</v>
      </c>
      <c r="I1338" s="10" t="s">
        <v>3756</v>
      </c>
    </row>
    <row r="1339" spans="1:9" ht="14.25" customHeight="1" x14ac:dyDescent="0.25">
      <c r="A1339" s="7" t="s">
        <v>5764</v>
      </c>
      <c r="B1339" s="8" t="s">
        <v>5765</v>
      </c>
      <c r="C1339" s="8" t="s">
        <v>5766</v>
      </c>
      <c r="D1339" s="8" t="s">
        <v>411</v>
      </c>
      <c r="E1339" s="8" t="s">
        <v>412</v>
      </c>
      <c r="F1339" s="11" t="s">
        <v>5767</v>
      </c>
      <c r="G1339" s="10" t="s">
        <v>5768</v>
      </c>
      <c r="H1339" s="8" t="s">
        <v>4199</v>
      </c>
      <c r="I1339" s="10" t="s">
        <v>3756</v>
      </c>
    </row>
    <row r="1340" spans="1:9" ht="14.25" customHeight="1" x14ac:dyDescent="0.25">
      <c r="A1340" s="7" t="s">
        <v>5769</v>
      </c>
      <c r="B1340" s="8" t="s">
        <v>630</v>
      </c>
      <c r="C1340" s="8" t="s">
        <v>486</v>
      </c>
      <c r="D1340" s="8" t="s">
        <v>411</v>
      </c>
      <c r="E1340" s="8" t="s">
        <v>412</v>
      </c>
      <c r="F1340" s="11" t="s">
        <v>5770</v>
      </c>
      <c r="G1340" s="10" t="s">
        <v>5771</v>
      </c>
      <c r="H1340" s="8" t="s">
        <v>5772</v>
      </c>
      <c r="I1340" s="10" t="s">
        <v>5347</v>
      </c>
    </row>
    <row r="1341" spans="1:9" ht="14.25" customHeight="1" x14ac:dyDescent="0.25">
      <c r="A1341" s="7" t="s">
        <v>5773</v>
      </c>
      <c r="B1341" s="8" t="s">
        <v>4994</v>
      </c>
      <c r="C1341" s="8" t="s">
        <v>5774</v>
      </c>
      <c r="D1341" s="8" t="s">
        <v>3163</v>
      </c>
      <c r="E1341" s="8" t="s">
        <v>412</v>
      </c>
      <c r="F1341" s="11" t="s">
        <v>5775</v>
      </c>
      <c r="G1341" s="10" t="s">
        <v>5776</v>
      </c>
      <c r="H1341" s="23" t="s">
        <v>3820</v>
      </c>
      <c r="I1341" s="10" t="s">
        <v>3756</v>
      </c>
    </row>
    <row r="1342" spans="1:9" ht="14.25" customHeight="1" x14ac:dyDescent="0.25">
      <c r="A1342" s="7" t="s">
        <v>5777</v>
      </c>
      <c r="B1342" s="8" t="s">
        <v>1375</v>
      </c>
      <c r="C1342" s="8" t="s">
        <v>5778</v>
      </c>
      <c r="D1342" s="8" t="s">
        <v>411</v>
      </c>
      <c r="E1342" s="8" t="s">
        <v>412</v>
      </c>
      <c r="F1342" s="11" t="s">
        <v>5779</v>
      </c>
      <c r="G1342" s="10" t="s">
        <v>5780</v>
      </c>
      <c r="H1342" s="8" t="s">
        <v>49</v>
      </c>
      <c r="I1342" s="10" t="s">
        <v>3756</v>
      </c>
    </row>
    <row r="1343" spans="1:9" ht="14.25" customHeight="1" x14ac:dyDescent="0.25">
      <c r="A1343" s="7" t="s">
        <v>5781</v>
      </c>
      <c r="B1343" s="8" t="s">
        <v>5782</v>
      </c>
      <c r="C1343" s="8" t="s">
        <v>5783</v>
      </c>
      <c r="D1343" s="8" t="s">
        <v>411</v>
      </c>
      <c r="E1343" s="8" t="s">
        <v>412</v>
      </c>
      <c r="F1343" s="11" t="s">
        <v>5784</v>
      </c>
      <c r="G1343" s="10" t="s">
        <v>5785</v>
      </c>
      <c r="H1343" s="23" t="s">
        <v>15</v>
      </c>
      <c r="I1343" s="10" t="s">
        <v>3756</v>
      </c>
    </row>
    <row r="1344" spans="1:9" ht="14.25" customHeight="1" x14ac:dyDescent="0.25">
      <c r="A1344" s="7" t="s">
        <v>5786</v>
      </c>
      <c r="B1344" s="8" t="s">
        <v>5787</v>
      </c>
      <c r="C1344" s="8" t="s">
        <v>5788</v>
      </c>
      <c r="D1344" s="8"/>
      <c r="E1344" s="8" t="s">
        <v>412</v>
      </c>
      <c r="F1344" s="11" t="s">
        <v>5789</v>
      </c>
      <c r="G1344" s="10" t="s">
        <v>5790</v>
      </c>
      <c r="H1344" s="8" t="s">
        <v>4077</v>
      </c>
      <c r="I1344" s="10" t="s">
        <v>4039</v>
      </c>
    </row>
    <row r="1345" spans="1:9" ht="14.25" customHeight="1" x14ac:dyDescent="0.25">
      <c r="A1345" s="7" t="s">
        <v>5791</v>
      </c>
      <c r="B1345" s="8" t="s">
        <v>5792</v>
      </c>
      <c r="C1345" s="8" t="s">
        <v>5793</v>
      </c>
      <c r="D1345" s="8" t="s">
        <v>411</v>
      </c>
      <c r="E1345" s="8" t="s">
        <v>412</v>
      </c>
      <c r="F1345" s="11" t="s">
        <v>5794</v>
      </c>
      <c r="G1345" s="10" t="s">
        <v>5795</v>
      </c>
      <c r="H1345" s="8" t="s">
        <v>25</v>
      </c>
      <c r="I1345" s="10" t="s">
        <v>4039</v>
      </c>
    </row>
    <row r="1346" spans="1:9" ht="14.25" customHeight="1" x14ac:dyDescent="0.25">
      <c r="A1346" s="7" t="s">
        <v>5796</v>
      </c>
      <c r="B1346" s="8" t="s">
        <v>5797</v>
      </c>
      <c r="C1346" s="8" t="s">
        <v>5798</v>
      </c>
      <c r="D1346" s="8" t="s">
        <v>411</v>
      </c>
      <c r="E1346" s="8" t="s">
        <v>412</v>
      </c>
      <c r="F1346" s="11" t="s">
        <v>5799</v>
      </c>
      <c r="G1346" s="10" t="s">
        <v>5800</v>
      </c>
      <c r="H1346" s="8" t="s">
        <v>5801</v>
      </c>
      <c r="I1346" s="10" t="s">
        <v>5347</v>
      </c>
    </row>
    <row r="1347" spans="1:9" ht="14.25" customHeight="1" x14ac:dyDescent="0.25">
      <c r="A1347" s="7" t="s">
        <v>5802</v>
      </c>
      <c r="B1347" s="8" t="s">
        <v>2601</v>
      </c>
      <c r="C1347" s="8" t="s">
        <v>5803</v>
      </c>
      <c r="D1347" s="8" t="s">
        <v>3163</v>
      </c>
      <c r="E1347" s="8" t="s">
        <v>412</v>
      </c>
      <c r="F1347" s="11" t="s">
        <v>5804</v>
      </c>
      <c r="G1347" s="10" t="s">
        <v>5805</v>
      </c>
      <c r="H1347" s="8" t="s">
        <v>49</v>
      </c>
      <c r="I1347" s="10" t="s">
        <v>3756</v>
      </c>
    </row>
    <row r="1348" spans="1:9" ht="14.25" customHeight="1" x14ac:dyDescent="0.25">
      <c r="A1348" s="7" t="s">
        <v>5806</v>
      </c>
      <c r="B1348" s="8" t="s">
        <v>1375</v>
      </c>
      <c r="C1348" s="8" t="s">
        <v>726</v>
      </c>
      <c r="D1348" s="8" t="s">
        <v>411</v>
      </c>
      <c r="E1348" s="8" t="s">
        <v>412</v>
      </c>
      <c r="F1348" s="11" t="s">
        <v>5807</v>
      </c>
      <c r="G1348" s="10" t="s">
        <v>5808</v>
      </c>
      <c r="H1348" s="8" t="s">
        <v>4651</v>
      </c>
      <c r="I1348" s="10" t="s">
        <v>3756</v>
      </c>
    </row>
    <row r="1349" spans="1:9" ht="14.25" customHeight="1" x14ac:dyDescent="0.25">
      <c r="A1349" s="7" t="s">
        <v>5809</v>
      </c>
      <c r="B1349" s="8" t="s">
        <v>5810</v>
      </c>
      <c r="C1349" s="8" t="s">
        <v>5811</v>
      </c>
      <c r="D1349" s="8" t="s">
        <v>411</v>
      </c>
      <c r="E1349" s="8" t="s">
        <v>412</v>
      </c>
      <c r="F1349" s="11" t="s">
        <v>5812</v>
      </c>
      <c r="G1349" s="10" t="s">
        <v>5813</v>
      </c>
      <c r="H1349" s="8" t="s">
        <v>5814</v>
      </c>
      <c r="I1349" s="10" t="s">
        <v>4039</v>
      </c>
    </row>
    <row r="1350" spans="1:9" ht="14.25" customHeight="1" x14ac:dyDescent="0.25">
      <c r="A1350" s="7" t="s">
        <v>5815</v>
      </c>
      <c r="B1350" s="8" t="s">
        <v>5816</v>
      </c>
      <c r="C1350" s="8" t="s">
        <v>5817</v>
      </c>
      <c r="D1350" s="8" t="s">
        <v>411</v>
      </c>
      <c r="E1350" s="8" t="s">
        <v>412</v>
      </c>
      <c r="F1350" s="11" t="s">
        <v>5818</v>
      </c>
      <c r="G1350" s="10" t="s">
        <v>5819</v>
      </c>
      <c r="H1350" s="23" t="s">
        <v>5820</v>
      </c>
      <c r="I1350" s="10" t="s">
        <v>3756</v>
      </c>
    </row>
    <row r="1351" spans="1:9" ht="14.25" customHeight="1" x14ac:dyDescent="0.25">
      <c r="A1351" s="7" t="s">
        <v>5821</v>
      </c>
      <c r="B1351" s="8" t="s">
        <v>3138</v>
      </c>
      <c r="C1351" s="8" t="s">
        <v>1173</v>
      </c>
      <c r="D1351" s="8" t="s">
        <v>3163</v>
      </c>
      <c r="E1351" s="8" t="s">
        <v>412</v>
      </c>
      <c r="F1351" s="11" t="s">
        <v>5822</v>
      </c>
      <c r="G1351" s="10" t="s">
        <v>5823</v>
      </c>
      <c r="H1351" s="8" t="s">
        <v>15</v>
      </c>
      <c r="I1351" s="10" t="s">
        <v>3756</v>
      </c>
    </row>
    <row r="1352" spans="1:9" ht="14.25" customHeight="1" x14ac:dyDescent="0.25">
      <c r="A1352" s="7" t="s">
        <v>5824</v>
      </c>
      <c r="B1352" s="8" t="s">
        <v>4053</v>
      </c>
      <c r="C1352" s="8" t="s">
        <v>5825</v>
      </c>
      <c r="D1352" s="8" t="s">
        <v>3163</v>
      </c>
      <c r="E1352" s="8" t="s">
        <v>412</v>
      </c>
      <c r="F1352" s="11" t="s">
        <v>5826</v>
      </c>
      <c r="G1352" s="10" t="s">
        <v>5827</v>
      </c>
      <c r="H1352" s="23" t="s">
        <v>5739</v>
      </c>
      <c r="I1352" s="10" t="s">
        <v>4039</v>
      </c>
    </row>
    <row r="1353" spans="1:9" ht="14.25" customHeight="1" x14ac:dyDescent="0.25">
      <c r="A1353" s="7" t="s">
        <v>5828</v>
      </c>
      <c r="B1353" s="8" t="s">
        <v>3623</v>
      </c>
      <c r="C1353" s="8" t="s">
        <v>5829</v>
      </c>
      <c r="D1353" s="8" t="s">
        <v>411</v>
      </c>
      <c r="E1353" s="8" t="s">
        <v>412</v>
      </c>
      <c r="F1353" s="11" t="s">
        <v>5830</v>
      </c>
      <c r="G1353" s="10" t="s">
        <v>5831</v>
      </c>
      <c r="H1353" s="8" t="s">
        <v>5832</v>
      </c>
      <c r="I1353" s="10" t="s">
        <v>3756</v>
      </c>
    </row>
    <row r="1354" spans="1:9" ht="14.25" customHeight="1" x14ac:dyDescent="0.25">
      <c r="A1354" s="7" t="s">
        <v>5833</v>
      </c>
      <c r="B1354" s="8" t="s">
        <v>5834</v>
      </c>
      <c r="C1354" s="8" t="s">
        <v>5835</v>
      </c>
      <c r="D1354" s="8" t="s">
        <v>411</v>
      </c>
      <c r="E1354" s="8" t="s">
        <v>1359</v>
      </c>
      <c r="F1354" s="11" t="s">
        <v>5836</v>
      </c>
      <c r="G1354" s="10" t="s">
        <v>5837</v>
      </c>
      <c r="H1354" s="8" t="s">
        <v>61</v>
      </c>
      <c r="I1354" s="10" t="s">
        <v>4039</v>
      </c>
    </row>
    <row r="1355" spans="1:9" ht="14.25" customHeight="1" x14ac:dyDescent="0.25">
      <c r="A1355" s="7" t="s">
        <v>5838</v>
      </c>
      <c r="B1355" s="8" t="s">
        <v>602</v>
      </c>
      <c r="C1355" s="8" t="s">
        <v>5839</v>
      </c>
      <c r="D1355" s="8" t="s">
        <v>3163</v>
      </c>
      <c r="E1355" s="8" t="s">
        <v>412</v>
      </c>
      <c r="F1355" s="11" t="s">
        <v>5840</v>
      </c>
      <c r="G1355" s="10" t="s">
        <v>5831</v>
      </c>
      <c r="H1355" s="8" t="s">
        <v>5832</v>
      </c>
      <c r="I1355" s="10" t="s">
        <v>4371</v>
      </c>
    </row>
    <row r="1356" spans="1:9" ht="14.25" customHeight="1" x14ac:dyDescent="0.25">
      <c r="A1356" s="7" t="s">
        <v>5841</v>
      </c>
      <c r="B1356" s="8" t="s">
        <v>2697</v>
      </c>
      <c r="C1356" s="8" t="s">
        <v>5842</v>
      </c>
      <c r="D1356" s="8" t="s">
        <v>411</v>
      </c>
      <c r="E1356" s="8" t="s">
        <v>412</v>
      </c>
      <c r="F1356" s="11" t="s">
        <v>5843</v>
      </c>
      <c r="G1356" s="10" t="s">
        <v>5844</v>
      </c>
      <c r="H1356" s="8" t="s">
        <v>20</v>
      </c>
      <c r="I1356" s="10" t="s">
        <v>4039</v>
      </c>
    </row>
    <row r="1357" spans="1:9" ht="14.25" customHeight="1" x14ac:dyDescent="0.25">
      <c r="A1357" s="7" t="s">
        <v>5845</v>
      </c>
      <c r="B1357" s="8" t="s">
        <v>5846</v>
      </c>
      <c r="C1357" s="8" t="s">
        <v>5847</v>
      </c>
      <c r="D1357" s="8" t="s">
        <v>411</v>
      </c>
      <c r="E1357" s="8" t="s">
        <v>412</v>
      </c>
      <c r="F1357" s="11" t="s">
        <v>5848</v>
      </c>
      <c r="G1357" s="10" t="s">
        <v>5849</v>
      </c>
      <c r="H1357" s="8" t="s">
        <v>92</v>
      </c>
      <c r="I1357" s="10" t="s">
        <v>4039</v>
      </c>
    </row>
    <row r="1358" spans="1:9" ht="14.25" customHeight="1" x14ac:dyDescent="0.25">
      <c r="A1358" s="7" t="s">
        <v>5850</v>
      </c>
      <c r="B1358" s="8" t="s">
        <v>3046</v>
      </c>
      <c r="C1358" s="8" t="s">
        <v>4836</v>
      </c>
      <c r="D1358" s="8"/>
      <c r="E1358" s="8" t="s">
        <v>412</v>
      </c>
      <c r="F1358" s="11" t="s">
        <v>5851</v>
      </c>
      <c r="G1358" s="10" t="s">
        <v>4838</v>
      </c>
      <c r="H1358" s="8" t="s">
        <v>20</v>
      </c>
      <c r="I1358" s="10" t="s">
        <v>3756</v>
      </c>
    </row>
    <row r="1359" spans="1:9" ht="14.25" customHeight="1" x14ac:dyDescent="0.25">
      <c r="A1359" s="7" t="s">
        <v>5852</v>
      </c>
      <c r="B1359" s="8" t="s">
        <v>5853</v>
      </c>
      <c r="C1359" s="8" t="s">
        <v>2024</v>
      </c>
      <c r="D1359" s="8" t="s">
        <v>3163</v>
      </c>
      <c r="E1359" s="8" t="s">
        <v>412</v>
      </c>
      <c r="F1359" s="11" t="s">
        <v>5854</v>
      </c>
      <c r="G1359" s="10" t="s">
        <v>5855</v>
      </c>
      <c r="H1359" s="23" t="s">
        <v>72</v>
      </c>
      <c r="I1359" s="10" t="s">
        <v>3756</v>
      </c>
    </row>
    <row r="1360" spans="1:9" ht="14.25" customHeight="1" x14ac:dyDescent="0.25">
      <c r="A1360" s="7" t="s">
        <v>5856</v>
      </c>
      <c r="B1360" s="8" t="s">
        <v>3127</v>
      </c>
      <c r="C1360" s="8" t="s">
        <v>5857</v>
      </c>
      <c r="D1360" s="8" t="s">
        <v>411</v>
      </c>
      <c r="E1360" s="8" t="s">
        <v>412</v>
      </c>
      <c r="F1360" s="11" t="s">
        <v>5858</v>
      </c>
      <c r="G1360" s="10" t="s">
        <v>5859</v>
      </c>
      <c r="H1360" s="8" t="s">
        <v>25</v>
      </c>
      <c r="I1360" s="10" t="s">
        <v>4039</v>
      </c>
    </row>
    <row r="1361" spans="1:9" ht="14.25" customHeight="1" x14ac:dyDescent="0.25">
      <c r="A1361" s="7" t="s">
        <v>5860</v>
      </c>
      <c r="B1361" s="8" t="s">
        <v>5861</v>
      </c>
      <c r="C1361" s="8" t="s">
        <v>5862</v>
      </c>
      <c r="D1361" s="8" t="s">
        <v>3163</v>
      </c>
      <c r="E1361" s="8" t="s">
        <v>412</v>
      </c>
      <c r="F1361" s="11" t="s">
        <v>5863</v>
      </c>
      <c r="G1361" s="10" t="s">
        <v>5864</v>
      </c>
      <c r="H1361" s="8" t="s">
        <v>4317</v>
      </c>
      <c r="I1361" s="10" t="s">
        <v>3756</v>
      </c>
    </row>
    <row r="1362" spans="1:9" ht="14.25" customHeight="1" x14ac:dyDescent="0.25">
      <c r="A1362" s="7" t="s">
        <v>5865</v>
      </c>
      <c r="B1362" s="8" t="s">
        <v>2070</v>
      </c>
      <c r="C1362" s="8" t="s">
        <v>5866</v>
      </c>
      <c r="D1362" s="8" t="s">
        <v>411</v>
      </c>
      <c r="E1362" s="8" t="s">
        <v>412</v>
      </c>
      <c r="F1362" s="11" t="s">
        <v>5867</v>
      </c>
      <c r="G1362" s="10" t="s">
        <v>5868</v>
      </c>
      <c r="H1362" s="8" t="s">
        <v>92</v>
      </c>
      <c r="I1362" s="10" t="s">
        <v>3756</v>
      </c>
    </row>
    <row r="1363" spans="1:9" ht="14.25" customHeight="1" x14ac:dyDescent="0.25">
      <c r="A1363" s="7" t="s">
        <v>5869</v>
      </c>
      <c r="B1363" s="8" t="s">
        <v>5068</v>
      </c>
      <c r="C1363" s="8" t="s">
        <v>5870</v>
      </c>
      <c r="D1363" s="8" t="s">
        <v>3163</v>
      </c>
      <c r="E1363" s="8" t="s">
        <v>412</v>
      </c>
      <c r="F1363" s="11" t="s">
        <v>5871</v>
      </c>
      <c r="G1363" s="10" t="s">
        <v>5872</v>
      </c>
      <c r="H1363" s="8" t="s">
        <v>37</v>
      </c>
      <c r="I1363" s="10" t="s">
        <v>4371</v>
      </c>
    </row>
    <row r="1364" spans="1:9" ht="14.25" customHeight="1" x14ac:dyDescent="0.25">
      <c r="A1364" s="7" t="s">
        <v>5873</v>
      </c>
      <c r="B1364" s="8" t="s">
        <v>5874</v>
      </c>
      <c r="C1364" s="8" t="s">
        <v>5875</v>
      </c>
      <c r="D1364" s="8" t="s">
        <v>3163</v>
      </c>
      <c r="E1364" s="8" t="s">
        <v>3890</v>
      </c>
      <c r="F1364" s="11" t="s">
        <v>5876</v>
      </c>
      <c r="G1364" s="8" t="s">
        <v>5877</v>
      </c>
      <c r="H1364" s="8" t="s">
        <v>37</v>
      </c>
      <c r="I1364" s="10" t="s">
        <v>4039</v>
      </c>
    </row>
    <row r="1365" spans="1:9" ht="14.25" customHeight="1" x14ac:dyDescent="0.25">
      <c r="A1365" s="7" t="s">
        <v>5878</v>
      </c>
      <c r="B1365" s="8" t="s">
        <v>5238</v>
      </c>
      <c r="C1365" s="8" t="s">
        <v>5879</v>
      </c>
      <c r="D1365" s="8" t="s">
        <v>411</v>
      </c>
      <c r="E1365" s="8" t="s">
        <v>4254</v>
      </c>
      <c r="I1365" s="10" t="s">
        <v>4039</v>
      </c>
    </row>
    <row r="1366" spans="1:9" ht="14.25" customHeight="1" x14ac:dyDescent="0.25">
      <c r="A1366" s="7" t="s">
        <v>5880</v>
      </c>
      <c r="B1366" s="8" t="s">
        <v>5881</v>
      </c>
      <c r="C1366" s="8" t="s">
        <v>5882</v>
      </c>
      <c r="D1366" s="8" t="s">
        <v>411</v>
      </c>
      <c r="E1366" s="8" t="s">
        <v>4254</v>
      </c>
      <c r="F1366" s="11" t="s">
        <v>5883</v>
      </c>
      <c r="G1366" s="10" t="s">
        <v>5884</v>
      </c>
      <c r="H1366" s="8" t="s">
        <v>15</v>
      </c>
      <c r="I1366" s="10" t="s">
        <v>4039</v>
      </c>
    </row>
    <row r="1367" spans="1:9" ht="14.25" customHeight="1" x14ac:dyDescent="0.25">
      <c r="A1367" s="7" t="s">
        <v>5885</v>
      </c>
      <c r="B1367" s="8" t="s">
        <v>325</v>
      </c>
      <c r="C1367" s="8" t="s">
        <v>5882</v>
      </c>
      <c r="D1367" s="8" t="s">
        <v>3163</v>
      </c>
      <c r="E1367" s="8" t="s">
        <v>3890</v>
      </c>
      <c r="I1367" s="10" t="s">
        <v>4039</v>
      </c>
    </row>
    <row r="1368" spans="1:9" ht="14.25" customHeight="1" x14ac:dyDescent="0.25">
      <c r="A1368" s="7" t="s">
        <v>5886</v>
      </c>
      <c r="B1368" s="8" t="s">
        <v>944</v>
      </c>
      <c r="C1368" s="8" t="s">
        <v>1223</v>
      </c>
      <c r="D1368" s="8" t="s">
        <v>411</v>
      </c>
      <c r="E1368" s="8" t="s">
        <v>412</v>
      </c>
      <c r="F1368" s="11" t="s">
        <v>5887</v>
      </c>
      <c r="G1368" s="8" t="s">
        <v>5888</v>
      </c>
      <c r="H1368" s="8" t="s">
        <v>3918</v>
      </c>
      <c r="I1368" s="10" t="s">
        <v>4039</v>
      </c>
    </row>
    <row r="1369" spans="1:9" ht="14.25" customHeight="1" x14ac:dyDescent="0.25">
      <c r="A1369" s="7" t="s">
        <v>5889</v>
      </c>
      <c r="B1369" s="8" t="s">
        <v>5890</v>
      </c>
      <c r="C1369" s="8" t="s">
        <v>5891</v>
      </c>
      <c r="D1369" s="8" t="s">
        <v>411</v>
      </c>
      <c r="E1369" s="8" t="s">
        <v>3890</v>
      </c>
      <c r="F1369" s="11" t="s">
        <v>5892</v>
      </c>
      <c r="G1369" s="8" t="s">
        <v>5893</v>
      </c>
      <c r="H1369" s="8" t="s">
        <v>5570</v>
      </c>
      <c r="I1369" s="10" t="s">
        <v>4039</v>
      </c>
    </row>
    <row r="1370" spans="1:9" ht="14.25" customHeight="1" x14ac:dyDescent="0.25">
      <c r="A1370" s="7" t="s">
        <v>5894</v>
      </c>
      <c r="B1370" s="8" t="s">
        <v>5375</v>
      </c>
      <c r="D1370" s="8" t="s">
        <v>3163</v>
      </c>
      <c r="E1370" s="8" t="s">
        <v>3890</v>
      </c>
    </row>
    <row r="1371" spans="1:9" ht="14.25" customHeight="1" x14ac:dyDescent="0.25">
      <c r="A1371" s="7" t="s">
        <v>5895</v>
      </c>
      <c r="B1371" s="8" t="s">
        <v>5896</v>
      </c>
      <c r="C1371" s="8" t="s">
        <v>5897</v>
      </c>
      <c r="D1371" s="8" t="s">
        <v>411</v>
      </c>
      <c r="E1371" s="8" t="s">
        <v>412</v>
      </c>
      <c r="F1371" s="11" t="s">
        <v>5898</v>
      </c>
      <c r="G1371" s="8" t="s">
        <v>5899</v>
      </c>
      <c r="H1371" s="8" t="s">
        <v>49</v>
      </c>
      <c r="I1371" s="10" t="s">
        <v>4039</v>
      </c>
    </row>
    <row r="1372" spans="1:9" ht="14.25" customHeight="1" x14ac:dyDescent="0.25">
      <c r="A1372" s="7" t="s">
        <v>5900</v>
      </c>
      <c r="B1372" s="8" t="s">
        <v>3121</v>
      </c>
      <c r="C1372" s="8" t="s">
        <v>5901</v>
      </c>
      <c r="D1372" s="8" t="s">
        <v>411</v>
      </c>
      <c r="E1372" s="8" t="s">
        <v>412</v>
      </c>
      <c r="F1372" s="11" t="s">
        <v>5902</v>
      </c>
      <c r="G1372" s="8" t="s">
        <v>5903</v>
      </c>
      <c r="H1372" s="8" t="s">
        <v>3618</v>
      </c>
      <c r="I1372" s="10" t="s">
        <v>3756</v>
      </c>
    </row>
    <row r="1373" spans="1:9" ht="14.25" customHeight="1" x14ac:dyDescent="0.25">
      <c r="A1373" s="7" t="s">
        <v>5904</v>
      </c>
      <c r="B1373" s="8" t="s">
        <v>4578</v>
      </c>
      <c r="C1373" s="8" t="s">
        <v>5905</v>
      </c>
      <c r="D1373" s="8" t="s">
        <v>411</v>
      </c>
      <c r="E1373" s="8" t="s">
        <v>3890</v>
      </c>
      <c r="F1373" s="11" t="s">
        <v>5906</v>
      </c>
      <c r="G1373" s="8" t="s">
        <v>5907</v>
      </c>
      <c r="H1373" s="8" t="s">
        <v>3815</v>
      </c>
      <c r="I1373" s="10" t="s">
        <v>4039</v>
      </c>
    </row>
    <row r="1374" spans="1:9" ht="14.25" customHeight="1" x14ac:dyDescent="0.25">
      <c r="A1374" s="7" t="s">
        <v>5908</v>
      </c>
      <c r="B1374" s="8" t="s">
        <v>5909</v>
      </c>
      <c r="C1374" s="8" t="s">
        <v>5905</v>
      </c>
      <c r="D1374" s="8" t="s">
        <v>3163</v>
      </c>
      <c r="E1374" s="8" t="s">
        <v>3890</v>
      </c>
      <c r="G1374" s="8" t="s">
        <v>5907</v>
      </c>
      <c r="H1374" s="8" t="s">
        <v>3815</v>
      </c>
      <c r="I1374" s="10" t="s">
        <v>4039</v>
      </c>
    </row>
    <row r="1375" spans="1:9" ht="14.25" customHeight="1" x14ac:dyDescent="0.25">
      <c r="A1375" s="7" t="s">
        <v>5910</v>
      </c>
      <c r="B1375" s="8" t="s">
        <v>5911</v>
      </c>
      <c r="C1375" s="8" t="s">
        <v>5912</v>
      </c>
      <c r="D1375" s="8" t="s">
        <v>3163</v>
      </c>
      <c r="E1375" s="8" t="s">
        <v>4021</v>
      </c>
      <c r="F1375" s="11" t="s">
        <v>5913</v>
      </c>
      <c r="G1375" s="8" t="s">
        <v>5914</v>
      </c>
      <c r="H1375" s="8" t="s">
        <v>5915</v>
      </c>
      <c r="I1375" s="10" t="s">
        <v>4039</v>
      </c>
    </row>
    <row r="1376" spans="1:9" ht="14.25" customHeight="1" x14ac:dyDescent="0.25">
      <c r="A1376" s="7" t="s">
        <v>5916</v>
      </c>
      <c r="B1376" s="8" t="s">
        <v>4156</v>
      </c>
      <c r="C1376" s="8" t="s">
        <v>5917</v>
      </c>
      <c r="D1376" s="8" t="s">
        <v>411</v>
      </c>
      <c r="E1376" s="8" t="s">
        <v>412</v>
      </c>
      <c r="F1376" s="11" t="s">
        <v>5918</v>
      </c>
      <c r="G1376" s="8" t="s">
        <v>5919</v>
      </c>
      <c r="H1376" s="8" t="s">
        <v>5920</v>
      </c>
      <c r="I1376" s="10" t="s">
        <v>4039</v>
      </c>
    </row>
    <row r="1377" spans="1:9" ht="14.25" customHeight="1" x14ac:dyDescent="0.25">
      <c r="A1377" s="7" t="s">
        <v>5921</v>
      </c>
      <c r="B1377" s="8" t="s">
        <v>2165</v>
      </c>
      <c r="C1377" s="8" t="s">
        <v>5922</v>
      </c>
      <c r="D1377" s="8" t="s">
        <v>3163</v>
      </c>
      <c r="E1377" s="8" t="s">
        <v>412</v>
      </c>
      <c r="F1377" s="11" t="s">
        <v>5923</v>
      </c>
      <c r="G1377" s="8" t="s">
        <v>5924</v>
      </c>
      <c r="H1377" s="23" t="s">
        <v>5925</v>
      </c>
      <c r="I1377" s="10" t="s">
        <v>3756</v>
      </c>
    </row>
    <row r="1378" spans="1:9" ht="14.25" customHeight="1" x14ac:dyDescent="0.25">
      <c r="A1378" s="7" t="s">
        <v>5926</v>
      </c>
      <c r="B1378" s="8" t="s">
        <v>5927</v>
      </c>
      <c r="C1378" s="8" t="s">
        <v>5928</v>
      </c>
      <c r="D1378" s="8" t="s">
        <v>411</v>
      </c>
      <c r="E1378" s="8" t="s">
        <v>3890</v>
      </c>
      <c r="F1378" s="11" t="s">
        <v>5929</v>
      </c>
      <c r="G1378" s="8" t="s">
        <v>5930</v>
      </c>
      <c r="H1378" s="8" t="s">
        <v>3820</v>
      </c>
      <c r="I1378" s="10" t="s">
        <v>4039</v>
      </c>
    </row>
    <row r="1379" spans="1:9" ht="14.25" customHeight="1" x14ac:dyDescent="0.25">
      <c r="A1379" s="7" t="s">
        <v>5931</v>
      </c>
      <c r="B1379" s="8" t="s">
        <v>5932</v>
      </c>
      <c r="C1379" s="8" t="s">
        <v>5933</v>
      </c>
      <c r="D1379" s="8" t="s">
        <v>3163</v>
      </c>
      <c r="E1379" s="8" t="s">
        <v>4254</v>
      </c>
    </row>
    <row r="1380" spans="1:9" ht="14.25" customHeight="1" x14ac:dyDescent="0.25">
      <c r="A1380" s="7" t="s">
        <v>5934</v>
      </c>
      <c r="B1380" s="8" t="s">
        <v>3157</v>
      </c>
      <c r="C1380" s="8" t="s">
        <v>5935</v>
      </c>
      <c r="D1380" s="8" t="s">
        <v>3163</v>
      </c>
      <c r="E1380" s="8" t="s">
        <v>412</v>
      </c>
      <c r="F1380" s="11" t="s">
        <v>5936</v>
      </c>
      <c r="G1380" s="8" t="s">
        <v>5937</v>
      </c>
      <c r="H1380" s="8" t="s">
        <v>3820</v>
      </c>
      <c r="I1380" s="10" t="s">
        <v>4039</v>
      </c>
    </row>
    <row r="1381" spans="1:9" ht="14.25" customHeight="1" x14ac:dyDescent="0.25">
      <c r="A1381" s="7" t="s">
        <v>5938</v>
      </c>
      <c r="B1381" s="8" t="s">
        <v>5939</v>
      </c>
      <c r="C1381" s="8" t="s">
        <v>5940</v>
      </c>
      <c r="D1381" s="8" t="s">
        <v>411</v>
      </c>
      <c r="E1381" s="8" t="s">
        <v>3890</v>
      </c>
      <c r="F1381" s="11" t="s">
        <v>5941</v>
      </c>
      <c r="G1381" s="8" t="s">
        <v>5942</v>
      </c>
      <c r="H1381" s="8" t="s">
        <v>15</v>
      </c>
      <c r="I1381" s="10" t="s">
        <v>4039</v>
      </c>
    </row>
    <row r="1382" spans="1:9" ht="14.25" customHeight="1" x14ac:dyDescent="0.25">
      <c r="A1382" s="7" t="s">
        <v>5943</v>
      </c>
      <c r="B1382" s="8" t="s">
        <v>5944</v>
      </c>
      <c r="C1382" s="8" t="s">
        <v>5945</v>
      </c>
      <c r="D1382" s="8" t="s">
        <v>3163</v>
      </c>
      <c r="E1382" s="8" t="s">
        <v>3890</v>
      </c>
      <c r="I1382" s="10" t="s">
        <v>4039</v>
      </c>
    </row>
    <row r="1383" spans="1:9" ht="14.25" customHeight="1" x14ac:dyDescent="0.25">
      <c r="A1383" s="7" t="s">
        <v>5946</v>
      </c>
      <c r="B1383" s="8" t="s">
        <v>5947</v>
      </c>
      <c r="C1383" s="8" t="s">
        <v>5948</v>
      </c>
      <c r="D1383" s="8" t="s">
        <v>411</v>
      </c>
      <c r="E1383" s="8" t="s">
        <v>412</v>
      </c>
      <c r="F1383" s="11" t="s">
        <v>5949</v>
      </c>
      <c r="G1383" s="8" t="s">
        <v>5950</v>
      </c>
      <c r="H1383" s="8" t="s">
        <v>5951</v>
      </c>
      <c r="I1383" s="10" t="s">
        <v>3756</v>
      </c>
    </row>
    <row r="1384" spans="1:9" ht="14.25" customHeight="1" x14ac:dyDescent="0.25">
      <c r="A1384" s="7" t="s">
        <v>5952</v>
      </c>
      <c r="B1384" s="8" t="s">
        <v>532</v>
      </c>
      <c r="C1384" s="8" t="s">
        <v>5953</v>
      </c>
      <c r="D1384" s="8" t="s">
        <v>3163</v>
      </c>
      <c r="E1384" s="8" t="s">
        <v>3890</v>
      </c>
      <c r="F1384" s="11" t="s">
        <v>5954</v>
      </c>
      <c r="G1384" s="8" t="s">
        <v>5955</v>
      </c>
      <c r="H1384" s="8" t="s">
        <v>92</v>
      </c>
      <c r="I1384" s="10" t="s">
        <v>4039</v>
      </c>
    </row>
    <row r="1385" spans="1:9" ht="14.25" customHeight="1" x14ac:dyDescent="0.25">
      <c r="A1385" s="7" t="s">
        <v>5956</v>
      </c>
      <c r="B1385" s="8" t="s">
        <v>5957</v>
      </c>
      <c r="C1385" s="8" t="s">
        <v>5953</v>
      </c>
      <c r="D1385" s="8" t="s">
        <v>411</v>
      </c>
      <c r="E1385" s="8" t="s">
        <v>3890</v>
      </c>
    </row>
    <row r="1386" spans="1:9" ht="14.25" customHeight="1" x14ac:dyDescent="0.25">
      <c r="A1386" s="7" t="s">
        <v>5958</v>
      </c>
      <c r="B1386" s="8" t="s">
        <v>3109</v>
      </c>
      <c r="C1386" s="8" t="s">
        <v>2914</v>
      </c>
      <c r="D1386" s="8" t="s">
        <v>411</v>
      </c>
      <c r="E1386" s="8" t="s">
        <v>412</v>
      </c>
      <c r="F1386" s="11" t="s">
        <v>5959</v>
      </c>
      <c r="G1386" s="8" t="s">
        <v>5960</v>
      </c>
      <c r="H1386" s="8" t="s">
        <v>25</v>
      </c>
      <c r="I1386" s="10" t="s">
        <v>5347</v>
      </c>
    </row>
    <row r="1387" spans="1:9" ht="14.25" customHeight="1" x14ac:dyDescent="0.25">
      <c r="A1387" s="7" t="s">
        <v>5961</v>
      </c>
      <c r="B1387" s="8" t="s">
        <v>5962</v>
      </c>
      <c r="C1387" s="8" t="s">
        <v>5963</v>
      </c>
      <c r="D1387" s="8" t="s">
        <v>411</v>
      </c>
      <c r="E1387" s="8" t="s">
        <v>412</v>
      </c>
      <c r="F1387" s="11" t="s">
        <v>5964</v>
      </c>
      <c r="G1387" s="8" t="s">
        <v>5965</v>
      </c>
      <c r="H1387" s="23" t="s">
        <v>37</v>
      </c>
      <c r="I1387" s="10" t="s">
        <v>5966</v>
      </c>
    </row>
    <row r="1388" spans="1:9" ht="14.25" customHeight="1" x14ac:dyDescent="0.25">
      <c r="A1388" s="7" t="s">
        <v>5967</v>
      </c>
      <c r="B1388" s="8" t="s">
        <v>5968</v>
      </c>
      <c r="C1388" s="8" t="s">
        <v>5969</v>
      </c>
      <c r="D1388" s="8"/>
      <c r="E1388" s="8" t="s">
        <v>412</v>
      </c>
      <c r="F1388" s="11" t="s">
        <v>5970</v>
      </c>
    </row>
    <row r="1389" spans="1:9" ht="14.25" customHeight="1" x14ac:dyDescent="0.25">
      <c r="A1389" s="7" t="s">
        <v>5971</v>
      </c>
      <c r="B1389" s="8" t="s">
        <v>5972</v>
      </c>
      <c r="C1389" s="8" t="s">
        <v>5973</v>
      </c>
      <c r="D1389" s="8" t="s">
        <v>411</v>
      </c>
      <c r="E1389" s="8" t="s">
        <v>412</v>
      </c>
      <c r="F1389" s="11" t="s">
        <v>5974</v>
      </c>
      <c r="I1389" s="10" t="s">
        <v>3756</v>
      </c>
    </row>
    <row r="1390" spans="1:9" ht="14.25" customHeight="1" x14ac:dyDescent="0.25">
      <c r="A1390" s="7" t="s">
        <v>5975</v>
      </c>
      <c r="B1390" s="8" t="s">
        <v>5976</v>
      </c>
      <c r="C1390" s="8" t="s">
        <v>5977</v>
      </c>
      <c r="D1390" s="8" t="s">
        <v>3163</v>
      </c>
      <c r="E1390" s="8" t="s">
        <v>3890</v>
      </c>
      <c r="F1390" s="11" t="s">
        <v>5978</v>
      </c>
      <c r="G1390" s="8" t="s">
        <v>5979</v>
      </c>
      <c r="H1390" s="8" t="s">
        <v>92</v>
      </c>
      <c r="I1390" s="8" t="s">
        <v>3756</v>
      </c>
    </row>
    <row r="1391" spans="1:9" ht="14.25" customHeight="1" x14ac:dyDescent="0.25">
      <c r="A1391" s="7" t="s">
        <v>5980</v>
      </c>
      <c r="B1391" s="8" t="s">
        <v>68</v>
      </c>
      <c r="C1391" s="8" t="s">
        <v>150</v>
      </c>
      <c r="D1391" s="8" t="s">
        <v>411</v>
      </c>
      <c r="E1391" s="8" t="s">
        <v>3890</v>
      </c>
      <c r="F1391" s="11" t="s">
        <v>5981</v>
      </c>
      <c r="G1391" s="8" t="s">
        <v>5979</v>
      </c>
      <c r="H1391" s="8" t="s">
        <v>92</v>
      </c>
      <c r="I1391" s="10" t="s">
        <v>3756</v>
      </c>
    </row>
    <row r="1392" spans="1:9" ht="14.25" customHeight="1" x14ac:dyDescent="0.25">
      <c r="A1392" s="7" t="s">
        <v>5982</v>
      </c>
      <c r="B1392" s="8" t="s">
        <v>5983</v>
      </c>
      <c r="C1392" s="8" t="s">
        <v>2758</v>
      </c>
      <c r="D1392" s="8" t="s">
        <v>411</v>
      </c>
      <c r="E1392" s="8" t="s">
        <v>412</v>
      </c>
      <c r="F1392" s="11"/>
      <c r="G1392" s="8"/>
      <c r="H1392" s="8"/>
      <c r="I1392" s="8"/>
    </row>
    <row r="1393" spans="1:9" ht="14.25" customHeight="1" x14ac:dyDescent="0.25">
      <c r="A1393" s="7" t="s">
        <v>5984</v>
      </c>
      <c r="B1393" s="8" t="s">
        <v>5983</v>
      </c>
      <c r="C1393" s="8" t="s">
        <v>3646</v>
      </c>
      <c r="D1393" s="8" t="s">
        <v>411</v>
      </c>
      <c r="E1393" s="8" t="s">
        <v>412</v>
      </c>
      <c r="F1393" s="11" t="s">
        <v>5985</v>
      </c>
      <c r="G1393" s="8" t="s">
        <v>5986</v>
      </c>
      <c r="H1393" s="8" t="s">
        <v>5987</v>
      </c>
      <c r="I1393" s="8" t="s">
        <v>5966</v>
      </c>
    </row>
    <row r="1394" spans="1:9" ht="14.25" customHeight="1" x14ac:dyDescent="0.25">
      <c r="A1394" s="7" t="s">
        <v>5988</v>
      </c>
      <c r="B1394" s="8" t="s">
        <v>3267</v>
      </c>
      <c r="C1394" s="8" t="s">
        <v>5989</v>
      </c>
      <c r="D1394" s="8" t="s">
        <v>411</v>
      </c>
      <c r="E1394" s="8" t="s">
        <v>412</v>
      </c>
      <c r="F1394" s="11" t="s">
        <v>5990</v>
      </c>
      <c r="G1394" s="8" t="s">
        <v>5991</v>
      </c>
      <c r="H1394" s="8" t="s">
        <v>3918</v>
      </c>
      <c r="I1394" s="8" t="s">
        <v>3756</v>
      </c>
    </row>
    <row r="1395" spans="1:9" ht="14.25" customHeight="1" x14ac:dyDescent="0.25">
      <c r="A1395" s="7" t="s">
        <v>5992</v>
      </c>
      <c r="B1395" s="8" t="s">
        <v>5993</v>
      </c>
      <c r="C1395" s="8" t="s">
        <v>5994</v>
      </c>
      <c r="D1395" s="8" t="s">
        <v>3163</v>
      </c>
      <c r="E1395" s="8" t="s">
        <v>412</v>
      </c>
      <c r="F1395" s="11" t="s">
        <v>5995</v>
      </c>
    </row>
    <row r="1396" spans="1:9" ht="14.25" customHeight="1" x14ac:dyDescent="0.25">
      <c r="A1396" s="7" t="s">
        <v>5996</v>
      </c>
      <c r="B1396" s="8" t="s">
        <v>554</v>
      </c>
      <c r="C1396" s="8" t="s">
        <v>5997</v>
      </c>
      <c r="D1396" s="8" t="s">
        <v>3163</v>
      </c>
      <c r="E1396" s="8" t="s">
        <v>412</v>
      </c>
    </row>
    <row r="1397" spans="1:9" ht="14.25" customHeight="1" x14ac:dyDescent="0.25">
      <c r="A1397" s="7" t="s">
        <v>5998</v>
      </c>
      <c r="B1397" s="8" t="s">
        <v>5999</v>
      </c>
      <c r="C1397" s="8" t="s">
        <v>6000</v>
      </c>
      <c r="D1397" s="8" t="s">
        <v>3163</v>
      </c>
      <c r="E1397" s="8" t="s">
        <v>412</v>
      </c>
      <c r="F1397" s="11" t="s">
        <v>6001</v>
      </c>
    </row>
    <row r="1398" spans="1:9" ht="14.25" customHeight="1" x14ac:dyDescent="0.25">
      <c r="A1398" s="7" t="s">
        <v>6002</v>
      </c>
      <c r="B1398" s="8" t="s">
        <v>3506</v>
      </c>
      <c r="C1398" s="8" t="s">
        <v>6003</v>
      </c>
      <c r="D1398" s="8" t="s">
        <v>411</v>
      </c>
      <c r="E1398" s="8" t="s">
        <v>412</v>
      </c>
      <c r="F1398" s="11" t="s">
        <v>6004</v>
      </c>
      <c r="G1398" s="7" t="s">
        <v>6005</v>
      </c>
      <c r="H1398" s="8" t="s">
        <v>15</v>
      </c>
      <c r="I1398" s="8" t="s">
        <v>3756</v>
      </c>
    </row>
    <row r="1399" spans="1:9" ht="14.25" customHeight="1" x14ac:dyDescent="0.25">
      <c r="A1399" s="7" t="s">
        <v>6006</v>
      </c>
      <c r="B1399" s="8" t="s">
        <v>6007</v>
      </c>
      <c r="C1399" s="8" t="s">
        <v>6008</v>
      </c>
      <c r="D1399" s="8" t="s">
        <v>3163</v>
      </c>
      <c r="E1399" s="8" t="s">
        <v>412</v>
      </c>
      <c r="F1399" s="11" t="s">
        <v>6009</v>
      </c>
      <c r="G1399" s="8" t="s">
        <v>6010</v>
      </c>
      <c r="H1399" s="8" t="s">
        <v>5537</v>
      </c>
      <c r="I1399" s="8" t="s">
        <v>4039</v>
      </c>
    </row>
    <row r="1400" spans="1:9" ht="14.25" customHeight="1" x14ac:dyDescent="0.25">
      <c r="A1400" s="7" t="s">
        <v>6011</v>
      </c>
      <c r="B1400" s="8" t="s">
        <v>6012</v>
      </c>
      <c r="C1400" s="8" t="s">
        <v>6013</v>
      </c>
      <c r="D1400" s="8" t="s">
        <v>3163</v>
      </c>
      <c r="E1400" s="8" t="s">
        <v>3890</v>
      </c>
      <c r="F1400" s="11" t="s">
        <v>6014</v>
      </c>
      <c r="G1400" s="8" t="s">
        <v>6015</v>
      </c>
      <c r="H1400" s="8" t="s">
        <v>4330</v>
      </c>
      <c r="I1400" s="8" t="s">
        <v>4039</v>
      </c>
    </row>
    <row r="1401" spans="1:9" ht="14.25" customHeight="1" x14ac:dyDescent="0.25">
      <c r="A1401" s="7" t="s">
        <v>6016</v>
      </c>
      <c r="B1401" s="8" t="s">
        <v>6017</v>
      </c>
      <c r="C1401" s="8" t="s">
        <v>6018</v>
      </c>
      <c r="D1401" s="8" t="s">
        <v>411</v>
      </c>
      <c r="E1401" s="8" t="s">
        <v>3890</v>
      </c>
      <c r="F1401" s="11" t="s">
        <v>6019</v>
      </c>
      <c r="I1401" s="23" t="s">
        <v>4039</v>
      </c>
    </row>
    <row r="1402" spans="1:9" ht="14.25" customHeight="1" x14ac:dyDescent="0.25">
      <c r="A1402" s="7" t="s">
        <v>6020</v>
      </c>
      <c r="B1402" s="8" t="s">
        <v>3207</v>
      </c>
      <c r="C1402" s="8" t="s">
        <v>6021</v>
      </c>
      <c r="D1402" s="8" t="s">
        <v>411</v>
      </c>
      <c r="E1402" s="8" t="s">
        <v>412</v>
      </c>
      <c r="F1402" s="11" t="s">
        <v>6022</v>
      </c>
      <c r="G1402" s="8" t="s">
        <v>6023</v>
      </c>
      <c r="H1402" s="8" t="s">
        <v>6024</v>
      </c>
      <c r="I1402" s="8" t="s">
        <v>4039</v>
      </c>
    </row>
    <row r="1403" spans="1:9" ht="14.25" customHeight="1" x14ac:dyDescent="0.25">
      <c r="A1403" s="7" t="s">
        <v>6025</v>
      </c>
      <c r="B1403" s="8" t="s">
        <v>6026</v>
      </c>
      <c r="C1403" s="8" t="s">
        <v>3116</v>
      </c>
      <c r="D1403" s="8" t="s">
        <v>411</v>
      </c>
      <c r="E1403" s="8" t="s">
        <v>412</v>
      </c>
      <c r="F1403" s="11" t="s">
        <v>6027</v>
      </c>
      <c r="G1403" s="8" t="s">
        <v>6028</v>
      </c>
      <c r="H1403" s="8" t="s">
        <v>25</v>
      </c>
      <c r="I1403" s="8" t="s">
        <v>3756</v>
      </c>
    </row>
    <row r="1404" spans="1:9" ht="14.25" customHeight="1" x14ac:dyDescent="0.25">
      <c r="A1404" s="7" t="s">
        <v>6029</v>
      </c>
      <c r="B1404" s="8" t="s">
        <v>1767</v>
      </c>
      <c r="C1404" s="8" t="s">
        <v>6030</v>
      </c>
      <c r="D1404" s="8" t="s">
        <v>3163</v>
      </c>
      <c r="E1404" s="8" t="s">
        <v>3890</v>
      </c>
      <c r="G1404" s="8" t="s">
        <v>6031</v>
      </c>
      <c r="H1404" s="8" t="s">
        <v>25</v>
      </c>
      <c r="I1404" s="8" t="s">
        <v>4371</v>
      </c>
    </row>
    <row r="1405" spans="1:9" ht="14.25" customHeight="1" x14ac:dyDescent="0.25">
      <c r="A1405" s="7" t="s">
        <v>6032</v>
      </c>
      <c r="B1405" s="8" t="s">
        <v>944</v>
      </c>
      <c r="C1405" s="8" t="s">
        <v>6033</v>
      </c>
      <c r="D1405" s="8" t="s">
        <v>411</v>
      </c>
      <c r="E1405" s="8" t="s">
        <v>3890</v>
      </c>
      <c r="F1405" s="11" t="s">
        <v>6034</v>
      </c>
      <c r="G1405" s="8" t="s">
        <v>6031</v>
      </c>
      <c r="H1405" s="8" t="s">
        <v>25</v>
      </c>
      <c r="I1405" s="8" t="s">
        <v>4371</v>
      </c>
    </row>
    <row r="1406" spans="1:9" ht="14.25" customHeight="1" x14ac:dyDescent="0.25">
      <c r="A1406" s="7" t="s">
        <v>6035</v>
      </c>
      <c r="B1406" s="8" t="s">
        <v>6036</v>
      </c>
      <c r="C1406" s="8" t="s">
        <v>6037</v>
      </c>
      <c r="D1406" s="8" t="s">
        <v>411</v>
      </c>
      <c r="E1406" s="8" t="s">
        <v>412</v>
      </c>
      <c r="F1406" s="11" t="s">
        <v>6038</v>
      </c>
      <c r="G1406" s="8" t="s">
        <v>6039</v>
      </c>
      <c r="H1406" s="8" t="s">
        <v>15</v>
      </c>
      <c r="I1406" s="8" t="s">
        <v>4039</v>
      </c>
    </row>
    <row r="1407" spans="1:9" ht="14.25" customHeight="1" x14ac:dyDescent="0.25">
      <c r="A1407" s="7" t="s">
        <v>6040</v>
      </c>
      <c r="B1407" s="8" t="s">
        <v>4890</v>
      </c>
      <c r="C1407" s="8" t="s">
        <v>6041</v>
      </c>
      <c r="D1407" s="8" t="s">
        <v>3163</v>
      </c>
      <c r="E1407" s="8" t="s">
        <v>412</v>
      </c>
      <c r="F1407" s="11" t="s">
        <v>6042</v>
      </c>
      <c r="G1407" s="8" t="s">
        <v>6043</v>
      </c>
      <c r="H1407" s="8" t="s">
        <v>6044</v>
      </c>
      <c r="I1407" s="8" t="s">
        <v>3756</v>
      </c>
    </row>
    <row r="1408" spans="1:9" ht="14.25" customHeight="1" x14ac:dyDescent="0.25">
      <c r="A1408" s="7" t="s">
        <v>6045</v>
      </c>
      <c r="B1408" s="8" t="s">
        <v>3835</v>
      </c>
      <c r="C1408" s="8" t="s">
        <v>164</v>
      </c>
      <c r="D1408" s="8" t="s">
        <v>3163</v>
      </c>
      <c r="E1408" s="8" t="s">
        <v>3890</v>
      </c>
      <c r="F1408" s="11" t="s">
        <v>6046</v>
      </c>
      <c r="G1408" s="8" t="s">
        <v>6047</v>
      </c>
      <c r="H1408" s="8" t="s">
        <v>37</v>
      </c>
      <c r="I1408" s="8" t="s">
        <v>3756</v>
      </c>
    </row>
    <row r="1409" spans="1:9" ht="14.25" customHeight="1" x14ac:dyDescent="0.25">
      <c r="A1409" s="7" t="s">
        <v>6048</v>
      </c>
      <c r="B1409" s="8" t="s">
        <v>4615</v>
      </c>
      <c r="C1409" s="8" t="s">
        <v>6049</v>
      </c>
      <c r="D1409" s="8" t="s">
        <v>411</v>
      </c>
      <c r="E1409" s="8" t="s">
        <v>3890</v>
      </c>
    </row>
    <row r="1410" spans="1:9" ht="14.25" customHeight="1" x14ac:dyDescent="0.25">
      <c r="A1410" s="7" t="s">
        <v>6050</v>
      </c>
      <c r="B1410" s="8" t="s">
        <v>2329</v>
      </c>
      <c r="C1410" s="8" t="s">
        <v>6051</v>
      </c>
      <c r="D1410" s="8" t="s">
        <v>411</v>
      </c>
      <c r="E1410" s="8" t="s">
        <v>3890</v>
      </c>
      <c r="F1410" s="11" t="s">
        <v>6052</v>
      </c>
      <c r="G1410" s="8" t="s">
        <v>6053</v>
      </c>
      <c r="H1410" s="8" t="s">
        <v>92</v>
      </c>
      <c r="I1410" s="8" t="s">
        <v>3756</v>
      </c>
    </row>
    <row r="1411" spans="1:9" ht="14.25" customHeight="1" x14ac:dyDescent="0.25">
      <c r="A1411" s="7" t="s">
        <v>6054</v>
      </c>
      <c r="B1411" s="8" t="s">
        <v>6055</v>
      </c>
      <c r="C1411" s="8" t="s">
        <v>6056</v>
      </c>
      <c r="D1411" s="8" t="s">
        <v>3163</v>
      </c>
      <c r="E1411" s="8" t="s">
        <v>3890</v>
      </c>
    </row>
    <row r="1412" spans="1:9" ht="14.25" customHeight="1" x14ac:dyDescent="0.25">
      <c r="A1412" s="7" t="s">
        <v>6057</v>
      </c>
      <c r="B1412" s="8" t="s">
        <v>6058</v>
      </c>
      <c r="C1412" s="8" t="s">
        <v>6059</v>
      </c>
      <c r="D1412" s="8" t="s">
        <v>3163</v>
      </c>
      <c r="E1412" s="8" t="s">
        <v>3890</v>
      </c>
      <c r="F1412" s="12" t="s">
        <v>6060</v>
      </c>
      <c r="G1412" s="8" t="s">
        <v>6061</v>
      </c>
      <c r="H1412" s="23" t="s">
        <v>3820</v>
      </c>
      <c r="I1412" s="8" t="s">
        <v>3756</v>
      </c>
    </row>
    <row r="1413" spans="1:9" ht="14.25" customHeight="1" x14ac:dyDescent="0.25">
      <c r="A1413" s="7" t="s">
        <v>6062</v>
      </c>
      <c r="B1413" s="8" t="s">
        <v>6063</v>
      </c>
      <c r="C1413" s="8" t="s">
        <v>6059</v>
      </c>
      <c r="D1413" s="8" t="s">
        <v>411</v>
      </c>
      <c r="E1413" s="8" t="s">
        <v>3890</v>
      </c>
      <c r="F1413" s="12" t="s">
        <v>6064</v>
      </c>
      <c r="G1413" s="8" t="s">
        <v>6061</v>
      </c>
      <c r="H1413" s="23" t="s">
        <v>3820</v>
      </c>
      <c r="I1413" s="8" t="s">
        <v>3756</v>
      </c>
    </row>
    <row r="1414" spans="1:9" ht="14.25" customHeight="1" x14ac:dyDescent="0.25">
      <c r="A1414" s="7" t="s">
        <v>6065</v>
      </c>
      <c r="B1414" s="8" t="s">
        <v>4156</v>
      </c>
      <c r="C1414" s="8" t="s">
        <v>5917</v>
      </c>
      <c r="D1414" s="8" t="s">
        <v>411</v>
      </c>
      <c r="E1414" s="8" t="s">
        <v>412</v>
      </c>
      <c r="F1414" s="12" t="s">
        <v>5918</v>
      </c>
      <c r="G1414" s="8" t="s">
        <v>5919</v>
      </c>
      <c r="H1414" s="23" t="s">
        <v>5920</v>
      </c>
      <c r="I1414" s="8" t="s">
        <v>4039</v>
      </c>
    </row>
    <row r="1415" spans="1:9" ht="14.25" customHeight="1" x14ac:dyDescent="0.25">
      <c r="A1415" s="7" t="s">
        <v>6066</v>
      </c>
      <c r="B1415" s="8" t="s">
        <v>5724</v>
      </c>
      <c r="C1415" s="8" t="s">
        <v>5725</v>
      </c>
      <c r="D1415" s="8" t="s">
        <v>411</v>
      </c>
      <c r="E1415" s="8" t="s">
        <v>412</v>
      </c>
      <c r="F1415" s="12" t="s">
        <v>5726</v>
      </c>
      <c r="G1415" s="8" t="s">
        <v>5727</v>
      </c>
      <c r="H1415" s="8" t="s">
        <v>15</v>
      </c>
      <c r="I1415" s="8" t="s">
        <v>3756</v>
      </c>
    </row>
    <row r="1416" spans="1:9" ht="14.25" customHeight="1" x14ac:dyDescent="0.25">
      <c r="A1416" s="7" t="s">
        <v>6067</v>
      </c>
      <c r="B1416" s="8" t="s">
        <v>1352</v>
      </c>
      <c r="C1416" s="8" t="s">
        <v>6068</v>
      </c>
      <c r="D1416" s="8" t="s">
        <v>411</v>
      </c>
      <c r="E1416" s="8" t="s">
        <v>412</v>
      </c>
      <c r="F1416" s="12" t="s">
        <v>6069</v>
      </c>
      <c r="G1416" s="8" t="s">
        <v>6070</v>
      </c>
      <c r="H1416" s="8" t="s">
        <v>37</v>
      </c>
      <c r="I1416" s="8" t="s">
        <v>3756</v>
      </c>
    </row>
    <row r="1417" spans="1:9" ht="14.25" customHeight="1" x14ac:dyDescent="0.25">
      <c r="A1417" s="7" t="s">
        <v>6071</v>
      </c>
      <c r="B1417" s="8" t="s">
        <v>6072</v>
      </c>
      <c r="C1417" s="8" t="s">
        <v>6073</v>
      </c>
      <c r="D1417" s="8" t="s">
        <v>411</v>
      </c>
      <c r="E1417" s="8" t="s">
        <v>412</v>
      </c>
      <c r="F1417" s="11" t="s">
        <v>6074</v>
      </c>
      <c r="G1417" s="8" t="s">
        <v>6075</v>
      </c>
      <c r="H1417" s="23" t="s">
        <v>4951</v>
      </c>
      <c r="I1417" s="8" t="s">
        <v>5347</v>
      </c>
    </row>
    <row r="1418" spans="1:9" ht="14.25" customHeight="1" x14ac:dyDescent="0.25">
      <c r="A1418" s="7" t="s">
        <v>6076</v>
      </c>
      <c r="B1418" s="8" t="s">
        <v>6077</v>
      </c>
      <c r="C1418" s="8" t="s">
        <v>6078</v>
      </c>
      <c r="D1418" s="8" t="s">
        <v>411</v>
      </c>
      <c r="E1418" s="8" t="s">
        <v>412</v>
      </c>
      <c r="F1418" s="11" t="s">
        <v>6079</v>
      </c>
      <c r="G1418" s="8" t="s">
        <v>5960</v>
      </c>
      <c r="H1418" s="8" t="s">
        <v>2212</v>
      </c>
      <c r="I1418" s="8" t="s">
        <v>3756</v>
      </c>
    </row>
    <row r="1419" spans="1:9" ht="14.25" customHeight="1" x14ac:dyDescent="0.25">
      <c r="A1419" s="7" t="s">
        <v>6080</v>
      </c>
      <c r="B1419" s="8" t="s">
        <v>4073</v>
      </c>
      <c r="C1419" s="8" t="s">
        <v>6081</v>
      </c>
      <c r="D1419" s="8" t="s">
        <v>411</v>
      </c>
      <c r="E1419" s="8" t="s">
        <v>412</v>
      </c>
      <c r="F1419" s="11" t="s">
        <v>6082</v>
      </c>
      <c r="G1419" s="8" t="s">
        <v>6083</v>
      </c>
      <c r="H1419" s="8" t="s">
        <v>61</v>
      </c>
      <c r="I1419" s="8" t="s">
        <v>3756</v>
      </c>
    </row>
    <row r="1420" spans="1:9" ht="14.25" customHeight="1" x14ac:dyDescent="0.25">
      <c r="A1420" s="7" t="s">
        <v>6084</v>
      </c>
      <c r="B1420" s="8" t="s">
        <v>6085</v>
      </c>
      <c r="C1420" s="8" t="s">
        <v>6086</v>
      </c>
      <c r="D1420" s="8"/>
      <c r="E1420" s="8" t="s">
        <v>412</v>
      </c>
      <c r="F1420" s="12" t="s">
        <v>6087</v>
      </c>
      <c r="G1420" s="8" t="s">
        <v>6088</v>
      </c>
      <c r="H1420" s="8" t="s">
        <v>2212</v>
      </c>
      <c r="I1420" s="8" t="s">
        <v>4039</v>
      </c>
    </row>
    <row r="1421" spans="1:9" ht="14.25" customHeight="1" x14ac:dyDescent="0.25">
      <c r="A1421" s="7" t="s">
        <v>6089</v>
      </c>
      <c r="B1421" s="8" t="s">
        <v>1584</v>
      </c>
      <c r="C1421" s="8" t="s">
        <v>6090</v>
      </c>
      <c r="D1421" s="8" t="s">
        <v>3163</v>
      </c>
      <c r="E1421" s="8" t="s">
        <v>412</v>
      </c>
      <c r="F1421" s="12" t="s">
        <v>6091</v>
      </c>
      <c r="G1421" s="8" t="s">
        <v>6092</v>
      </c>
      <c r="H1421" s="8" t="s">
        <v>6093</v>
      </c>
      <c r="I1421" s="8" t="s">
        <v>3756</v>
      </c>
    </row>
    <row r="1422" spans="1:9" ht="14.25" customHeight="1" x14ac:dyDescent="0.25">
      <c r="A1422" s="7" t="s">
        <v>6094</v>
      </c>
      <c r="B1422" s="8" t="s">
        <v>6095</v>
      </c>
      <c r="C1422" s="8" t="s">
        <v>5078</v>
      </c>
      <c r="D1422" s="8" t="s">
        <v>411</v>
      </c>
      <c r="E1422" s="8" t="s">
        <v>412</v>
      </c>
      <c r="G1422" s="8"/>
      <c r="I1422" s="8" t="s">
        <v>3756</v>
      </c>
    </row>
    <row r="1423" spans="1:9" ht="14.25" customHeight="1" x14ac:dyDescent="0.25">
      <c r="A1423" s="7" t="s">
        <v>6096</v>
      </c>
      <c r="B1423" s="8" t="s">
        <v>6097</v>
      </c>
      <c r="C1423" s="8" t="s">
        <v>6098</v>
      </c>
      <c r="D1423" s="8" t="s">
        <v>411</v>
      </c>
      <c r="E1423" s="8" t="s">
        <v>412</v>
      </c>
      <c r="G1423" s="8"/>
      <c r="I1423" s="8" t="s">
        <v>3756</v>
      </c>
    </row>
    <row r="1424" spans="1:9" ht="14.25" customHeight="1" x14ac:dyDescent="0.25">
      <c r="A1424" s="7" t="s">
        <v>6099</v>
      </c>
      <c r="B1424" s="8" t="s">
        <v>6100</v>
      </c>
      <c r="C1424" s="8" t="s">
        <v>6101</v>
      </c>
      <c r="D1424" s="8"/>
      <c r="E1424" s="8" t="s">
        <v>412</v>
      </c>
      <c r="F1424" s="12" t="s">
        <v>6102</v>
      </c>
      <c r="G1424" s="8" t="s">
        <v>6103</v>
      </c>
      <c r="H1424" s="8" t="s">
        <v>6104</v>
      </c>
      <c r="I1424" s="8" t="s">
        <v>4039</v>
      </c>
    </row>
    <row r="1425" spans="1:9" ht="14.25" customHeight="1" x14ac:dyDescent="0.25">
      <c r="A1425" s="7" t="s">
        <v>6105</v>
      </c>
      <c r="B1425" s="8" t="s">
        <v>1907</v>
      </c>
      <c r="C1425" s="8" t="s">
        <v>6106</v>
      </c>
      <c r="D1425" s="8" t="s">
        <v>411</v>
      </c>
      <c r="E1425" s="8" t="s">
        <v>412</v>
      </c>
      <c r="F1425" s="12" t="s">
        <v>6107</v>
      </c>
      <c r="G1425" s="8" t="s">
        <v>6108</v>
      </c>
      <c r="H1425" s="8" t="s">
        <v>6109</v>
      </c>
      <c r="I1425" s="8" t="s">
        <v>4039</v>
      </c>
    </row>
    <row r="1426" spans="1:9" ht="14.25" customHeight="1" x14ac:dyDescent="0.25">
      <c r="A1426" s="7" t="s">
        <v>6110</v>
      </c>
      <c r="B1426" s="8" t="s">
        <v>6111</v>
      </c>
      <c r="C1426" s="8" t="s">
        <v>6112</v>
      </c>
      <c r="D1426" s="8" t="s">
        <v>3163</v>
      </c>
      <c r="E1426" s="8" t="s">
        <v>412</v>
      </c>
      <c r="F1426" s="12" t="s">
        <v>6113</v>
      </c>
      <c r="G1426" s="8" t="s">
        <v>6114</v>
      </c>
      <c r="H1426" s="8" t="s">
        <v>37</v>
      </c>
      <c r="I1426" s="8" t="s">
        <v>4039</v>
      </c>
    </row>
    <row r="1427" spans="1:9" ht="14.25" customHeight="1" x14ac:dyDescent="0.25">
      <c r="A1427" s="7" t="s">
        <v>6115</v>
      </c>
      <c r="B1427" s="8" t="s">
        <v>3478</v>
      </c>
      <c r="C1427" s="8" t="s">
        <v>6116</v>
      </c>
      <c r="D1427" s="8" t="s">
        <v>411</v>
      </c>
      <c r="E1427" s="8" t="s">
        <v>412</v>
      </c>
      <c r="F1427" s="11" t="s">
        <v>6117</v>
      </c>
      <c r="G1427" s="8" t="s">
        <v>6118</v>
      </c>
      <c r="H1427" s="8" t="s">
        <v>2212</v>
      </c>
      <c r="I1427" s="8" t="s">
        <v>3756</v>
      </c>
    </row>
    <row r="1428" spans="1:9" ht="14.25" customHeight="1" x14ac:dyDescent="0.25">
      <c r="A1428" s="7" t="s">
        <v>6119</v>
      </c>
      <c r="B1428" s="8" t="s">
        <v>6120</v>
      </c>
      <c r="C1428" s="8" t="s">
        <v>6121</v>
      </c>
      <c r="D1428" s="8" t="s">
        <v>411</v>
      </c>
      <c r="E1428" s="8" t="s">
        <v>412</v>
      </c>
      <c r="F1428" s="11" t="s">
        <v>6122</v>
      </c>
      <c r="G1428" s="8" t="s">
        <v>6123</v>
      </c>
      <c r="H1428" s="8" t="s">
        <v>4077</v>
      </c>
      <c r="I1428" s="8" t="s">
        <v>4371</v>
      </c>
    </row>
    <row r="1429" spans="1:9" ht="14.25" customHeight="1" x14ac:dyDescent="0.25">
      <c r="A1429" s="7" t="s">
        <v>6124</v>
      </c>
      <c r="B1429" s="8" t="s">
        <v>2956</v>
      </c>
      <c r="C1429" s="8" t="s">
        <v>6125</v>
      </c>
      <c r="D1429" s="8" t="s">
        <v>411</v>
      </c>
      <c r="E1429" s="8" t="s">
        <v>412</v>
      </c>
      <c r="F1429" s="11" t="s">
        <v>6126</v>
      </c>
      <c r="G1429" s="8" t="s">
        <v>6127</v>
      </c>
      <c r="H1429" s="8" t="s">
        <v>6128</v>
      </c>
      <c r="I1429" s="8" t="s">
        <v>4039</v>
      </c>
    </row>
    <row r="1430" spans="1:9" ht="14.25" customHeight="1" x14ac:dyDescent="0.25">
      <c r="A1430" s="7" t="s">
        <v>6129</v>
      </c>
      <c r="B1430" s="8" t="s">
        <v>6130</v>
      </c>
      <c r="C1430" s="8" t="s">
        <v>6131</v>
      </c>
      <c r="D1430" s="8"/>
      <c r="E1430" s="8" t="s">
        <v>412</v>
      </c>
      <c r="F1430" s="11" t="s">
        <v>6132</v>
      </c>
      <c r="G1430" s="8" t="s">
        <v>6133</v>
      </c>
      <c r="H1430" s="8" t="s">
        <v>4199</v>
      </c>
      <c r="I1430" s="8" t="s">
        <v>4039</v>
      </c>
    </row>
    <row r="1431" spans="1:9" ht="14.25" customHeight="1" x14ac:dyDescent="0.25">
      <c r="A1431" s="7" t="s">
        <v>6134</v>
      </c>
      <c r="B1431" s="8" t="s">
        <v>630</v>
      </c>
      <c r="C1431" s="8" t="s">
        <v>6135</v>
      </c>
      <c r="D1431" s="8" t="s">
        <v>411</v>
      </c>
      <c r="E1431" s="8" t="s">
        <v>3890</v>
      </c>
      <c r="F1431" s="11" t="s">
        <v>6136</v>
      </c>
      <c r="G1431" s="8" t="s">
        <v>6137</v>
      </c>
      <c r="H1431" s="8" t="s">
        <v>15</v>
      </c>
      <c r="I1431" s="8" t="s">
        <v>4371</v>
      </c>
    </row>
    <row r="1432" spans="1:9" ht="14.25" customHeight="1" x14ac:dyDescent="0.25">
      <c r="A1432" s="7" t="s">
        <v>6138</v>
      </c>
      <c r="B1432" s="8" t="s">
        <v>6139</v>
      </c>
      <c r="C1432" s="8" t="s">
        <v>6140</v>
      </c>
      <c r="D1432" s="8" t="s">
        <v>411</v>
      </c>
      <c r="E1432" s="8" t="s">
        <v>412</v>
      </c>
      <c r="F1432" s="11" t="s">
        <v>6141</v>
      </c>
      <c r="G1432" s="8" t="s">
        <v>6142</v>
      </c>
      <c r="H1432" s="8" t="s">
        <v>6143</v>
      </c>
      <c r="I1432" s="8" t="s">
        <v>5347</v>
      </c>
    </row>
    <row r="1433" spans="1:9" ht="14.25" customHeight="1" x14ac:dyDescent="0.25">
      <c r="A1433" s="7" t="s">
        <v>6144</v>
      </c>
      <c r="B1433" s="8" t="s">
        <v>4082</v>
      </c>
      <c r="C1433" s="8" t="s">
        <v>6145</v>
      </c>
      <c r="D1433" s="8" t="s">
        <v>3163</v>
      </c>
      <c r="E1433" s="8" t="s">
        <v>412</v>
      </c>
      <c r="F1433" s="11" t="s">
        <v>6146</v>
      </c>
      <c r="G1433" s="8" t="s">
        <v>6147</v>
      </c>
      <c r="H1433" s="8" t="s">
        <v>4951</v>
      </c>
      <c r="I1433" s="8" t="s">
        <v>3756</v>
      </c>
    </row>
    <row r="1434" spans="1:9" ht="14.25" customHeight="1" x14ac:dyDescent="0.25">
      <c r="A1434" s="7" t="s">
        <v>6148</v>
      </c>
      <c r="B1434" s="8" t="s">
        <v>6149</v>
      </c>
      <c r="C1434" s="8" t="s">
        <v>6150</v>
      </c>
      <c r="D1434" s="8" t="s">
        <v>411</v>
      </c>
      <c r="E1434" s="8" t="s">
        <v>1359</v>
      </c>
      <c r="F1434" s="11" t="s">
        <v>6151</v>
      </c>
      <c r="G1434" s="8" t="s">
        <v>6152</v>
      </c>
      <c r="H1434" s="8" t="s">
        <v>6153</v>
      </c>
      <c r="I1434" s="8" t="s">
        <v>5347</v>
      </c>
    </row>
    <row r="1435" spans="1:9" ht="14.25" customHeight="1" x14ac:dyDescent="0.25">
      <c r="A1435" s="7" t="s">
        <v>6154</v>
      </c>
      <c r="B1435" s="8" t="s">
        <v>4629</v>
      </c>
      <c r="C1435" s="8" t="s">
        <v>6155</v>
      </c>
      <c r="D1435" s="8" t="s">
        <v>411</v>
      </c>
      <c r="E1435" s="8" t="s">
        <v>412</v>
      </c>
      <c r="F1435" s="11" t="s">
        <v>6156</v>
      </c>
      <c r="G1435" s="8" t="s">
        <v>6157</v>
      </c>
      <c r="H1435" s="8" t="s">
        <v>72</v>
      </c>
      <c r="I1435" s="8" t="s">
        <v>4404</v>
      </c>
    </row>
    <row r="1436" spans="1:9" ht="14.25" customHeight="1" x14ac:dyDescent="0.25">
      <c r="A1436" s="7" t="s">
        <v>6158</v>
      </c>
      <c r="B1436" s="8" t="s">
        <v>6159</v>
      </c>
      <c r="C1436" s="8" t="s">
        <v>4766</v>
      </c>
      <c r="D1436" s="8" t="s">
        <v>411</v>
      </c>
      <c r="E1436" s="8" t="s">
        <v>3890</v>
      </c>
      <c r="F1436" s="11" t="s">
        <v>6160</v>
      </c>
      <c r="G1436" s="8" t="s">
        <v>6161</v>
      </c>
      <c r="H1436" s="8" t="s">
        <v>6162</v>
      </c>
      <c r="I1436" s="8" t="s">
        <v>3756</v>
      </c>
    </row>
    <row r="1437" spans="1:9" ht="14.25" customHeight="1" x14ac:dyDescent="0.25">
      <c r="A1437" s="7" t="s">
        <v>6163</v>
      </c>
      <c r="B1437" s="8" t="s">
        <v>6164</v>
      </c>
      <c r="C1437" s="8" t="s">
        <v>6165</v>
      </c>
      <c r="D1437" s="8" t="s">
        <v>3163</v>
      </c>
      <c r="E1437" s="8" t="s">
        <v>3890</v>
      </c>
      <c r="G1437" s="8" t="s">
        <v>6166</v>
      </c>
      <c r="H1437" s="8" t="s">
        <v>4059</v>
      </c>
      <c r="I1437" s="8" t="s">
        <v>3756</v>
      </c>
    </row>
    <row r="1438" spans="1:9" ht="14.25" customHeight="1" x14ac:dyDescent="0.25">
      <c r="A1438" s="7" t="s">
        <v>6167</v>
      </c>
      <c r="B1438" s="8" t="s">
        <v>5694</v>
      </c>
      <c r="C1438" s="8" t="s">
        <v>462</v>
      </c>
      <c r="D1438" s="8" t="s">
        <v>3163</v>
      </c>
      <c r="E1438" s="8" t="s">
        <v>412</v>
      </c>
      <c r="F1438" s="11" t="s">
        <v>6168</v>
      </c>
      <c r="G1438" s="8" t="s">
        <v>6169</v>
      </c>
      <c r="H1438" s="8" t="s">
        <v>4317</v>
      </c>
      <c r="I1438" s="8" t="s">
        <v>4371</v>
      </c>
    </row>
    <row r="1439" spans="1:9" ht="14.25" customHeight="1" x14ac:dyDescent="0.25">
      <c r="A1439" s="7" t="s">
        <v>6170</v>
      </c>
      <c r="B1439" s="8" t="s">
        <v>518</v>
      </c>
      <c r="C1439" s="8" t="s">
        <v>6171</v>
      </c>
      <c r="D1439" s="8" t="s">
        <v>411</v>
      </c>
      <c r="E1439" s="8" t="s">
        <v>412</v>
      </c>
      <c r="F1439" s="11" t="s">
        <v>6172</v>
      </c>
      <c r="G1439" s="8" t="s">
        <v>6173</v>
      </c>
      <c r="H1439" s="8" t="s">
        <v>72</v>
      </c>
      <c r="I1439" s="8" t="s">
        <v>4371</v>
      </c>
    </row>
    <row r="1440" spans="1:9" ht="14.25" customHeight="1" x14ac:dyDescent="0.25">
      <c r="A1440" s="7" t="s">
        <v>6174</v>
      </c>
      <c r="B1440" s="8" t="s">
        <v>6175</v>
      </c>
      <c r="C1440" s="8" t="s">
        <v>6176</v>
      </c>
      <c r="D1440" s="8" t="s">
        <v>411</v>
      </c>
      <c r="E1440" s="8" t="s">
        <v>412</v>
      </c>
      <c r="F1440" s="11" t="s">
        <v>6177</v>
      </c>
      <c r="G1440" s="8" t="s">
        <v>6178</v>
      </c>
      <c r="H1440" s="8" t="s">
        <v>72</v>
      </c>
      <c r="I1440" s="8" t="s">
        <v>5347</v>
      </c>
    </row>
    <row r="1441" spans="1:9" ht="14.25" customHeight="1" x14ac:dyDescent="0.25">
      <c r="A1441" s="19" t="s">
        <v>6179</v>
      </c>
      <c r="B1441" s="8" t="s">
        <v>2224</v>
      </c>
      <c r="C1441" s="8" t="s">
        <v>4886</v>
      </c>
      <c r="D1441" s="8" t="s">
        <v>411</v>
      </c>
      <c r="E1441" s="8" t="s">
        <v>412</v>
      </c>
      <c r="F1441" s="11" t="s">
        <v>6180</v>
      </c>
      <c r="G1441" s="8" t="s">
        <v>6181</v>
      </c>
      <c r="H1441" s="8" t="s">
        <v>61</v>
      </c>
      <c r="I1441" s="8" t="s">
        <v>4371</v>
      </c>
    </row>
    <row r="1442" spans="1:9" ht="14.25" customHeight="1" x14ac:dyDescent="0.25">
      <c r="A1442" s="7" t="s">
        <v>6182</v>
      </c>
      <c r="B1442" s="8" t="s">
        <v>6183</v>
      </c>
      <c r="C1442" s="8" t="s">
        <v>6184</v>
      </c>
      <c r="D1442" s="8" t="s">
        <v>411</v>
      </c>
      <c r="E1442" s="8" t="s">
        <v>412</v>
      </c>
      <c r="F1442" s="11" t="s">
        <v>6185</v>
      </c>
      <c r="G1442" s="8" t="s">
        <v>6186</v>
      </c>
      <c r="H1442" s="8" t="s">
        <v>20</v>
      </c>
      <c r="I1442" s="8" t="s">
        <v>4039</v>
      </c>
    </row>
    <row r="1443" spans="1:9" ht="14.25" customHeight="1" x14ac:dyDescent="0.25">
      <c r="A1443" s="19" t="s">
        <v>6187</v>
      </c>
      <c r="B1443" s="8" t="s">
        <v>6188</v>
      </c>
      <c r="C1443" s="8" t="s">
        <v>6189</v>
      </c>
      <c r="D1443" s="8" t="s">
        <v>411</v>
      </c>
      <c r="E1443" s="8" t="s">
        <v>412</v>
      </c>
      <c r="F1443" s="11" t="s">
        <v>6190</v>
      </c>
      <c r="G1443" s="8" t="s">
        <v>6191</v>
      </c>
      <c r="H1443" s="8" t="s">
        <v>2212</v>
      </c>
      <c r="I1443" s="8" t="s">
        <v>4039</v>
      </c>
    </row>
    <row r="1444" spans="1:9" ht="14.25" customHeight="1" x14ac:dyDescent="0.25">
      <c r="A1444" s="7" t="s">
        <v>6192</v>
      </c>
      <c r="B1444" s="8" t="s">
        <v>6193</v>
      </c>
      <c r="C1444" s="8" t="s">
        <v>3321</v>
      </c>
      <c r="D1444" s="8" t="s">
        <v>411</v>
      </c>
      <c r="E1444" s="8" t="s">
        <v>3890</v>
      </c>
      <c r="G1444" s="8"/>
    </row>
    <row r="1445" spans="1:9" ht="14.25" customHeight="1" x14ac:dyDescent="0.25">
      <c r="A1445" s="7" t="s">
        <v>6194</v>
      </c>
      <c r="B1445" s="8" t="s">
        <v>3653</v>
      </c>
      <c r="C1445" s="8" t="s">
        <v>6195</v>
      </c>
      <c r="D1445" s="8" t="s">
        <v>411</v>
      </c>
      <c r="E1445" s="8" t="s">
        <v>412</v>
      </c>
      <c r="F1445" s="11" t="s">
        <v>6196</v>
      </c>
      <c r="G1445" s="8"/>
    </row>
    <row r="1446" spans="1:9" ht="14.25" customHeight="1" x14ac:dyDescent="0.25">
      <c r="A1446" s="7" t="s">
        <v>6197</v>
      </c>
      <c r="B1446" s="8" t="s">
        <v>6198</v>
      </c>
      <c r="C1446" s="8" t="s">
        <v>6199</v>
      </c>
      <c r="D1446" s="8" t="s">
        <v>3163</v>
      </c>
      <c r="E1446" s="8" t="s">
        <v>412</v>
      </c>
      <c r="F1446" s="11" t="s">
        <v>6200</v>
      </c>
      <c r="G1446" s="8" t="s">
        <v>6201</v>
      </c>
      <c r="H1446" s="8" t="s">
        <v>2212</v>
      </c>
      <c r="I1446" s="8" t="s">
        <v>4039</v>
      </c>
    </row>
    <row r="1447" spans="1:9" ht="14.25" customHeight="1" x14ac:dyDescent="0.25">
      <c r="A1447" s="7" t="s">
        <v>6202</v>
      </c>
      <c r="B1447" s="8" t="s">
        <v>6203</v>
      </c>
      <c r="C1447" s="8" t="s">
        <v>6204</v>
      </c>
      <c r="D1447" s="8" t="s">
        <v>411</v>
      </c>
      <c r="E1447" s="8" t="s">
        <v>412</v>
      </c>
      <c r="F1447" s="11" t="s">
        <v>6205</v>
      </c>
      <c r="G1447" s="8" t="s">
        <v>6206</v>
      </c>
      <c r="H1447" s="8" t="s">
        <v>25</v>
      </c>
      <c r="I1447" s="8" t="s">
        <v>4039</v>
      </c>
    </row>
    <row r="1448" spans="1:9" ht="14.25" customHeight="1" x14ac:dyDescent="0.25">
      <c r="A1448" s="7" t="s">
        <v>6207</v>
      </c>
      <c r="B1448" s="8" t="s">
        <v>2150</v>
      </c>
      <c r="C1448" s="8" t="s">
        <v>6208</v>
      </c>
      <c r="D1448" s="8" t="s">
        <v>411</v>
      </c>
      <c r="E1448" s="8" t="s">
        <v>412</v>
      </c>
      <c r="F1448" s="11" t="s">
        <v>6209</v>
      </c>
      <c r="G1448" s="8"/>
    </row>
    <row r="1449" spans="1:9" ht="14.25" customHeight="1" x14ac:dyDescent="0.25">
      <c r="A1449" s="7" t="s">
        <v>6210</v>
      </c>
      <c r="B1449" s="8" t="s">
        <v>532</v>
      </c>
      <c r="C1449" s="8" t="s">
        <v>613</v>
      </c>
      <c r="D1449" s="8" t="s">
        <v>3163</v>
      </c>
      <c r="E1449" s="8" t="s">
        <v>412</v>
      </c>
      <c r="F1449" s="11" t="s">
        <v>6211</v>
      </c>
      <c r="G1449" s="8"/>
    </row>
    <row r="1450" spans="1:9" ht="14.25" customHeight="1" x14ac:dyDescent="0.25">
      <c r="A1450" s="7" t="s">
        <v>6212</v>
      </c>
      <c r="B1450" s="8" t="s">
        <v>6213</v>
      </c>
      <c r="C1450" s="8" t="s">
        <v>6214</v>
      </c>
      <c r="D1450" s="8" t="s">
        <v>3163</v>
      </c>
      <c r="E1450" s="8" t="s">
        <v>412</v>
      </c>
      <c r="F1450" s="11" t="s">
        <v>6215</v>
      </c>
      <c r="G1450" s="8" t="s">
        <v>6216</v>
      </c>
      <c r="H1450" s="8" t="s">
        <v>6217</v>
      </c>
      <c r="I1450" s="8" t="s">
        <v>4039</v>
      </c>
    </row>
    <row r="1451" spans="1:9" ht="14.25" customHeight="1" x14ac:dyDescent="0.25">
      <c r="A1451" s="7" t="s">
        <v>6218</v>
      </c>
      <c r="B1451" s="8" t="s">
        <v>6219</v>
      </c>
      <c r="C1451" s="8" t="s">
        <v>6220</v>
      </c>
      <c r="D1451" s="8" t="s">
        <v>3163</v>
      </c>
      <c r="E1451" s="8" t="s">
        <v>412</v>
      </c>
      <c r="F1451" s="12" t="s">
        <v>6221</v>
      </c>
      <c r="G1451" s="8" t="s">
        <v>6222</v>
      </c>
      <c r="H1451" s="8" t="s">
        <v>61</v>
      </c>
      <c r="I1451" s="8" t="s">
        <v>6223</v>
      </c>
    </row>
    <row r="1452" spans="1:9" ht="14.25" customHeight="1" x14ac:dyDescent="0.25">
      <c r="A1452" s="7" t="s">
        <v>6224</v>
      </c>
      <c r="B1452" s="8" t="s">
        <v>3218</v>
      </c>
      <c r="C1452" s="8" t="s">
        <v>6225</v>
      </c>
      <c r="D1452" s="8" t="s">
        <v>411</v>
      </c>
      <c r="E1452" s="8" t="s">
        <v>412</v>
      </c>
      <c r="F1452" s="11" t="s">
        <v>6226</v>
      </c>
      <c r="G1452" s="8" t="s">
        <v>6227</v>
      </c>
      <c r="H1452" s="8" t="s">
        <v>2212</v>
      </c>
      <c r="I1452" s="8" t="s">
        <v>4039</v>
      </c>
    </row>
    <row r="1453" spans="1:9" ht="14.25" customHeight="1" x14ac:dyDescent="0.25">
      <c r="A1453" s="7" t="s">
        <v>6228</v>
      </c>
      <c r="B1453" s="8" t="s">
        <v>6229</v>
      </c>
      <c r="C1453" s="8" t="s">
        <v>6230</v>
      </c>
      <c r="D1453" s="8" t="s">
        <v>411</v>
      </c>
      <c r="E1453" s="8" t="s">
        <v>412</v>
      </c>
      <c r="F1453" s="11" t="s">
        <v>6231</v>
      </c>
      <c r="G1453" s="8" t="s">
        <v>6232</v>
      </c>
      <c r="H1453" s="8" t="s">
        <v>6233</v>
      </c>
      <c r="I1453" s="8" t="s">
        <v>3756</v>
      </c>
    </row>
    <row r="1454" spans="1:9" ht="14.25" customHeight="1" x14ac:dyDescent="0.25">
      <c r="A1454" s="7" t="s">
        <v>6234</v>
      </c>
      <c r="B1454" s="8" t="s">
        <v>6235</v>
      </c>
      <c r="C1454" s="8" t="s">
        <v>6236</v>
      </c>
      <c r="D1454" s="8" t="s">
        <v>411</v>
      </c>
      <c r="E1454" s="8" t="s">
        <v>412</v>
      </c>
      <c r="F1454" s="11" t="s">
        <v>6237</v>
      </c>
      <c r="G1454" s="8"/>
      <c r="I1454" s="8" t="s">
        <v>3756</v>
      </c>
    </row>
    <row r="1455" spans="1:9" ht="14.25" customHeight="1" x14ac:dyDescent="0.25">
      <c r="A1455" s="19" t="s">
        <v>6238</v>
      </c>
      <c r="B1455" s="8" t="s">
        <v>1072</v>
      </c>
      <c r="C1455" s="8" t="s">
        <v>79</v>
      </c>
      <c r="D1455" s="8" t="s">
        <v>3163</v>
      </c>
      <c r="E1455" s="8" t="s">
        <v>3890</v>
      </c>
      <c r="F1455" s="11" t="s">
        <v>6239</v>
      </c>
      <c r="G1455" s="8" t="s">
        <v>6240</v>
      </c>
      <c r="H1455" s="8" t="s">
        <v>20</v>
      </c>
      <c r="I1455" s="8" t="s">
        <v>3756</v>
      </c>
    </row>
    <row r="1456" spans="1:9" ht="14.25" customHeight="1" x14ac:dyDescent="0.25">
      <c r="A1456" s="7" t="s">
        <v>6241</v>
      </c>
      <c r="B1456" s="8" t="s">
        <v>6242</v>
      </c>
      <c r="C1456" s="8" t="s">
        <v>6243</v>
      </c>
      <c r="D1456" s="8" t="s">
        <v>411</v>
      </c>
      <c r="E1456" s="8" t="s">
        <v>3890</v>
      </c>
      <c r="F1456" s="11" t="s">
        <v>6244</v>
      </c>
      <c r="G1456" s="8" t="s">
        <v>6240</v>
      </c>
      <c r="H1456" s="8" t="s">
        <v>20</v>
      </c>
      <c r="I1456" s="8" t="s">
        <v>3756</v>
      </c>
    </row>
    <row r="1457" spans="1:9" ht="14.25" customHeight="1" x14ac:dyDescent="0.25">
      <c r="A1457" s="7" t="s">
        <v>6245</v>
      </c>
      <c r="B1457" s="8" t="s">
        <v>1767</v>
      </c>
      <c r="C1457" s="8" t="s">
        <v>6246</v>
      </c>
      <c r="D1457" s="8" t="s">
        <v>3163</v>
      </c>
      <c r="E1457" s="8" t="s">
        <v>3890</v>
      </c>
      <c r="G1457" s="8"/>
      <c r="I1457" s="8" t="s">
        <v>3756</v>
      </c>
    </row>
    <row r="1458" spans="1:9" ht="14.25" customHeight="1" x14ac:dyDescent="0.25">
      <c r="A1458" s="7" t="s">
        <v>6247</v>
      </c>
      <c r="B1458" s="8" t="s">
        <v>1463</v>
      </c>
      <c r="C1458" s="8" t="s">
        <v>6248</v>
      </c>
      <c r="D1458" s="8" t="s">
        <v>411</v>
      </c>
      <c r="E1458" s="8" t="s">
        <v>3890</v>
      </c>
      <c r="G1458" s="8" t="s">
        <v>6169</v>
      </c>
      <c r="H1458" s="8" t="s">
        <v>4317</v>
      </c>
      <c r="I1458" s="8" t="s">
        <v>4371</v>
      </c>
    </row>
    <row r="1459" spans="1:9" ht="14.25" customHeight="1" x14ac:dyDescent="0.25">
      <c r="A1459" s="7" t="s">
        <v>6249</v>
      </c>
      <c r="B1459" s="8" t="s">
        <v>2621</v>
      </c>
      <c r="C1459" s="8" t="s">
        <v>6250</v>
      </c>
      <c r="D1459" s="8" t="s">
        <v>3163</v>
      </c>
      <c r="E1459" s="8" t="s">
        <v>3890</v>
      </c>
      <c r="G1459" s="8" t="s">
        <v>6137</v>
      </c>
      <c r="H1459" s="8" t="s">
        <v>15</v>
      </c>
      <c r="I1459" s="8" t="s">
        <v>4371</v>
      </c>
    </row>
    <row r="1460" spans="1:9" ht="14.25" customHeight="1" x14ac:dyDescent="0.25">
      <c r="A1460" s="7" t="s">
        <v>6251</v>
      </c>
      <c r="B1460" s="8" t="s">
        <v>2382</v>
      </c>
      <c r="C1460" s="8" t="s">
        <v>6252</v>
      </c>
      <c r="D1460" s="8" t="s">
        <v>411</v>
      </c>
      <c r="E1460" s="8" t="s">
        <v>412</v>
      </c>
      <c r="F1460" s="11" t="s">
        <v>6253</v>
      </c>
      <c r="G1460" s="8" t="s">
        <v>6254</v>
      </c>
      <c r="H1460" s="8" t="s">
        <v>6255</v>
      </c>
      <c r="I1460" s="8" t="s">
        <v>4371</v>
      </c>
    </row>
    <row r="1461" spans="1:9" ht="14.25" customHeight="1" x14ac:dyDescent="0.25">
      <c r="A1461" s="7" t="s">
        <v>6256</v>
      </c>
      <c r="B1461" s="8" t="s">
        <v>6257</v>
      </c>
      <c r="C1461" s="8" t="s">
        <v>6258</v>
      </c>
      <c r="D1461" s="8" t="s">
        <v>411</v>
      </c>
      <c r="E1461" s="8" t="s">
        <v>412</v>
      </c>
      <c r="F1461" s="11" t="s">
        <v>6259</v>
      </c>
      <c r="G1461" s="8" t="s">
        <v>6260</v>
      </c>
      <c r="H1461" s="8" t="s">
        <v>5915</v>
      </c>
      <c r="I1461" s="8" t="s">
        <v>4039</v>
      </c>
    </row>
    <row r="1462" spans="1:9" ht="14.25" customHeight="1" x14ac:dyDescent="0.25">
      <c r="A1462" s="19" t="s">
        <v>6261</v>
      </c>
      <c r="B1462" s="8" t="s">
        <v>6262</v>
      </c>
      <c r="C1462" s="8" t="s">
        <v>537</v>
      </c>
      <c r="D1462" s="8" t="s">
        <v>411</v>
      </c>
      <c r="E1462" s="8" t="s">
        <v>412</v>
      </c>
      <c r="F1462" s="11" t="s">
        <v>6263</v>
      </c>
      <c r="G1462" s="8" t="s">
        <v>6264</v>
      </c>
      <c r="H1462" s="8" t="s">
        <v>6265</v>
      </c>
      <c r="I1462" s="8" t="s">
        <v>3756</v>
      </c>
    </row>
    <row r="1463" spans="1:9" ht="14.25" customHeight="1" x14ac:dyDescent="0.25">
      <c r="A1463" s="7" t="s">
        <v>6266</v>
      </c>
      <c r="B1463" s="8" t="s">
        <v>832</v>
      </c>
      <c r="C1463" s="8" t="s">
        <v>6267</v>
      </c>
      <c r="D1463" s="8" t="s">
        <v>411</v>
      </c>
      <c r="E1463" s="8" t="s">
        <v>412</v>
      </c>
      <c r="F1463" s="11" t="s">
        <v>6268</v>
      </c>
      <c r="G1463" s="8" t="s">
        <v>6269</v>
      </c>
      <c r="H1463" s="8" t="s">
        <v>72</v>
      </c>
      <c r="I1463" s="8" t="s">
        <v>4371</v>
      </c>
    </row>
    <row r="1464" spans="1:9" ht="14.25" customHeight="1" x14ac:dyDescent="0.25">
      <c r="A1464" s="7" t="s">
        <v>6270</v>
      </c>
      <c r="B1464" s="8" t="s">
        <v>6271</v>
      </c>
      <c r="C1464" s="8" t="s">
        <v>6272</v>
      </c>
      <c r="D1464" s="8" t="s">
        <v>411</v>
      </c>
      <c r="E1464" s="8" t="s">
        <v>412</v>
      </c>
      <c r="F1464" s="11" t="s">
        <v>6273</v>
      </c>
      <c r="G1464" s="8" t="s">
        <v>6274</v>
      </c>
      <c r="H1464" s="8" t="s">
        <v>61</v>
      </c>
      <c r="I1464" s="8" t="s">
        <v>5347</v>
      </c>
    </row>
    <row r="1465" spans="1:9" ht="14.25" customHeight="1" x14ac:dyDescent="0.25">
      <c r="A1465" s="7" t="s">
        <v>6275</v>
      </c>
      <c r="B1465" s="8" t="s">
        <v>6276</v>
      </c>
      <c r="C1465" s="8" t="s">
        <v>911</v>
      </c>
      <c r="D1465" s="8" t="s">
        <v>411</v>
      </c>
      <c r="E1465" s="8" t="s">
        <v>3890</v>
      </c>
      <c r="F1465" s="11" t="s">
        <v>6277</v>
      </c>
      <c r="G1465" s="8" t="s">
        <v>6278</v>
      </c>
      <c r="H1465" s="8" t="s">
        <v>49</v>
      </c>
      <c r="I1465" s="8" t="s">
        <v>3756</v>
      </c>
    </row>
    <row r="1466" spans="1:9" ht="14.25" customHeight="1" x14ac:dyDescent="0.25">
      <c r="A1466" s="7" t="s">
        <v>6279</v>
      </c>
      <c r="B1466" s="8" t="s">
        <v>6280</v>
      </c>
      <c r="C1466" s="8" t="s">
        <v>6281</v>
      </c>
      <c r="D1466" s="8" t="s">
        <v>3163</v>
      </c>
      <c r="E1466" s="8" t="s">
        <v>3890</v>
      </c>
      <c r="F1466" s="11" t="s">
        <v>6282</v>
      </c>
      <c r="G1466" s="8" t="s">
        <v>6283</v>
      </c>
      <c r="H1466" s="8" t="s">
        <v>4077</v>
      </c>
      <c r="I1466" s="8" t="s">
        <v>3756</v>
      </c>
    </row>
    <row r="1467" spans="1:9" ht="14.25" customHeight="1" x14ac:dyDescent="0.25">
      <c r="A1467" s="7" t="s">
        <v>6284</v>
      </c>
      <c r="B1467" s="8" t="s">
        <v>3564</v>
      </c>
      <c r="C1467" s="8" t="s">
        <v>3978</v>
      </c>
      <c r="D1467" s="8" t="s">
        <v>411</v>
      </c>
      <c r="E1467" s="8" t="s">
        <v>412</v>
      </c>
      <c r="F1467" s="11" t="s">
        <v>6285</v>
      </c>
      <c r="G1467" s="8" t="s">
        <v>6286</v>
      </c>
      <c r="H1467" s="8" t="s">
        <v>4317</v>
      </c>
      <c r="I1467" s="8" t="s">
        <v>3756</v>
      </c>
    </row>
    <row r="1468" spans="1:9" ht="14.25" customHeight="1" x14ac:dyDescent="0.25">
      <c r="A1468" s="7" t="s">
        <v>6287</v>
      </c>
      <c r="B1468" s="8" t="s">
        <v>6288</v>
      </c>
      <c r="C1468" s="8" t="s">
        <v>6289</v>
      </c>
      <c r="D1468" s="8"/>
      <c r="E1468" s="8" t="s">
        <v>412</v>
      </c>
      <c r="F1468" s="11" t="s">
        <v>6290</v>
      </c>
      <c r="G1468" s="8" t="s">
        <v>6291</v>
      </c>
      <c r="H1468" s="8" t="s">
        <v>3815</v>
      </c>
      <c r="I1468" s="8" t="s">
        <v>3756</v>
      </c>
    </row>
    <row r="1469" spans="1:9" ht="14.25" customHeight="1" x14ac:dyDescent="0.25">
      <c r="A1469" s="7" t="s">
        <v>6292</v>
      </c>
      <c r="B1469" s="8" t="s">
        <v>6293</v>
      </c>
      <c r="C1469" s="8" t="s">
        <v>6294</v>
      </c>
      <c r="D1469" s="8" t="s">
        <v>411</v>
      </c>
      <c r="E1469" s="8" t="s">
        <v>3890</v>
      </c>
      <c r="F1469" s="11" t="s">
        <v>6295</v>
      </c>
    </row>
    <row r="1470" spans="1:9" ht="14.25" customHeight="1" x14ac:dyDescent="0.25">
      <c r="A1470" s="7" t="s">
        <v>6296</v>
      </c>
      <c r="B1470" s="8" t="s">
        <v>5797</v>
      </c>
      <c r="C1470" s="8" t="s">
        <v>6297</v>
      </c>
      <c r="D1470" s="8" t="s">
        <v>3163</v>
      </c>
      <c r="E1470" s="8" t="s">
        <v>3890</v>
      </c>
    </row>
    <row r="1471" spans="1:9" ht="14.25" customHeight="1" x14ac:dyDescent="0.25">
      <c r="A1471" s="7" t="s">
        <v>6298</v>
      </c>
      <c r="B1471" s="8" t="s">
        <v>6299</v>
      </c>
      <c r="C1471" s="8" t="s">
        <v>6300</v>
      </c>
      <c r="D1471" s="8" t="s">
        <v>411</v>
      </c>
      <c r="E1471" s="8" t="s">
        <v>3890</v>
      </c>
      <c r="F1471" s="11" t="s">
        <v>6301</v>
      </c>
    </row>
    <row r="1472" spans="1:9" ht="14.25" customHeight="1" x14ac:dyDescent="0.25">
      <c r="A1472" s="7" t="s">
        <v>6302</v>
      </c>
      <c r="B1472" s="8" t="s">
        <v>6303</v>
      </c>
      <c r="C1472" s="8" t="s">
        <v>6304</v>
      </c>
      <c r="D1472" s="8"/>
      <c r="E1472" s="8" t="s">
        <v>3890</v>
      </c>
      <c r="F1472" s="12" t="s">
        <v>6305</v>
      </c>
    </row>
    <row r="1473" spans="1:9" ht="14.25" customHeight="1" x14ac:dyDescent="0.25">
      <c r="A1473" s="7" t="s">
        <v>6306</v>
      </c>
      <c r="B1473" s="8" t="s">
        <v>3478</v>
      </c>
      <c r="C1473" s="8" t="s">
        <v>4085</v>
      </c>
      <c r="D1473" s="8" t="s">
        <v>411</v>
      </c>
      <c r="F1473" s="12" t="s">
        <v>6307</v>
      </c>
      <c r="G1473" s="8" t="s">
        <v>6308</v>
      </c>
      <c r="H1473" s="8" t="s">
        <v>4199</v>
      </c>
      <c r="I1473" s="8" t="s">
        <v>3756</v>
      </c>
    </row>
    <row r="1474" spans="1:9" ht="14.25" customHeight="1" x14ac:dyDescent="0.25">
      <c r="A1474" s="19" t="s">
        <v>6309</v>
      </c>
      <c r="B1474" s="8" t="s">
        <v>1717</v>
      </c>
      <c r="C1474" s="8" t="s">
        <v>6310</v>
      </c>
      <c r="D1474" s="8" t="s">
        <v>411</v>
      </c>
      <c r="E1474" s="8" t="s">
        <v>412</v>
      </c>
      <c r="F1474" s="12" t="s">
        <v>6311</v>
      </c>
      <c r="G1474" s="8" t="s">
        <v>6312</v>
      </c>
      <c r="H1474" s="8" t="s">
        <v>5570</v>
      </c>
      <c r="I1474" s="8" t="s">
        <v>4039</v>
      </c>
    </row>
    <row r="1475" spans="1:9" ht="14.25" customHeight="1" x14ac:dyDescent="0.25">
      <c r="A1475" s="7" t="s">
        <v>6313</v>
      </c>
      <c r="B1475" s="8" t="s">
        <v>6314</v>
      </c>
      <c r="C1475" s="8" t="s">
        <v>6315</v>
      </c>
      <c r="D1475" s="8" t="s">
        <v>3163</v>
      </c>
      <c r="E1475" s="8" t="s">
        <v>412</v>
      </c>
      <c r="F1475" s="11" t="s">
        <v>6316</v>
      </c>
      <c r="G1475" s="8" t="s">
        <v>6317</v>
      </c>
      <c r="H1475" s="8" t="s">
        <v>3820</v>
      </c>
      <c r="I1475" s="8" t="s">
        <v>4039</v>
      </c>
    </row>
    <row r="1476" spans="1:9" ht="14.25" customHeight="1" x14ac:dyDescent="0.25">
      <c r="A1476" s="7" t="s">
        <v>6318</v>
      </c>
      <c r="B1476" s="8" t="s">
        <v>6319</v>
      </c>
      <c r="C1476" s="8" t="s">
        <v>6320</v>
      </c>
      <c r="D1476" s="8" t="s">
        <v>411</v>
      </c>
      <c r="E1476" s="8" t="s">
        <v>412</v>
      </c>
      <c r="F1476" s="11" t="s">
        <v>6321</v>
      </c>
      <c r="G1476" s="8" t="s">
        <v>6322</v>
      </c>
      <c r="H1476" s="8" t="s">
        <v>25</v>
      </c>
      <c r="I1476" s="8" t="s">
        <v>4039</v>
      </c>
    </row>
    <row r="1477" spans="1:9" ht="14.25" customHeight="1" x14ac:dyDescent="0.25">
      <c r="A1477" s="7" t="s">
        <v>6323</v>
      </c>
      <c r="B1477" s="8" t="s">
        <v>6324</v>
      </c>
      <c r="C1477" s="8" t="s">
        <v>6325</v>
      </c>
      <c r="D1477" s="8" t="s">
        <v>3163</v>
      </c>
      <c r="E1477" s="8" t="s">
        <v>3890</v>
      </c>
      <c r="F1477" s="11" t="s">
        <v>6326</v>
      </c>
      <c r="G1477" s="8" t="s">
        <v>6327</v>
      </c>
      <c r="H1477" s="8" t="s">
        <v>6328</v>
      </c>
    </row>
    <row r="1478" spans="1:9" ht="14.25" customHeight="1" x14ac:dyDescent="0.25">
      <c r="A1478" s="7" t="s">
        <v>6329</v>
      </c>
      <c r="B1478" s="8" t="s">
        <v>4840</v>
      </c>
      <c r="C1478" s="8" t="s">
        <v>6330</v>
      </c>
      <c r="D1478" s="8" t="s">
        <v>411</v>
      </c>
      <c r="E1478" s="8" t="s">
        <v>3890</v>
      </c>
      <c r="F1478" s="11" t="s">
        <v>6331</v>
      </c>
      <c r="G1478" s="8" t="s">
        <v>6332</v>
      </c>
      <c r="H1478" s="8" t="s">
        <v>61</v>
      </c>
      <c r="I1478" s="8" t="s">
        <v>4039</v>
      </c>
    </row>
    <row r="1479" spans="1:9" ht="14.25" customHeight="1" x14ac:dyDescent="0.25">
      <c r="A1479" s="7" t="s">
        <v>6333</v>
      </c>
      <c r="B1479" s="8" t="s">
        <v>5911</v>
      </c>
      <c r="C1479" s="8" t="s">
        <v>4424</v>
      </c>
      <c r="D1479" s="8" t="s">
        <v>3163</v>
      </c>
      <c r="E1479" s="8" t="s">
        <v>412</v>
      </c>
      <c r="F1479" s="11" t="s">
        <v>6334</v>
      </c>
      <c r="G1479" s="8" t="s">
        <v>6335</v>
      </c>
      <c r="H1479" s="8" t="s">
        <v>15</v>
      </c>
      <c r="I1479" s="8" t="s">
        <v>3756</v>
      </c>
    </row>
    <row r="1480" spans="1:9" ht="14.25" customHeight="1" x14ac:dyDescent="0.25">
      <c r="A1480" s="7" t="s">
        <v>6336</v>
      </c>
      <c r="B1480" s="8" t="s">
        <v>6337</v>
      </c>
      <c r="C1480" s="8" t="s">
        <v>6338</v>
      </c>
      <c r="D1480" s="8" t="s">
        <v>411</v>
      </c>
      <c r="E1480" s="8" t="s">
        <v>3890</v>
      </c>
      <c r="F1480" s="11" t="s">
        <v>6339</v>
      </c>
      <c r="G1480" s="8" t="s">
        <v>6340</v>
      </c>
      <c r="H1480" s="8" t="s">
        <v>6341</v>
      </c>
      <c r="I1480" s="8" t="s">
        <v>4039</v>
      </c>
    </row>
    <row r="1481" spans="1:9" ht="14.25" customHeight="1" x14ac:dyDescent="0.25">
      <c r="A1481" s="7" t="s">
        <v>6342</v>
      </c>
      <c r="B1481" s="8" t="s">
        <v>6343</v>
      </c>
      <c r="C1481" s="8" t="s">
        <v>6344</v>
      </c>
      <c r="D1481" s="8" t="s">
        <v>3163</v>
      </c>
      <c r="E1481" s="8" t="s">
        <v>3890</v>
      </c>
      <c r="F1481" s="11" t="s">
        <v>6345</v>
      </c>
    </row>
    <row r="1482" spans="1:9" ht="14.25" customHeight="1" x14ac:dyDescent="0.25">
      <c r="A1482" s="7" t="s">
        <v>6346</v>
      </c>
      <c r="B1482" s="8" t="s">
        <v>6347</v>
      </c>
      <c r="C1482" s="8" t="s">
        <v>6348</v>
      </c>
      <c r="D1482" s="8" t="s">
        <v>3163</v>
      </c>
      <c r="E1482" s="8" t="s">
        <v>412</v>
      </c>
      <c r="F1482" s="11" t="s">
        <v>6349</v>
      </c>
      <c r="G1482" s="8" t="s">
        <v>6350</v>
      </c>
      <c r="H1482" s="8" t="s">
        <v>6233</v>
      </c>
      <c r="I1482" s="8" t="s">
        <v>3756</v>
      </c>
    </row>
    <row r="1483" spans="1:9" ht="14.25" customHeight="1" x14ac:dyDescent="0.25">
      <c r="A1483" s="7" t="s">
        <v>6351</v>
      </c>
      <c r="B1483" s="8" t="s">
        <v>1629</v>
      </c>
      <c r="C1483" s="8" t="s">
        <v>2957</v>
      </c>
      <c r="D1483" s="8" t="s">
        <v>411</v>
      </c>
      <c r="E1483" s="8" t="s">
        <v>412</v>
      </c>
      <c r="F1483" s="11" t="s">
        <v>6352</v>
      </c>
      <c r="G1483" s="8" t="s">
        <v>6353</v>
      </c>
      <c r="H1483" s="8" t="s">
        <v>6255</v>
      </c>
      <c r="I1483" s="8" t="s">
        <v>5347</v>
      </c>
    </row>
    <row r="1484" spans="1:9" ht="14.25" customHeight="1" x14ac:dyDescent="0.25">
      <c r="A1484" s="7" t="s">
        <v>6354</v>
      </c>
      <c r="B1484" s="8" t="s">
        <v>58</v>
      </c>
      <c r="C1484" s="8" t="s">
        <v>6355</v>
      </c>
      <c r="D1484" s="8" t="s">
        <v>3163</v>
      </c>
      <c r="E1484" s="8" t="s">
        <v>412</v>
      </c>
      <c r="F1484" s="11" t="s">
        <v>6356</v>
      </c>
      <c r="G1484" s="8" t="s">
        <v>6357</v>
      </c>
      <c r="H1484" s="8" t="s">
        <v>6358</v>
      </c>
      <c r="I1484" s="8" t="s">
        <v>4039</v>
      </c>
    </row>
    <row r="1485" spans="1:9" ht="14.25" customHeight="1" x14ac:dyDescent="0.25">
      <c r="A1485" s="7" t="s">
        <v>6359</v>
      </c>
      <c r="B1485" s="8" t="s">
        <v>6360</v>
      </c>
      <c r="C1485" s="8" t="s">
        <v>6361</v>
      </c>
      <c r="D1485" s="8" t="s">
        <v>411</v>
      </c>
      <c r="E1485" s="8" t="s">
        <v>4021</v>
      </c>
      <c r="F1485" s="11" t="s">
        <v>6362</v>
      </c>
      <c r="G1485" s="8" t="s">
        <v>6363</v>
      </c>
      <c r="H1485" s="8" t="s">
        <v>102</v>
      </c>
      <c r="I1485" s="8" t="s">
        <v>4039</v>
      </c>
    </row>
    <row r="1486" spans="1:9" ht="14.25" customHeight="1" x14ac:dyDescent="0.25">
      <c r="A1486" s="7" t="s">
        <v>6364</v>
      </c>
      <c r="B1486" s="8" t="s">
        <v>6365</v>
      </c>
      <c r="C1486" s="8" t="s">
        <v>6366</v>
      </c>
      <c r="D1486" s="8"/>
      <c r="E1486" s="8" t="s">
        <v>3890</v>
      </c>
      <c r="F1486" s="11" t="s">
        <v>6367</v>
      </c>
      <c r="G1486" s="8" t="s">
        <v>6368</v>
      </c>
      <c r="H1486" s="8" t="s">
        <v>25</v>
      </c>
      <c r="I1486" s="8" t="s">
        <v>4039</v>
      </c>
    </row>
    <row r="1487" spans="1:9" ht="14.25" customHeight="1" x14ac:dyDescent="0.25">
      <c r="A1487" s="7" t="s">
        <v>6369</v>
      </c>
      <c r="B1487" s="8" t="s">
        <v>6370</v>
      </c>
      <c r="C1487" s="8" t="s">
        <v>6371</v>
      </c>
      <c r="D1487" s="8"/>
      <c r="E1487" s="8" t="s">
        <v>3890</v>
      </c>
    </row>
    <row r="1488" spans="1:9" ht="14.25" customHeight="1" x14ac:dyDescent="0.25">
      <c r="A1488" s="7" t="s">
        <v>6372</v>
      </c>
      <c r="B1488" s="8" t="s">
        <v>6373</v>
      </c>
      <c r="C1488" s="8" t="s">
        <v>6374</v>
      </c>
      <c r="D1488" s="8" t="s">
        <v>3163</v>
      </c>
      <c r="E1488" s="8" t="s">
        <v>3890</v>
      </c>
      <c r="F1488" s="11" t="s">
        <v>6375</v>
      </c>
      <c r="G1488" s="8" t="s">
        <v>6376</v>
      </c>
      <c r="H1488" s="8" t="s">
        <v>6377</v>
      </c>
      <c r="I1488" s="8" t="s">
        <v>4039</v>
      </c>
    </row>
    <row r="1489" spans="1:9" ht="14.25" customHeight="1" x14ac:dyDescent="0.25">
      <c r="A1489" s="7" t="s">
        <v>6378</v>
      </c>
      <c r="B1489" s="8" t="s">
        <v>6379</v>
      </c>
      <c r="C1489" s="8" t="s">
        <v>6380</v>
      </c>
      <c r="D1489" s="8" t="s">
        <v>411</v>
      </c>
      <c r="E1489" s="8" t="s">
        <v>3890</v>
      </c>
    </row>
    <row r="1490" spans="1:9" ht="14.25" customHeight="1" x14ac:dyDescent="0.25">
      <c r="A1490" s="19" t="s">
        <v>6381</v>
      </c>
      <c r="B1490" s="8" t="s">
        <v>6382</v>
      </c>
      <c r="C1490" s="8" t="s">
        <v>150</v>
      </c>
      <c r="D1490" s="8" t="s">
        <v>3163</v>
      </c>
      <c r="E1490" s="8" t="s">
        <v>412</v>
      </c>
      <c r="F1490" s="11" t="s">
        <v>6383</v>
      </c>
      <c r="G1490" s="8" t="s">
        <v>6384</v>
      </c>
      <c r="H1490" s="8" t="s">
        <v>61</v>
      </c>
      <c r="I1490" s="8" t="s">
        <v>3756</v>
      </c>
    </row>
    <row r="1491" spans="1:9" ht="14.25" customHeight="1" x14ac:dyDescent="0.25">
      <c r="A1491" s="7" t="s">
        <v>6385</v>
      </c>
      <c r="B1491" s="8" t="s">
        <v>4629</v>
      </c>
      <c r="C1491" s="8" t="s">
        <v>6386</v>
      </c>
      <c r="D1491" s="8" t="s">
        <v>411</v>
      </c>
      <c r="E1491" s="8" t="s">
        <v>412</v>
      </c>
      <c r="F1491" s="11" t="s">
        <v>6387</v>
      </c>
      <c r="G1491" s="8" t="s">
        <v>6388</v>
      </c>
      <c r="H1491" s="8" t="s">
        <v>4199</v>
      </c>
      <c r="I1491" s="8" t="s">
        <v>5347</v>
      </c>
    </row>
    <row r="1492" spans="1:9" ht="14.25" customHeight="1" x14ac:dyDescent="0.25">
      <c r="A1492" s="7" t="s">
        <v>6389</v>
      </c>
      <c r="B1492" s="8" t="s">
        <v>6390</v>
      </c>
      <c r="C1492" s="8" t="s">
        <v>6391</v>
      </c>
      <c r="D1492" s="8" t="s">
        <v>3163</v>
      </c>
      <c r="E1492" s="8" t="s">
        <v>412</v>
      </c>
      <c r="F1492" s="11" t="s">
        <v>6392</v>
      </c>
      <c r="G1492" s="8" t="s">
        <v>6312</v>
      </c>
      <c r="H1492" s="8" t="s">
        <v>5570</v>
      </c>
      <c r="I1492" s="8" t="s">
        <v>4039</v>
      </c>
    </row>
    <row r="1493" spans="1:9" ht="14.25" customHeight="1" x14ac:dyDescent="0.25">
      <c r="A1493" s="19" t="s">
        <v>6393</v>
      </c>
      <c r="B1493" s="8" t="s">
        <v>6293</v>
      </c>
      <c r="C1493" s="8" t="s">
        <v>6394</v>
      </c>
      <c r="D1493" s="8" t="s">
        <v>411</v>
      </c>
      <c r="E1493" s="8" t="s">
        <v>412</v>
      </c>
      <c r="F1493" s="11" t="s">
        <v>6395</v>
      </c>
      <c r="G1493" s="8" t="s">
        <v>6396</v>
      </c>
      <c r="H1493" s="8" t="s">
        <v>20</v>
      </c>
      <c r="I1493" s="8" t="s">
        <v>4039</v>
      </c>
    </row>
    <row r="1494" spans="1:9" ht="14.25" customHeight="1" x14ac:dyDescent="0.25">
      <c r="A1494" s="19" t="s">
        <v>6397</v>
      </c>
      <c r="B1494" s="8" t="s">
        <v>6398</v>
      </c>
      <c r="C1494" s="8" t="s">
        <v>6399</v>
      </c>
      <c r="D1494" s="8" t="s">
        <v>411</v>
      </c>
      <c r="E1494" s="8" t="s">
        <v>412</v>
      </c>
      <c r="F1494" s="11" t="s">
        <v>6400</v>
      </c>
      <c r="G1494" s="8" t="s">
        <v>6401</v>
      </c>
      <c r="H1494" s="8" t="s">
        <v>2212</v>
      </c>
      <c r="I1494" s="8" t="s">
        <v>4039</v>
      </c>
    </row>
    <row r="1495" spans="1:9" ht="14.25" customHeight="1" x14ac:dyDescent="0.25">
      <c r="A1495" s="7" t="s">
        <v>6402</v>
      </c>
      <c r="B1495" s="8" t="s">
        <v>4979</v>
      </c>
      <c r="C1495" s="8" t="s">
        <v>6403</v>
      </c>
      <c r="D1495" s="8" t="s">
        <v>411</v>
      </c>
      <c r="E1495" s="8" t="s">
        <v>412</v>
      </c>
      <c r="F1495" s="11" t="s">
        <v>6404</v>
      </c>
      <c r="G1495" s="8" t="s">
        <v>6405</v>
      </c>
      <c r="H1495" s="8" t="s">
        <v>4199</v>
      </c>
      <c r="I1495" s="8" t="s">
        <v>4039</v>
      </c>
    </row>
    <row r="1496" spans="1:9" ht="14.25" customHeight="1" x14ac:dyDescent="0.25">
      <c r="A1496" s="7" t="s">
        <v>6406</v>
      </c>
      <c r="B1496" s="8" t="s">
        <v>6407</v>
      </c>
      <c r="C1496" s="8" t="s">
        <v>6408</v>
      </c>
      <c r="D1496" s="8" t="s">
        <v>3163</v>
      </c>
      <c r="E1496" s="8" t="s">
        <v>3890</v>
      </c>
      <c r="F1496" s="11" t="s">
        <v>6409</v>
      </c>
      <c r="G1496" s="8" t="s">
        <v>6410</v>
      </c>
      <c r="H1496" s="8" t="s">
        <v>5186</v>
      </c>
      <c r="I1496" s="8" t="s">
        <v>4039</v>
      </c>
    </row>
    <row r="1497" spans="1:9" ht="14.25" customHeight="1" x14ac:dyDescent="0.25">
      <c r="A1497" s="7" t="s">
        <v>6411</v>
      </c>
      <c r="B1497" s="8" t="s">
        <v>6412</v>
      </c>
      <c r="C1497" s="8" t="s">
        <v>6413</v>
      </c>
      <c r="D1497" s="8" t="s">
        <v>411</v>
      </c>
      <c r="E1497" s="8" t="s">
        <v>3890</v>
      </c>
    </row>
    <row r="1498" spans="1:9" ht="14.25" customHeight="1" x14ac:dyDescent="0.25">
      <c r="A1498" s="7" t="s">
        <v>6414</v>
      </c>
      <c r="B1498" s="8" t="s">
        <v>6415</v>
      </c>
      <c r="C1498" s="8" t="s">
        <v>6416</v>
      </c>
      <c r="D1498" s="8" t="s">
        <v>3163</v>
      </c>
      <c r="E1498" s="8" t="s">
        <v>412</v>
      </c>
      <c r="F1498" s="11" t="s">
        <v>6417</v>
      </c>
      <c r="G1498" s="8" t="s">
        <v>6418</v>
      </c>
      <c r="H1498" s="8" t="s">
        <v>2212</v>
      </c>
      <c r="I1498" s="8" t="s">
        <v>4039</v>
      </c>
    </row>
    <row r="1499" spans="1:9" ht="14.25" customHeight="1" x14ac:dyDescent="0.25">
      <c r="A1499" s="7" t="s">
        <v>6419</v>
      </c>
      <c r="B1499" s="8" t="s">
        <v>6420</v>
      </c>
      <c r="C1499" s="8" t="s">
        <v>6421</v>
      </c>
      <c r="D1499" s="8" t="s">
        <v>411</v>
      </c>
      <c r="E1499" s="8" t="s">
        <v>412</v>
      </c>
      <c r="F1499" s="11" t="s">
        <v>6422</v>
      </c>
      <c r="G1499" s="8" t="s">
        <v>6423</v>
      </c>
      <c r="H1499" s="8" t="s">
        <v>3820</v>
      </c>
      <c r="I1499" s="8" t="s">
        <v>3756</v>
      </c>
    </row>
    <row r="1500" spans="1:9" ht="14.25" customHeight="1" x14ac:dyDescent="0.25">
      <c r="A1500" s="7" t="s">
        <v>6424</v>
      </c>
      <c r="B1500" s="8" t="s">
        <v>2559</v>
      </c>
      <c r="C1500" s="8" t="s">
        <v>6425</v>
      </c>
      <c r="D1500" s="8" t="s">
        <v>3163</v>
      </c>
      <c r="E1500" s="8" t="s">
        <v>412</v>
      </c>
      <c r="F1500" s="11" t="s">
        <v>6426</v>
      </c>
      <c r="G1500" s="8" t="s">
        <v>6427</v>
      </c>
      <c r="H1500" s="8" t="s">
        <v>72</v>
      </c>
      <c r="I1500" s="8" t="s">
        <v>3756</v>
      </c>
    </row>
    <row r="1501" spans="1:9" ht="14.25" customHeight="1" x14ac:dyDescent="0.25">
      <c r="A1501" s="7" t="s">
        <v>6428</v>
      </c>
      <c r="B1501" s="8" t="s">
        <v>2674</v>
      </c>
      <c r="C1501" s="8" t="s">
        <v>6429</v>
      </c>
      <c r="D1501" s="8" t="s">
        <v>3163</v>
      </c>
      <c r="E1501" s="8" t="s">
        <v>1359</v>
      </c>
      <c r="F1501" s="11" t="s">
        <v>6430</v>
      </c>
      <c r="G1501" s="8" t="s">
        <v>6431</v>
      </c>
      <c r="H1501" s="8" t="s">
        <v>4077</v>
      </c>
      <c r="I1501" s="8" t="s">
        <v>3756</v>
      </c>
    </row>
    <row r="1502" spans="1:9" ht="14.25" customHeight="1" x14ac:dyDescent="0.25">
      <c r="A1502" s="7" t="s">
        <v>6432</v>
      </c>
      <c r="B1502" s="8" t="s">
        <v>6433</v>
      </c>
      <c r="C1502" s="8" t="s">
        <v>6434</v>
      </c>
      <c r="D1502" s="8" t="s">
        <v>411</v>
      </c>
      <c r="E1502" s="8" t="s">
        <v>412</v>
      </c>
      <c r="F1502" s="11" t="s">
        <v>6435</v>
      </c>
      <c r="G1502" s="8" t="s">
        <v>6436</v>
      </c>
      <c r="H1502" s="8" t="s">
        <v>6437</v>
      </c>
    </row>
    <row r="1503" spans="1:9" ht="14.25" customHeight="1" x14ac:dyDescent="0.25">
      <c r="A1503" s="7" t="s">
        <v>6438</v>
      </c>
      <c r="B1503" s="8" t="s">
        <v>6439</v>
      </c>
      <c r="C1503" s="8" t="s">
        <v>6440</v>
      </c>
      <c r="D1503" s="8" t="s">
        <v>3163</v>
      </c>
      <c r="E1503" s="8" t="s">
        <v>412</v>
      </c>
      <c r="F1503" s="11" t="s">
        <v>6441</v>
      </c>
      <c r="G1503" s="8" t="s">
        <v>6442</v>
      </c>
      <c r="H1503" s="8" t="s">
        <v>2212</v>
      </c>
      <c r="I1503" s="8" t="s">
        <v>4039</v>
      </c>
    </row>
    <row r="1504" spans="1:9" ht="14.25" customHeight="1" x14ac:dyDescent="0.25">
      <c r="A1504" s="7" t="s">
        <v>6443</v>
      </c>
      <c r="B1504" s="8" t="s">
        <v>1861</v>
      </c>
      <c r="C1504" s="8" t="s">
        <v>6444</v>
      </c>
      <c r="D1504" s="8" t="s">
        <v>3163</v>
      </c>
      <c r="E1504" s="8" t="s">
        <v>412</v>
      </c>
      <c r="F1504" s="11" t="s">
        <v>6445</v>
      </c>
      <c r="G1504" s="8" t="s">
        <v>6446</v>
      </c>
      <c r="H1504" s="8" t="s">
        <v>37</v>
      </c>
      <c r="I1504" s="8" t="s">
        <v>5347</v>
      </c>
    </row>
    <row r="1505" spans="1:9" ht="14.25" customHeight="1" x14ac:dyDescent="0.25">
      <c r="A1505" s="7" t="s">
        <v>6447</v>
      </c>
      <c r="B1505" s="8" t="s">
        <v>39</v>
      </c>
      <c r="C1505" s="8" t="s">
        <v>6448</v>
      </c>
      <c r="D1505" s="8" t="s">
        <v>411</v>
      </c>
      <c r="E1505" s="8" t="s">
        <v>412</v>
      </c>
      <c r="F1505" s="11" t="s">
        <v>6449</v>
      </c>
      <c r="G1505" s="8" t="s">
        <v>6450</v>
      </c>
      <c r="H1505" s="8" t="s">
        <v>6451</v>
      </c>
      <c r="I1505" s="8" t="s">
        <v>3756</v>
      </c>
    </row>
    <row r="1506" spans="1:9" ht="14.25" customHeight="1" x14ac:dyDescent="0.25">
      <c r="A1506" s="7" t="s">
        <v>6452</v>
      </c>
      <c r="B1506" s="8" t="s">
        <v>4687</v>
      </c>
      <c r="C1506" s="8" t="s">
        <v>6453</v>
      </c>
      <c r="D1506" s="8" t="s">
        <v>411</v>
      </c>
      <c r="E1506" s="8" t="s">
        <v>412</v>
      </c>
      <c r="F1506" s="11" t="s">
        <v>6454</v>
      </c>
      <c r="G1506" s="8" t="s">
        <v>6455</v>
      </c>
      <c r="H1506" s="8" t="s">
        <v>6456</v>
      </c>
      <c r="I1506" s="8" t="s">
        <v>4039</v>
      </c>
    </row>
    <row r="1507" spans="1:9" ht="14.25" customHeight="1" x14ac:dyDescent="0.25">
      <c r="A1507" s="7" t="s">
        <v>6457</v>
      </c>
      <c r="B1507" s="8" t="s">
        <v>6458</v>
      </c>
      <c r="C1507" s="8" t="s">
        <v>6459</v>
      </c>
      <c r="D1507" s="8" t="s">
        <v>3163</v>
      </c>
      <c r="E1507" s="8" t="s">
        <v>412</v>
      </c>
      <c r="F1507" s="11" t="s">
        <v>6460</v>
      </c>
      <c r="G1507" s="8" t="s">
        <v>6461</v>
      </c>
      <c r="H1507" s="8" t="s">
        <v>37</v>
      </c>
      <c r="I1507" s="8" t="s">
        <v>3756</v>
      </c>
    </row>
    <row r="1508" spans="1:9" ht="14.25" customHeight="1" x14ac:dyDescent="0.25">
      <c r="A1508" s="7" t="s">
        <v>6462</v>
      </c>
      <c r="B1508" s="8" t="s">
        <v>1861</v>
      </c>
      <c r="C1508" s="8" t="s">
        <v>6463</v>
      </c>
      <c r="D1508" s="8" t="s">
        <v>3163</v>
      </c>
      <c r="E1508" s="8" t="s">
        <v>412</v>
      </c>
      <c r="F1508" s="11" t="s">
        <v>6464</v>
      </c>
      <c r="G1508" s="8" t="s">
        <v>6465</v>
      </c>
      <c r="H1508" s="8" t="s">
        <v>5186</v>
      </c>
      <c r="I1508" s="8" t="s">
        <v>4039</v>
      </c>
    </row>
    <row r="1509" spans="1:9" ht="14.25" customHeight="1" x14ac:dyDescent="0.25">
      <c r="A1509" s="19" t="s">
        <v>6466</v>
      </c>
      <c r="B1509" s="8" t="s">
        <v>6467</v>
      </c>
      <c r="C1509" s="8" t="s">
        <v>6468</v>
      </c>
      <c r="D1509" s="8" t="s">
        <v>3163</v>
      </c>
      <c r="E1509" s="8" t="s">
        <v>412</v>
      </c>
    </row>
    <row r="1510" spans="1:9" ht="14.25" customHeight="1" x14ac:dyDescent="0.25">
      <c r="A1510" s="7" t="s">
        <v>6469</v>
      </c>
      <c r="B1510" s="8" t="s">
        <v>659</v>
      </c>
      <c r="C1510" s="8" t="s">
        <v>6470</v>
      </c>
      <c r="D1510" s="8" t="s">
        <v>3163</v>
      </c>
      <c r="E1510" s="8" t="s">
        <v>412</v>
      </c>
      <c r="F1510" s="11" t="s">
        <v>6471</v>
      </c>
      <c r="G1510" s="8" t="s">
        <v>6472</v>
      </c>
      <c r="H1510" s="8" t="s">
        <v>6104</v>
      </c>
      <c r="I1510" s="8" t="s">
        <v>3756</v>
      </c>
    </row>
    <row r="1511" spans="1:9" ht="14.25" customHeight="1" x14ac:dyDescent="0.25">
      <c r="A1511" s="7" t="s">
        <v>6473</v>
      </c>
      <c r="B1511" s="8" t="s">
        <v>155</v>
      </c>
      <c r="C1511" s="8" t="s">
        <v>6474</v>
      </c>
      <c r="D1511" s="8" t="s">
        <v>411</v>
      </c>
      <c r="E1511" s="8" t="s">
        <v>412</v>
      </c>
    </row>
    <row r="1512" spans="1:9" ht="14.25" customHeight="1" x14ac:dyDescent="0.25">
      <c r="A1512" s="7" t="s">
        <v>6475</v>
      </c>
      <c r="B1512" s="8" t="s">
        <v>6476</v>
      </c>
      <c r="C1512" s="8" t="s">
        <v>6477</v>
      </c>
      <c r="D1512" s="8" t="s">
        <v>411</v>
      </c>
      <c r="E1512" s="8" t="s">
        <v>412</v>
      </c>
      <c r="F1512" s="11" t="s">
        <v>6478</v>
      </c>
      <c r="G1512" s="8" t="s">
        <v>6479</v>
      </c>
      <c r="H1512" s="8" t="s">
        <v>6480</v>
      </c>
      <c r="I1512" s="8" t="s">
        <v>3756</v>
      </c>
    </row>
    <row r="1513" spans="1:9" ht="14.25" customHeight="1" x14ac:dyDescent="0.25">
      <c r="A1513" s="7" t="s">
        <v>6481</v>
      </c>
      <c r="B1513" s="8" t="s">
        <v>6482</v>
      </c>
      <c r="C1513" s="8" t="s">
        <v>6483</v>
      </c>
      <c r="D1513" s="8" t="s">
        <v>411</v>
      </c>
      <c r="E1513" s="8" t="s">
        <v>412</v>
      </c>
      <c r="F1513" s="11" t="s">
        <v>6484</v>
      </c>
      <c r="G1513" s="8" t="s">
        <v>6485</v>
      </c>
      <c r="H1513" s="8" t="s">
        <v>92</v>
      </c>
      <c r="I1513" s="8" t="s">
        <v>3756</v>
      </c>
    </row>
    <row r="1514" spans="1:9" ht="14.25" customHeight="1" x14ac:dyDescent="0.25">
      <c r="A1514" s="7" t="s">
        <v>6486</v>
      </c>
      <c r="B1514" s="8" t="s">
        <v>2464</v>
      </c>
      <c r="C1514" s="8" t="s">
        <v>3723</v>
      </c>
      <c r="D1514" s="8" t="s">
        <v>3163</v>
      </c>
      <c r="E1514" s="8" t="s">
        <v>412</v>
      </c>
      <c r="F1514" s="11" t="s">
        <v>6487</v>
      </c>
      <c r="G1514" s="8" t="s">
        <v>6488</v>
      </c>
      <c r="H1514" s="8" t="s">
        <v>6489</v>
      </c>
      <c r="I1514" s="8" t="s">
        <v>3756</v>
      </c>
    </row>
    <row r="1515" spans="1:9" ht="14.25" customHeight="1" x14ac:dyDescent="0.25">
      <c r="A1515" s="7" t="s">
        <v>6490</v>
      </c>
      <c r="B1515" s="8" t="s">
        <v>5375</v>
      </c>
      <c r="C1515" s="8" t="s">
        <v>6041</v>
      </c>
      <c r="D1515" s="8" t="s">
        <v>3163</v>
      </c>
      <c r="E1515" s="8" t="s">
        <v>412</v>
      </c>
      <c r="F1515" s="11" t="s">
        <v>6491</v>
      </c>
      <c r="G1515" s="8" t="s">
        <v>4058</v>
      </c>
      <c r="H1515" s="8" t="s">
        <v>4059</v>
      </c>
      <c r="I1515" s="8" t="s">
        <v>4404</v>
      </c>
    </row>
    <row r="1516" spans="1:9" ht="14.25" customHeight="1" x14ac:dyDescent="0.25">
      <c r="A1516" s="7" t="s">
        <v>6492</v>
      </c>
      <c r="B1516" s="8" t="s">
        <v>2150</v>
      </c>
      <c r="C1516" s="8" t="s">
        <v>6493</v>
      </c>
      <c r="D1516" s="8" t="s">
        <v>411</v>
      </c>
      <c r="E1516" s="8" t="s">
        <v>412</v>
      </c>
      <c r="F1516" s="11" t="s">
        <v>6494</v>
      </c>
      <c r="G1516" s="8" t="s">
        <v>6495</v>
      </c>
      <c r="H1516" s="8" t="s">
        <v>6496</v>
      </c>
      <c r="I1516" s="8" t="s">
        <v>3756</v>
      </c>
    </row>
    <row r="1517" spans="1:9" ht="14.25" customHeight="1" x14ac:dyDescent="0.25">
      <c r="A1517" s="7" t="s">
        <v>6497</v>
      </c>
      <c r="B1517" s="8" t="s">
        <v>5694</v>
      </c>
      <c r="C1517" s="8" t="s">
        <v>6498</v>
      </c>
      <c r="D1517" s="8" t="s">
        <v>3163</v>
      </c>
      <c r="E1517" s="8" t="s">
        <v>412</v>
      </c>
      <c r="F1517" s="11" t="s">
        <v>6499</v>
      </c>
      <c r="G1517" s="8" t="s">
        <v>6500</v>
      </c>
      <c r="H1517" s="8" t="s">
        <v>6501</v>
      </c>
      <c r="I1517" s="8" t="s">
        <v>4039</v>
      </c>
    </row>
    <row r="1518" spans="1:9" ht="14.25" customHeight="1" x14ac:dyDescent="0.25">
      <c r="A1518" s="7" t="s">
        <v>6502</v>
      </c>
      <c r="B1518" s="8" t="s">
        <v>4875</v>
      </c>
      <c r="C1518" s="8" t="s">
        <v>6503</v>
      </c>
      <c r="D1518" s="8" t="s">
        <v>411</v>
      </c>
      <c r="E1518" s="8" t="s">
        <v>412</v>
      </c>
      <c r="F1518" s="11" t="s">
        <v>6504</v>
      </c>
      <c r="G1518" s="8" t="s">
        <v>6505</v>
      </c>
      <c r="H1518" s="8" t="s">
        <v>72</v>
      </c>
      <c r="I1518" s="8" t="s">
        <v>3756</v>
      </c>
    </row>
    <row r="1519" spans="1:9" ht="14.25" customHeight="1" x14ac:dyDescent="0.25">
      <c r="A1519" s="7" t="s">
        <v>6506</v>
      </c>
      <c r="B1519" s="8" t="s">
        <v>6507</v>
      </c>
      <c r="C1519" s="8" t="s">
        <v>6508</v>
      </c>
      <c r="D1519" s="8" t="s">
        <v>411</v>
      </c>
      <c r="E1519" s="8" t="s">
        <v>412</v>
      </c>
      <c r="F1519" s="11" t="s">
        <v>6509</v>
      </c>
      <c r="G1519" s="8" t="s">
        <v>6510</v>
      </c>
      <c r="H1519" s="8" t="s">
        <v>6511</v>
      </c>
      <c r="I1519" s="8" t="s">
        <v>3756</v>
      </c>
    </row>
    <row r="1520" spans="1:9" ht="14.25" customHeight="1" x14ac:dyDescent="0.25">
      <c r="A1520" s="7" t="s">
        <v>6512</v>
      </c>
      <c r="B1520" s="8" t="s">
        <v>1463</v>
      </c>
      <c r="C1520" s="8" t="s">
        <v>6513</v>
      </c>
      <c r="D1520" s="8" t="s">
        <v>411</v>
      </c>
      <c r="E1520" s="8" t="s">
        <v>412</v>
      </c>
      <c r="F1520" s="11" t="s">
        <v>6514</v>
      </c>
    </row>
    <row r="1521" spans="1:9" ht="14.25" customHeight="1" x14ac:dyDescent="0.25">
      <c r="A1521" s="7" t="s">
        <v>6515</v>
      </c>
      <c r="B1521" s="8" t="s">
        <v>6516</v>
      </c>
      <c r="C1521" s="8" t="s">
        <v>6517</v>
      </c>
      <c r="D1521" s="8" t="s">
        <v>411</v>
      </c>
      <c r="E1521" s="8" t="s">
        <v>3890</v>
      </c>
      <c r="F1521" s="11" t="s">
        <v>6518</v>
      </c>
      <c r="G1521" s="8" t="s">
        <v>6519</v>
      </c>
      <c r="H1521" s="8" t="s">
        <v>61</v>
      </c>
      <c r="I1521" s="8" t="s">
        <v>4039</v>
      </c>
    </row>
    <row r="1522" spans="1:9" ht="14.25" customHeight="1" x14ac:dyDescent="0.25">
      <c r="A1522" s="7" t="s">
        <v>6520</v>
      </c>
      <c r="B1522" s="8" t="s">
        <v>6521</v>
      </c>
      <c r="C1522" s="8" t="s">
        <v>6522</v>
      </c>
      <c r="D1522" s="8" t="s">
        <v>3163</v>
      </c>
      <c r="E1522" s="8" t="s">
        <v>3890</v>
      </c>
    </row>
    <row r="1523" spans="1:9" ht="14.25" customHeight="1" x14ac:dyDescent="0.25">
      <c r="A1523" s="19" t="s">
        <v>6523</v>
      </c>
      <c r="B1523" s="8" t="s">
        <v>6077</v>
      </c>
      <c r="C1523" s="8" t="s">
        <v>6524</v>
      </c>
      <c r="D1523" s="8" t="s">
        <v>411</v>
      </c>
      <c r="E1523" s="8" t="s">
        <v>412</v>
      </c>
      <c r="F1523" s="11" t="s">
        <v>6525</v>
      </c>
      <c r="G1523" s="8" t="s">
        <v>6526</v>
      </c>
      <c r="H1523" s="8" t="s">
        <v>61</v>
      </c>
      <c r="I1523" s="8" t="s">
        <v>4371</v>
      </c>
    </row>
    <row r="1524" spans="1:9" ht="14.25" customHeight="1" x14ac:dyDescent="0.25">
      <c r="A1524" s="7" t="s">
        <v>6527</v>
      </c>
      <c r="B1524" s="8" t="s">
        <v>6276</v>
      </c>
      <c r="C1524" s="8" t="s">
        <v>6528</v>
      </c>
      <c r="D1524" s="8" t="s">
        <v>411</v>
      </c>
      <c r="E1524" s="8" t="s">
        <v>412</v>
      </c>
      <c r="F1524" s="11" t="s">
        <v>6529</v>
      </c>
      <c r="G1524" s="8" t="s">
        <v>6530</v>
      </c>
      <c r="H1524" s="8" t="s">
        <v>4077</v>
      </c>
      <c r="I1524" s="8" t="s">
        <v>3756</v>
      </c>
    </row>
    <row r="1525" spans="1:9" ht="14.25" customHeight="1" x14ac:dyDescent="0.25">
      <c r="A1525" s="7" t="s">
        <v>6531</v>
      </c>
      <c r="B1525" s="8" t="s">
        <v>6532</v>
      </c>
      <c r="C1525" s="8" t="s">
        <v>486</v>
      </c>
      <c r="D1525" s="8" t="s">
        <v>411</v>
      </c>
      <c r="E1525" s="8" t="s">
        <v>1359</v>
      </c>
      <c r="F1525" s="11" t="s">
        <v>6533</v>
      </c>
      <c r="G1525" s="8" t="s">
        <v>6534</v>
      </c>
      <c r="H1525" s="8" t="s">
        <v>2212</v>
      </c>
      <c r="I1525" s="8" t="s">
        <v>4371</v>
      </c>
    </row>
    <row r="1526" spans="1:9" ht="14.25" customHeight="1" x14ac:dyDescent="0.25">
      <c r="A1526" s="7" t="s">
        <v>6535</v>
      </c>
      <c r="B1526" s="8" t="s">
        <v>1584</v>
      </c>
      <c r="C1526" s="8" t="s">
        <v>6536</v>
      </c>
      <c r="D1526" s="8" t="s">
        <v>3163</v>
      </c>
      <c r="E1526" s="8" t="s">
        <v>3890</v>
      </c>
      <c r="F1526" s="11" t="s">
        <v>6537</v>
      </c>
    </row>
    <row r="1527" spans="1:9" ht="14.25" customHeight="1" x14ac:dyDescent="0.25">
      <c r="A1527" s="7" t="s">
        <v>6538</v>
      </c>
      <c r="B1527" s="8" t="s">
        <v>6539</v>
      </c>
      <c r="C1527" s="8" t="s">
        <v>6540</v>
      </c>
      <c r="D1527" s="8" t="s">
        <v>411</v>
      </c>
      <c r="E1527" s="8" t="s">
        <v>412</v>
      </c>
      <c r="F1527" s="11" t="s">
        <v>6541</v>
      </c>
      <c r="G1527" s="8" t="s">
        <v>6542</v>
      </c>
      <c r="H1527" s="8" t="s">
        <v>5652</v>
      </c>
      <c r="I1527" s="8" t="s">
        <v>4039</v>
      </c>
    </row>
    <row r="1528" spans="1:9" ht="14.25" customHeight="1" x14ac:dyDescent="0.25">
      <c r="A1528" s="7" t="s">
        <v>6543</v>
      </c>
      <c r="B1528" s="8" t="s">
        <v>6544</v>
      </c>
      <c r="C1528" s="8" t="s">
        <v>6545</v>
      </c>
      <c r="D1528" s="8" t="s">
        <v>411</v>
      </c>
      <c r="E1528" s="8" t="s">
        <v>412</v>
      </c>
      <c r="F1528" s="11" t="s">
        <v>6546</v>
      </c>
      <c r="I1528" s="8" t="s">
        <v>4039</v>
      </c>
    </row>
    <row r="1529" spans="1:9" ht="14.25" customHeight="1" x14ac:dyDescent="0.25">
      <c r="A1529" s="7" t="s">
        <v>6547</v>
      </c>
      <c r="B1529" s="8" t="s">
        <v>6548</v>
      </c>
      <c r="C1529" s="8" t="s">
        <v>1530</v>
      </c>
      <c r="D1529" s="8" t="s">
        <v>411</v>
      </c>
      <c r="E1529" s="8" t="s">
        <v>412</v>
      </c>
      <c r="F1529" s="12" t="s">
        <v>6549</v>
      </c>
      <c r="G1529" s="23" t="s">
        <v>6550</v>
      </c>
      <c r="H1529" s="23" t="s">
        <v>6551</v>
      </c>
      <c r="I1529" s="8" t="s">
        <v>3756</v>
      </c>
    </row>
    <row r="1530" spans="1:9" ht="14.25" customHeight="1" x14ac:dyDescent="0.25">
      <c r="A1530" s="7" t="s">
        <v>6552</v>
      </c>
      <c r="B1530" s="8" t="s">
        <v>3361</v>
      </c>
      <c r="C1530" s="8" t="s">
        <v>6553</v>
      </c>
      <c r="D1530" s="8" t="s">
        <v>3163</v>
      </c>
      <c r="E1530" s="8" t="s">
        <v>412</v>
      </c>
      <c r="F1530" s="11" t="s">
        <v>6554</v>
      </c>
      <c r="G1530" s="8" t="s">
        <v>6555</v>
      </c>
      <c r="H1530" s="8" t="s">
        <v>82</v>
      </c>
      <c r="I1530" s="8" t="s">
        <v>3756</v>
      </c>
    </row>
    <row r="1531" spans="1:9" ht="14.25" customHeight="1" x14ac:dyDescent="0.25">
      <c r="A1531" s="7" t="s">
        <v>6556</v>
      </c>
      <c r="B1531" s="8" t="s">
        <v>1150</v>
      </c>
      <c r="C1531" s="8" t="s">
        <v>911</v>
      </c>
      <c r="D1531" s="8" t="s">
        <v>411</v>
      </c>
      <c r="E1531" s="8" t="s">
        <v>412</v>
      </c>
      <c r="F1531" s="11" t="s">
        <v>6557</v>
      </c>
      <c r="G1531" s="8" t="s">
        <v>6558</v>
      </c>
      <c r="H1531" s="8" t="s">
        <v>6559</v>
      </c>
      <c r="I1531" s="8" t="s">
        <v>4039</v>
      </c>
    </row>
    <row r="1532" spans="1:9" ht="14.25" customHeight="1" x14ac:dyDescent="0.25">
      <c r="A1532" s="7" t="s">
        <v>6560</v>
      </c>
      <c r="B1532" s="8" t="s">
        <v>6561</v>
      </c>
      <c r="C1532" s="8" t="s">
        <v>6562</v>
      </c>
      <c r="D1532" s="8" t="s">
        <v>411</v>
      </c>
      <c r="E1532" s="8" t="s">
        <v>412</v>
      </c>
      <c r="F1532" s="11" t="s">
        <v>6563</v>
      </c>
      <c r="G1532" s="8" t="s">
        <v>6564</v>
      </c>
      <c r="H1532" s="8" t="s">
        <v>82</v>
      </c>
      <c r="I1532" s="8" t="s">
        <v>4039</v>
      </c>
    </row>
    <row r="1533" spans="1:9" ht="14.25" customHeight="1" x14ac:dyDescent="0.25">
      <c r="A1533" s="7" t="s">
        <v>6565</v>
      </c>
      <c r="B1533" s="8" t="s">
        <v>6566</v>
      </c>
      <c r="C1533" s="8" t="s">
        <v>6567</v>
      </c>
      <c r="D1533" s="8" t="s">
        <v>411</v>
      </c>
      <c r="E1533" s="8" t="s">
        <v>3890</v>
      </c>
      <c r="F1533" s="11" t="s">
        <v>6568</v>
      </c>
      <c r="G1533" s="8" t="s">
        <v>6569</v>
      </c>
      <c r="H1533" s="8" t="s">
        <v>5652</v>
      </c>
      <c r="I1533" s="8" t="s">
        <v>4039</v>
      </c>
    </row>
    <row r="1534" spans="1:9" ht="14.25" customHeight="1" x14ac:dyDescent="0.25">
      <c r="A1534" s="7" t="s">
        <v>6570</v>
      </c>
      <c r="B1534" s="8" t="s">
        <v>659</v>
      </c>
      <c r="C1534" s="8" t="s">
        <v>6571</v>
      </c>
      <c r="D1534" s="8" t="s">
        <v>3163</v>
      </c>
      <c r="E1534" s="8" t="s">
        <v>3890</v>
      </c>
      <c r="G1534" s="8" t="s">
        <v>6569</v>
      </c>
      <c r="H1534" s="8" t="s">
        <v>5652</v>
      </c>
      <c r="I1534" s="8" t="s">
        <v>4039</v>
      </c>
    </row>
    <row r="1535" spans="1:9" ht="14.25" customHeight="1" x14ac:dyDescent="0.25">
      <c r="A1535" s="7" t="s">
        <v>6572</v>
      </c>
      <c r="B1535" s="8" t="s">
        <v>3633</v>
      </c>
      <c r="C1535" s="8" t="s">
        <v>6573</v>
      </c>
      <c r="D1535" s="8" t="s">
        <v>3163</v>
      </c>
      <c r="E1535" s="8" t="s">
        <v>412</v>
      </c>
      <c r="F1535" s="11" t="s">
        <v>6574</v>
      </c>
      <c r="G1535" s="8" t="s">
        <v>6575</v>
      </c>
      <c r="H1535" s="8" t="s">
        <v>2212</v>
      </c>
      <c r="I1535" s="8" t="s">
        <v>4039</v>
      </c>
    </row>
    <row r="1536" spans="1:9" ht="14.25" customHeight="1" x14ac:dyDescent="0.25">
      <c r="A1536" s="7" t="s">
        <v>6576</v>
      </c>
      <c r="B1536" s="8" t="s">
        <v>2334</v>
      </c>
      <c r="C1536" s="8" t="s">
        <v>2784</v>
      </c>
      <c r="D1536" s="8" t="s">
        <v>411</v>
      </c>
      <c r="E1536" s="8" t="s">
        <v>412</v>
      </c>
    </row>
    <row r="1537" spans="1:9" ht="14.25" customHeight="1" x14ac:dyDescent="0.25">
      <c r="A1537" s="7" t="s">
        <v>6577</v>
      </c>
      <c r="B1537" s="8" t="s">
        <v>6578</v>
      </c>
      <c r="C1537" s="8" t="s">
        <v>2470</v>
      </c>
      <c r="D1537" s="8"/>
      <c r="E1537" s="8" t="s">
        <v>412</v>
      </c>
      <c r="F1537" s="11" t="s">
        <v>6579</v>
      </c>
    </row>
    <row r="1538" spans="1:9" ht="14.25" customHeight="1" x14ac:dyDescent="0.25">
      <c r="A1538" s="7" t="s">
        <v>6580</v>
      </c>
      <c r="B1538" s="8" t="s">
        <v>6581</v>
      </c>
      <c r="C1538" s="8" t="s">
        <v>6582</v>
      </c>
      <c r="D1538" s="8"/>
      <c r="E1538" s="8" t="s">
        <v>412</v>
      </c>
      <c r="F1538" s="11" t="s">
        <v>6583</v>
      </c>
    </row>
    <row r="1539" spans="1:9" ht="14.25" customHeight="1" x14ac:dyDescent="0.25">
      <c r="A1539" s="7" t="s">
        <v>6584</v>
      </c>
      <c r="B1539" s="8" t="s">
        <v>6585</v>
      </c>
      <c r="C1539" s="8" t="s">
        <v>6586</v>
      </c>
      <c r="D1539" s="8" t="s">
        <v>411</v>
      </c>
      <c r="E1539" s="8" t="s">
        <v>3890</v>
      </c>
      <c r="F1539" s="11" t="s">
        <v>6587</v>
      </c>
      <c r="G1539" s="8" t="s">
        <v>6588</v>
      </c>
      <c r="H1539" s="8" t="s">
        <v>4619</v>
      </c>
      <c r="I1539" s="8" t="s">
        <v>4039</v>
      </c>
    </row>
    <row r="1540" spans="1:9" ht="14.25" customHeight="1" x14ac:dyDescent="0.25">
      <c r="A1540" s="7" t="s">
        <v>6589</v>
      </c>
      <c r="B1540" s="8" t="s">
        <v>6590</v>
      </c>
      <c r="C1540" s="8" t="s">
        <v>6586</v>
      </c>
      <c r="D1540" s="8" t="s">
        <v>3163</v>
      </c>
      <c r="E1540" s="8" t="s">
        <v>3890</v>
      </c>
      <c r="F1540" s="11" t="s">
        <v>6591</v>
      </c>
      <c r="G1540" s="8" t="s">
        <v>6588</v>
      </c>
      <c r="H1540" s="8" t="s">
        <v>4619</v>
      </c>
      <c r="I1540" s="8" t="s">
        <v>4039</v>
      </c>
    </row>
    <row r="1541" spans="1:9" ht="14.25" customHeight="1" x14ac:dyDescent="0.25">
      <c r="A1541" s="7" t="s">
        <v>6592</v>
      </c>
      <c r="B1541" s="8" t="s">
        <v>5972</v>
      </c>
      <c r="C1541" s="8" t="s">
        <v>6593</v>
      </c>
      <c r="D1541" s="8" t="s">
        <v>411</v>
      </c>
      <c r="E1541" s="8" t="s">
        <v>412</v>
      </c>
      <c r="F1541" s="11" t="s">
        <v>6594</v>
      </c>
      <c r="G1541" s="8" t="s">
        <v>6595</v>
      </c>
      <c r="H1541" s="8" t="s">
        <v>6596</v>
      </c>
      <c r="I1541" s="8" t="s">
        <v>4039</v>
      </c>
    </row>
    <row r="1542" spans="1:9" ht="14.25" customHeight="1" x14ac:dyDescent="0.25">
      <c r="A1542" s="7" t="s">
        <v>6597</v>
      </c>
      <c r="B1542" s="8" t="s">
        <v>3758</v>
      </c>
      <c r="C1542" s="8" t="s">
        <v>6598</v>
      </c>
      <c r="D1542" s="8" t="s">
        <v>411</v>
      </c>
      <c r="E1542" s="8" t="s">
        <v>412</v>
      </c>
      <c r="F1542" s="11" t="s">
        <v>6599</v>
      </c>
      <c r="G1542" s="8" t="s">
        <v>6600</v>
      </c>
      <c r="H1542" s="8" t="s">
        <v>37</v>
      </c>
      <c r="I1542" s="8" t="s">
        <v>4039</v>
      </c>
    </row>
    <row r="1543" spans="1:9" ht="14.25" customHeight="1" x14ac:dyDescent="0.25">
      <c r="A1543" s="7" t="s">
        <v>6601</v>
      </c>
      <c r="B1543" s="8" t="s">
        <v>6602</v>
      </c>
      <c r="C1543" s="8" t="s">
        <v>6603</v>
      </c>
      <c r="D1543" s="8" t="s">
        <v>411</v>
      </c>
      <c r="E1543" s="8" t="s">
        <v>412</v>
      </c>
      <c r="F1543" s="11" t="s">
        <v>6604</v>
      </c>
      <c r="G1543" s="8" t="s">
        <v>6605</v>
      </c>
      <c r="H1543" s="8" t="s">
        <v>6143</v>
      </c>
      <c r="I1543" s="8" t="s">
        <v>3756</v>
      </c>
    </row>
    <row r="1544" spans="1:9" ht="14.25" customHeight="1" x14ac:dyDescent="0.25">
      <c r="A1544" s="7" t="s">
        <v>6606</v>
      </c>
      <c r="B1544" s="8" t="s">
        <v>6280</v>
      </c>
      <c r="C1544" s="8" t="s">
        <v>156</v>
      </c>
      <c r="D1544" s="8" t="s">
        <v>3163</v>
      </c>
      <c r="E1544" s="8" t="s">
        <v>3890</v>
      </c>
      <c r="F1544" s="11" t="s">
        <v>6607</v>
      </c>
      <c r="G1544" s="8" t="s">
        <v>6608</v>
      </c>
      <c r="H1544" s="8" t="s">
        <v>6609</v>
      </c>
      <c r="I1544" s="8" t="s">
        <v>4039</v>
      </c>
    </row>
    <row r="1545" spans="1:9" ht="14.25" customHeight="1" x14ac:dyDescent="0.25">
      <c r="A1545" s="7" t="s">
        <v>6610</v>
      </c>
      <c r="B1545" s="8" t="s">
        <v>2224</v>
      </c>
      <c r="C1545" s="8" t="s">
        <v>6611</v>
      </c>
      <c r="D1545" s="8" t="s">
        <v>411</v>
      </c>
      <c r="E1545" s="8" t="s">
        <v>3890</v>
      </c>
    </row>
    <row r="1546" spans="1:9" ht="14.25" customHeight="1" x14ac:dyDescent="0.25">
      <c r="A1546" s="7" t="s">
        <v>6612</v>
      </c>
      <c r="B1546" s="8" t="s">
        <v>5947</v>
      </c>
      <c r="C1546" s="8" t="s">
        <v>6613</v>
      </c>
      <c r="D1546" s="8" t="s">
        <v>411</v>
      </c>
      <c r="E1546" s="8" t="s">
        <v>412</v>
      </c>
      <c r="F1546" s="11" t="s">
        <v>6614</v>
      </c>
      <c r="G1546" s="8" t="s">
        <v>6615</v>
      </c>
      <c r="H1546" s="24" t="s">
        <v>92</v>
      </c>
      <c r="I1546" s="8" t="s">
        <v>4039</v>
      </c>
    </row>
    <row r="1547" spans="1:9" ht="14.25" customHeight="1" x14ac:dyDescent="0.25">
      <c r="A1547" s="7" t="s">
        <v>6616</v>
      </c>
      <c r="B1547" s="8" t="s">
        <v>6617</v>
      </c>
      <c r="C1547" s="8" t="s">
        <v>6618</v>
      </c>
      <c r="D1547" s="8" t="s">
        <v>3163</v>
      </c>
      <c r="E1547" s="8" t="s">
        <v>412</v>
      </c>
      <c r="F1547" s="11" t="s">
        <v>6619</v>
      </c>
      <c r="G1547" s="8" t="s">
        <v>6620</v>
      </c>
      <c r="H1547" s="8" t="s">
        <v>4199</v>
      </c>
      <c r="I1547" s="8" t="s">
        <v>3756</v>
      </c>
    </row>
    <row r="1548" spans="1:9" ht="14.25" customHeight="1" x14ac:dyDescent="0.25">
      <c r="A1548" s="7" t="s">
        <v>6621</v>
      </c>
      <c r="B1548" s="8" t="s">
        <v>2720</v>
      </c>
      <c r="C1548" s="8" t="s">
        <v>6622</v>
      </c>
      <c r="D1548" s="8" t="s">
        <v>3163</v>
      </c>
      <c r="E1548" s="8" t="s">
        <v>412</v>
      </c>
      <c r="F1548" s="11" t="s">
        <v>6623</v>
      </c>
      <c r="G1548" s="8" t="s">
        <v>6624</v>
      </c>
      <c r="H1548" s="8" t="s">
        <v>4651</v>
      </c>
      <c r="I1548" s="8" t="s">
        <v>3756</v>
      </c>
    </row>
    <row r="1549" spans="1:9" ht="14.25" customHeight="1" x14ac:dyDescent="0.25">
      <c r="A1549" s="7" t="s">
        <v>6625</v>
      </c>
      <c r="B1549" s="8" t="s">
        <v>1727</v>
      </c>
      <c r="C1549" s="8" t="s">
        <v>6626</v>
      </c>
      <c r="D1549" s="8" t="s">
        <v>411</v>
      </c>
      <c r="E1549" s="8" t="s">
        <v>3890</v>
      </c>
      <c r="F1549" s="11" t="s">
        <v>6627</v>
      </c>
      <c r="G1549" s="8" t="s">
        <v>6628</v>
      </c>
      <c r="H1549" s="8" t="s">
        <v>6629</v>
      </c>
      <c r="I1549" s="8" t="s">
        <v>4039</v>
      </c>
    </row>
    <row r="1550" spans="1:9" ht="14.25" customHeight="1" x14ac:dyDescent="0.25">
      <c r="A1550" s="7" t="s">
        <v>6630</v>
      </c>
      <c r="B1550" s="8" t="s">
        <v>1767</v>
      </c>
      <c r="C1550" s="8" t="s">
        <v>150</v>
      </c>
      <c r="D1550" s="8" t="s">
        <v>3163</v>
      </c>
      <c r="E1550" s="8" t="s">
        <v>3890</v>
      </c>
      <c r="F1550" s="11" t="s">
        <v>6631</v>
      </c>
      <c r="G1550" s="8" t="s">
        <v>6628</v>
      </c>
      <c r="H1550" s="8" t="s">
        <v>6629</v>
      </c>
      <c r="I1550" s="8" t="s">
        <v>4039</v>
      </c>
    </row>
    <row r="1551" spans="1:9" ht="14.25" customHeight="1" x14ac:dyDescent="0.25">
      <c r="A1551" s="7" t="s">
        <v>6632</v>
      </c>
      <c r="B1551" s="8" t="s">
        <v>4723</v>
      </c>
      <c r="C1551" s="8" t="s">
        <v>6633</v>
      </c>
      <c r="D1551" s="8" t="s">
        <v>3163</v>
      </c>
      <c r="E1551" s="8" t="s">
        <v>412</v>
      </c>
      <c r="F1551" s="11" t="s">
        <v>6634</v>
      </c>
      <c r="G1551" s="8" t="s">
        <v>6635</v>
      </c>
      <c r="H1551" s="8" t="s">
        <v>6636</v>
      </c>
      <c r="I1551" s="8" t="s">
        <v>3756</v>
      </c>
    </row>
    <row r="1552" spans="1:9" ht="14.25" customHeight="1" x14ac:dyDescent="0.25">
      <c r="A1552" s="7" t="s">
        <v>6637</v>
      </c>
      <c r="B1552" s="8" t="s">
        <v>6638</v>
      </c>
      <c r="C1552" s="8" t="s">
        <v>5529</v>
      </c>
      <c r="D1552" s="8" t="s">
        <v>411</v>
      </c>
      <c r="E1552" s="8" t="s">
        <v>412</v>
      </c>
      <c r="F1552" s="11" t="s">
        <v>6639</v>
      </c>
      <c r="G1552" s="8" t="s">
        <v>6640</v>
      </c>
      <c r="H1552" s="8" t="s">
        <v>4330</v>
      </c>
      <c r="I1552" s="8" t="s">
        <v>3756</v>
      </c>
    </row>
    <row r="1553" spans="1:9" ht="14.25" customHeight="1" x14ac:dyDescent="0.25">
      <c r="A1553" s="7" t="s">
        <v>6641</v>
      </c>
      <c r="B1553" s="8" t="s">
        <v>6642</v>
      </c>
      <c r="C1553" s="8" t="s">
        <v>6643</v>
      </c>
      <c r="D1553" s="8" t="s">
        <v>411</v>
      </c>
      <c r="E1553" s="8" t="s">
        <v>412</v>
      </c>
      <c r="F1553" s="11" t="s">
        <v>6644</v>
      </c>
      <c r="G1553" s="8" t="s">
        <v>6645</v>
      </c>
      <c r="H1553" s="8" t="s">
        <v>6646</v>
      </c>
      <c r="I1553" s="8" t="s">
        <v>4039</v>
      </c>
    </row>
    <row r="1554" spans="1:9" ht="14.25" customHeight="1" x14ac:dyDescent="0.25">
      <c r="A1554" s="7" t="s">
        <v>6647</v>
      </c>
      <c r="B1554" s="8" t="s">
        <v>1676</v>
      </c>
      <c r="C1554" s="8" t="s">
        <v>6562</v>
      </c>
      <c r="D1554" s="8" t="s">
        <v>411</v>
      </c>
      <c r="E1554" s="8" t="s">
        <v>412</v>
      </c>
      <c r="F1554" s="11" t="s">
        <v>6648</v>
      </c>
      <c r="G1554" s="8" t="s">
        <v>6649</v>
      </c>
      <c r="H1554" s="8" t="s">
        <v>61</v>
      </c>
      <c r="I1554" s="8" t="s">
        <v>3756</v>
      </c>
    </row>
    <row r="1555" spans="1:9" ht="14.25" customHeight="1" x14ac:dyDescent="0.25">
      <c r="A1555" s="7" t="s">
        <v>6650</v>
      </c>
      <c r="B1555" s="8" t="s">
        <v>6651</v>
      </c>
      <c r="C1555" s="8" t="s">
        <v>6652</v>
      </c>
      <c r="D1555" s="8" t="s">
        <v>411</v>
      </c>
      <c r="E1555" s="8" t="s">
        <v>412</v>
      </c>
      <c r="F1555" s="11" t="s">
        <v>6653</v>
      </c>
      <c r="G1555" s="8" t="s">
        <v>6654</v>
      </c>
      <c r="H1555" s="8" t="s">
        <v>25</v>
      </c>
      <c r="I1555" s="8" t="s">
        <v>5347</v>
      </c>
    </row>
    <row r="1556" spans="1:9" ht="14.25" customHeight="1" x14ac:dyDescent="0.25">
      <c r="A1556" s="7" t="s">
        <v>6655</v>
      </c>
      <c r="B1556" s="8" t="s">
        <v>4675</v>
      </c>
      <c r="C1556" s="8" t="s">
        <v>6656</v>
      </c>
      <c r="D1556" s="8" t="s">
        <v>411</v>
      </c>
      <c r="E1556" s="8" t="s">
        <v>412</v>
      </c>
      <c r="F1556" s="11" t="s">
        <v>6657</v>
      </c>
      <c r="G1556" s="8" t="s">
        <v>6658</v>
      </c>
      <c r="H1556" s="8" t="s">
        <v>5186</v>
      </c>
      <c r="I1556" s="8" t="s">
        <v>3756</v>
      </c>
    </row>
    <row r="1557" spans="1:9" ht="14.25" customHeight="1" x14ac:dyDescent="0.25">
      <c r="A1557" s="7" t="s">
        <v>6659</v>
      </c>
      <c r="B1557" s="8" t="s">
        <v>6660</v>
      </c>
      <c r="C1557" s="8" t="s">
        <v>6661</v>
      </c>
      <c r="D1557" s="8" t="s">
        <v>411</v>
      </c>
      <c r="E1557" s="8" t="s">
        <v>412</v>
      </c>
      <c r="F1557" s="11" t="s">
        <v>6662</v>
      </c>
      <c r="G1557" s="8" t="s">
        <v>6663</v>
      </c>
      <c r="H1557" s="8" t="s">
        <v>4317</v>
      </c>
      <c r="I1557" s="8" t="s">
        <v>3756</v>
      </c>
    </row>
    <row r="1558" spans="1:9" ht="14.25" customHeight="1" x14ac:dyDescent="0.25">
      <c r="A1558" s="7" t="s">
        <v>6664</v>
      </c>
      <c r="B1558" s="8" t="s">
        <v>6665</v>
      </c>
      <c r="C1558" s="8" t="s">
        <v>6666</v>
      </c>
      <c r="D1558" s="8" t="s">
        <v>411</v>
      </c>
      <c r="E1558" s="8" t="s">
        <v>412</v>
      </c>
      <c r="F1558" s="11" t="s">
        <v>6667</v>
      </c>
      <c r="G1558" s="8" t="s">
        <v>6668</v>
      </c>
      <c r="H1558" s="24" t="s">
        <v>82</v>
      </c>
      <c r="I1558" s="8" t="s">
        <v>4039</v>
      </c>
    </row>
    <row r="1559" spans="1:9" ht="14.25" customHeight="1" x14ac:dyDescent="0.25">
      <c r="A1559" s="7" t="s">
        <v>6669</v>
      </c>
      <c r="B1559" s="8" t="s">
        <v>6548</v>
      </c>
      <c r="C1559" s="8" t="s">
        <v>6670</v>
      </c>
      <c r="D1559" s="8" t="s">
        <v>411</v>
      </c>
      <c r="E1559" s="8" t="s">
        <v>412</v>
      </c>
      <c r="F1559" s="11" t="s">
        <v>6671</v>
      </c>
      <c r="G1559" s="8" t="s">
        <v>6672</v>
      </c>
      <c r="H1559" s="24" t="s">
        <v>92</v>
      </c>
      <c r="I1559" s="8" t="s">
        <v>3756</v>
      </c>
    </row>
    <row r="1560" spans="1:9" ht="14.25" customHeight="1" x14ac:dyDescent="0.25">
      <c r="A1560" s="7" t="s">
        <v>6673</v>
      </c>
      <c r="B1560" s="8" t="s">
        <v>2382</v>
      </c>
      <c r="C1560" s="8" t="s">
        <v>6674</v>
      </c>
      <c r="D1560" s="8" t="s">
        <v>411</v>
      </c>
      <c r="E1560" s="8" t="s">
        <v>3890</v>
      </c>
      <c r="F1560" s="11" t="s">
        <v>6675</v>
      </c>
      <c r="G1560" s="8" t="s">
        <v>6676</v>
      </c>
      <c r="H1560" s="8" t="s">
        <v>5814</v>
      </c>
      <c r="I1560" s="8" t="s">
        <v>3756</v>
      </c>
    </row>
    <row r="1561" spans="1:9" ht="14.25" customHeight="1" x14ac:dyDescent="0.25">
      <c r="A1561" s="7" t="s">
        <v>6677</v>
      </c>
      <c r="B1561" s="8" t="s">
        <v>2464</v>
      </c>
      <c r="C1561" s="8" t="s">
        <v>2919</v>
      </c>
      <c r="D1561" s="8" t="s">
        <v>3163</v>
      </c>
      <c r="E1561" s="8" t="s">
        <v>3890</v>
      </c>
    </row>
    <row r="1562" spans="1:9" ht="14.25" customHeight="1" x14ac:dyDescent="0.25">
      <c r="A1562" s="7" t="s">
        <v>6678</v>
      </c>
      <c r="B1562" s="8" t="s">
        <v>3361</v>
      </c>
      <c r="C1562" s="8" t="s">
        <v>6145</v>
      </c>
      <c r="D1562" s="8" t="s">
        <v>3163</v>
      </c>
      <c r="E1562" s="8" t="s">
        <v>3890</v>
      </c>
    </row>
    <row r="1563" spans="1:9" ht="14.25" customHeight="1" x14ac:dyDescent="0.25">
      <c r="A1563" s="7" t="s">
        <v>6679</v>
      </c>
      <c r="B1563" s="8" t="s">
        <v>6680</v>
      </c>
      <c r="C1563" s="8" t="s">
        <v>6681</v>
      </c>
      <c r="D1563" s="8" t="s">
        <v>411</v>
      </c>
      <c r="E1563" s="8" t="s">
        <v>1359</v>
      </c>
      <c r="F1563" s="11" t="s">
        <v>6682</v>
      </c>
      <c r="G1563" s="8" t="s">
        <v>6683</v>
      </c>
      <c r="H1563" s="8" t="s">
        <v>37</v>
      </c>
      <c r="I1563" s="8" t="s">
        <v>4039</v>
      </c>
    </row>
    <row r="1564" spans="1:9" ht="14.25" customHeight="1" x14ac:dyDescent="0.25">
      <c r="A1564" s="7" t="s">
        <v>6684</v>
      </c>
      <c r="B1564" s="8" t="s">
        <v>1808</v>
      </c>
      <c r="C1564" s="8" t="s">
        <v>6685</v>
      </c>
      <c r="D1564" s="8" t="s">
        <v>3163</v>
      </c>
      <c r="E1564" s="8" t="s">
        <v>412</v>
      </c>
      <c r="F1564" s="11" t="s">
        <v>6686</v>
      </c>
      <c r="G1564" s="8" t="s">
        <v>6687</v>
      </c>
      <c r="H1564" s="8" t="s">
        <v>2212</v>
      </c>
      <c r="I1564" s="8" t="s">
        <v>4039</v>
      </c>
    </row>
    <row r="1565" spans="1:9" ht="14.25" customHeight="1" x14ac:dyDescent="0.25">
      <c r="A1565" s="7" t="s">
        <v>6688</v>
      </c>
      <c r="B1565" s="8" t="s">
        <v>933</v>
      </c>
      <c r="C1565" s="8" t="s">
        <v>6689</v>
      </c>
      <c r="D1565" s="8" t="s">
        <v>3163</v>
      </c>
      <c r="E1565" s="8" t="s">
        <v>412</v>
      </c>
      <c r="F1565" s="11" t="s">
        <v>6690</v>
      </c>
      <c r="G1565" s="8" t="s">
        <v>6691</v>
      </c>
      <c r="H1565" s="8" t="s">
        <v>6692</v>
      </c>
      <c r="I1565" s="8" t="s">
        <v>3756</v>
      </c>
    </row>
    <row r="1566" spans="1:9" ht="14.25" customHeight="1" x14ac:dyDescent="0.25">
      <c r="A1566" s="7" t="s">
        <v>6693</v>
      </c>
      <c r="B1566" s="8" t="s">
        <v>6694</v>
      </c>
      <c r="C1566" s="8" t="s">
        <v>6695</v>
      </c>
      <c r="D1566" s="8" t="s">
        <v>3163</v>
      </c>
      <c r="E1566" s="8" t="s">
        <v>3890</v>
      </c>
      <c r="F1566" s="11" t="s">
        <v>6696</v>
      </c>
      <c r="G1566" s="8" t="s">
        <v>6697</v>
      </c>
      <c r="H1566" s="8" t="s">
        <v>6698</v>
      </c>
      <c r="I1566" s="8" t="s">
        <v>4039</v>
      </c>
    </row>
    <row r="1567" spans="1:9" ht="14.25" customHeight="1" x14ac:dyDescent="0.25">
      <c r="A1567" s="7" t="s">
        <v>6699</v>
      </c>
      <c r="B1567" s="8" t="s">
        <v>6700</v>
      </c>
      <c r="C1567" s="8" t="s">
        <v>6701</v>
      </c>
      <c r="D1567" s="8" t="s">
        <v>411</v>
      </c>
      <c r="E1567" s="8" t="s">
        <v>3890</v>
      </c>
      <c r="F1567" s="11" t="s">
        <v>6702</v>
      </c>
      <c r="G1567" s="8" t="s">
        <v>6697</v>
      </c>
      <c r="H1567" s="8" t="s">
        <v>6698</v>
      </c>
      <c r="I1567" s="8" t="s">
        <v>4039</v>
      </c>
    </row>
    <row r="1568" spans="1:9" ht="14.25" customHeight="1" x14ac:dyDescent="0.25">
      <c r="A1568" s="7" t="s">
        <v>6703</v>
      </c>
      <c r="B1568" s="8" t="s">
        <v>4000</v>
      </c>
      <c r="C1568" s="8" t="s">
        <v>2559</v>
      </c>
      <c r="D1568" s="8" t="s">
        <v>3163</v>
      </c>
      <c r="E1568" s="8" t="s">
        <v>412</v>
      </c>
      <c r="F1568" s="23" t="s">
        <v>6704</v>
      </c>
      <c r="G1568" s="8"/>
      <c r="I1568" s="8" t="s">
        <v>3756</v>
      </c>
    </row>
    <row r="1569" spans="1:9" ht="14.25" customHeight="1" x14ac:dyDescent="0.25">
      <c r="A1569" s="7" t="s">
        <v>6705</v>
      </c>
      <c r="B1569" s="8" t="s">
        <v>3868</v>
      </c>
      <c r="C1569" s="8" t="s">
        <v>6706</v>
      </c>
      <c r="D1569" s="8" t="s">
        <v>411</v>
      </c>
      <c r="E1569" s="8" t="s">
        <v>412</v>
      </c>
      <c r="F1569" s="11" t="s">
        <v>6707</v>
      </c>
      <c r="G1569" s="8" t="s">
        <v>6708</v>
      </c>
      <c r="H1569" s="8" t="s">
        <v>6709</v>
      </c>
      <c r="I1569" s="8" t="s">
        <v>4371</v>
      </c>
    </row>
    <row r="1570" spans="1:9" ht="14.25" customHeight="1" x14ac:dyDescent="0.25">
      <c r="A1570" s="7" t="s">
        <v>6710</v>
      </c>
      <c r="B1570" s="8" t="s">
        <v>6711</v>
      </c>
      <c r="C1570" s="8" t="s">
        <v>6712</v>
      </c>
      <c r="D1570" s="8" t="s">
        <v>411</v>
      </c>
      <c r="E1570" s="8" t="s">
        <v>1359</v>
      </c>
      <c r="F1570" s="11" t="s">
        <v>6713</v>
      </c>
      <c r="G1570" s="8" t="s">
        <v>6714</v>
      </c>
      <c r="H1570" s="8" t="s">
        <v>82</v>
      </c>
      <c r="I1570" s="8" t="s">
        <v>5347</v>
      </c>
    </row>
    <row r="1571" spans="1:9" ht="14.25" customHeight="1" x14ac:dyDescent="0.25">
      <c r="A1571" s="19" t="s">
        <v>6715</v>
      </c>
      <c r="B1571" s="8" t="s">
        <v>417</v>
      </c>
      <c r="C1571" s="8" t="s">
        <v>6716</v>
      </c>
      <c r="D1571" s="8" t="s">
        <v>411</v>
      </c>
      <c r="E1571" s="8" t="s">
        <v>412</v>
      </c>
      <c r="F1571" s="11" t="s">
        <v>6717</v>
      </c>
      <c r="G1571" s="8" t="s">
        <v>6718</v>
      </c>
      <c r="H1571" s="8" t="s">
        <v>82</v>
      </c>
      <c r="I1571" s="8" t="s">
        <v>3756</v>
      </c>
    </row>
    <row r="1572" spans="1:9" ht="14.25" customHeight="1" x14ac:dyDescent="0.25">
      <c r="A1572" s="7" t="s">
        <v>6719</v>
      </c>
      <c r="B1572" s="8" t="s">
        <v>2972</v>
      </c>
      <c r="C1572" s="8" t="s">
        <v>6562</v>
      </c>
      <c r="D1572" s="8" t="s">
        <v>411</v>
      </c>
      <c r="E1572" s="8" t="s">
        <v>412</v>
      </c>
      <c r="F1572" s="11" t="s">
        <v>6720</v>
      </c>
      <c r="G1572" s="8" t="s">
        <v>6721</v>
      </c>
      <c r="H1572" s="24" t="s">
        <v>82</v>
      </c>
      <c r="I1572" s="8" t="s">
        <v>3756</v>
      </c>
    </row>
    <row r="1573" spans="1:9" ht="14.25" customHeight="1" x14ac:dyDescent="0.25">
      <c r="A1573" s="7" t="s">
        <v>6722</v>
      </c>
      <c r="B1573" s="8" t="s">
        <v>3361</v>
      </c>
      <c r="C1573" s="8" t="s">
        <v>2709</v>
      </c>
      <c r="D1573" s="8" t="s">
        <v>3163</v>
      </c>
      <c r="E1573" s="8" t="s">
        <v>3890</v>
      </c>
      <c r="F1573" s="11" t="s">
        <v>6723</v>
      </c>
      <c r="G1573" s="8" t="s">
        <v>6724</v>
      </c>
      <c r="H1573" s="24" t="s">
        <v>72</v>
      </c>
      <c r="I1573" s="8" t="s">
        <v>4039</v>
      </c>
    </row>
    <row r="1574" spans="1:9" ht="14.25" customHeight="1" x14ac:dyDescent="0.25">
      <c r="A1574" s="7" t="s">
        <v>6725</v>
      </c>
      <c r="B1574" s="8" t="s">
        <v>4283</v>
      </c>
      <c r="C1574" s="8" t="s">
        <v>3052</v>
      </c>
      <c r="D1574" s="8" t="s">
        <v>411</v>
      </c>
      <c r="E1574" s="8" t="s">
        <v>3890</v>
      </c>
      <c r="F1574" s="11" t="s">
        <v>6726</v>
      </c>
      <c r="G1574" s="8" t="s">
        <v>6724</v>
      </c>
      <c r="H1574" s="24" t="s">
        <v>72</v>
      </c>
      <c r="I1574" s="8" t="s">
        <v>4039</v>
      </c>
    </row>
    <row r="1575" spans="1:9" ht="14.25" customHeight="1" x14ac:dyDescent="0.25">
      <c r="A1575" s="7" t="s">
        <v>6727</v>
      </c>
      <c r="B1575" s="8" t="s">
        <v>6728</v>
      </c>
      <c r="C1575" s="8" t="s">
        <v>6729</v>
      </c>
      <c r="D1575" s="8" t="s">
        <v>3163</v>
      </c>
      <c r="F1575" s="11" t="s">
        <v>6730</v>
      </c>
      <c r="G1575" s="8"/>
      <c r="I1575" s="8" t="s">
        <v>3756</v>
      </c>
    </row>
    <row r="1576" spans="1:9" ht="14.25" customHeight="1" x14ac:dyDescent="0.25">
      <c r="A1576" s="7" t="s">
        <v>6731</v>
      </c>
      <c r="B1576" s="8" t="s">
        <v>6360</v>
      </c>
      <c r="C1576" s="8" t="s">
        <v>6732</v>
      </c>
      <c r="D1576" s="8" t="s">
        <v>411</v>
      </c>
      <c r="E1576" s="8" t="s">
        <v>3890</v>
      </c>
      <c r="F1576" s="11" t="s">
        <v>6733</v>
      </c>
      <c r="G1576" s="8" t="s">
        <v>6734</v>
      </c>
      <c r="H1576" s="8" t="s">
        <v>5213</v>
      </c>
      <c r="I1576" s="8" t="s">
        <v>4371</v>
      </c>
    </row>
    <row r="1577" spans="1:9" ht="14.25" customHeight="1" x14ac:dyDescent="0.25">
      <c r="A1577" s="7" t="s">
        <v>6735</v>
      </c>
      <c r="B1577" s="8" t="s">
        <v>6736</v>
      </c>
      <c r="C1577" s="8" t="s">
        <v>6737</v>
      </c>
      <c r="D1577" s="8" t="s">
        <v>3163</v>
      </c>
      <c r="E1577" s="8" t="s">
        <v>3890</v>
      </c>
      <c r="F1577" s="11" t="s">
        <v>6738</v>
      </c>
      <c r="G1577" s="8" t="s">
        <v>6734</v>
      </c>
      <c r="H1577" s="8" t="s">
        <v>5213</v>
      </c>
      <c r="I1577" s="8" t="s">
        <v>4371</v>
      </c>
    </row>
    <row r="1578" spans="1:9" ht="14.25" customHeight="1" x14ac:dyDescent="0.25">
      <c r="A1578" s="7" t="s">
        <v>6739</v>
      </c>
      <c r="B1578" s="8" t="s">
        <v>6740</v>
      </c>
      <c r="C1578" s="8" t="s">
        <v>6741</v>
      </c>
      <c r="D1578" s="8" t="s">
        <v>411</v>
      </c>
      <c r="E1578" s="8" t="s">
        <v>412</v>
      </c>
      <c r="F1578" s="11" t="s">
        <v>6742</v>
      </c>
      <c r="G1578" s="8" t="s">
        <v>6743</v>
      </c>
      <c r="H1578" s="8" t="s">
        <v>5832</v>
      </c>
      <c r="I1578" s="8" t="s">
        <v>3756</v>
      </c>
    </row>
    <row r="1579" spans="1:9" ht="14.25" customHeight="1" x14ac:dyDescent="0.25">
      <c r="A1579" s="7" t="s">
        <v>6744</v>
      </c>
      <c r="B1579" s="8" t="s">
        <v>4360</v>
      </c>
      <c r="C1579" s="8" t="s">
        <v>6745</v>
      </c>
      <c r="D1579" s="8" t="s">
        <v>411</v>
      </c>
      <c r="E1579" s="8" t="s">
        <v>412</v>
      </c>
      <c r="F1579" s="11" t="s">
        <v>6746</v>
      </c>
      <c r="G1579" s="8" t="s">
        <v>6747</v>
      </c>
      <c r="H1579" s="8" t="s">
        <v>6748</v>
      </c>
      <c r="I1579" s="8" t="s">
        <v>5347</v>
      </c>
    </row>
    <row r="1580" spans="1:9" ht="14.25" customHeight="1" x14ac:dyDescent="0.25">
      <c r="A1580" s="7" t="s">
        <v>6749</v>
      </c>
      <c r="B1580" s="8" t="s">
        <v>6750</v>
      </c>
      <c r="C1580" s="8" t="s">
        <v>6751</v>
      </c>
      <c r="D1580" s="8" t="s">
        <v>411</v>
      </c>
      <c r="E1580" s="8" t="s">
        <v>412</v>
      </c>
      <c r="F1580" s="11" t="s">
        <v>6752</v>
      </c>
      <c r="G1580" s="8" t="s">
        <v>6753</v>
      </c>
      <c r="H1580" s="8" t="s">
        <v>6754</v>
      </c>
      <c r="I1580" s="8" t="s">
        <v>3756</v>
      </c>
    </row>
    <row r="1581" spans="1:9" ht="14.25" customHeight="1" x14ac:dyDescent="0.25">
      <c r="A1581" s="7" t="s">
        <v>6755</v>
      </c>
      <c r="B1581" s="8" t="s">
        <v>6756</v>
      </c>
      <c r="C1581" s="8" t="s">
        <v>6757</v>
      </c>
      <c r="D1581" s="8" t="s">
        <v>411</v>
      </c>
      <c r="E1581" s="8" t="s">
        <v>412</v>
      </c>
      <c r="F1581" s="11" t="s">
        <v>6758</v>
      </c>
      <c r="G1581" s="8" t="s">
        <v>6759</v>
      </c>
      <c r="H1581" s="8" t="s">
        <v>37</v>
      </c>
      <c r="I1581" s="8" t="s">
        <v>4039</v>
      </c>
    </row>
    <row r="1582" spans="1:9" ht="14.25" customHeight="1" x14ac:dyDescent="0.25">
      <c r="A1582" s="7" t="s">
        <v>6760</v>
      </c>
      <c r="B1582" s="8" t="s">
        <v>6761</v>
      </c>
      <c r="C1582" s="8" t="s">
        <v>6762</v>
      </c>
      <c r="D1582" s="8" t="s">
        <v>3163</v>
      </c>
      <c r="E1582" s="8" t="s">
        <v>412</v>
      </c>
      <c r="F1582" s="11" t="s">
        <v>6763</v>
      </c>
      <c r="G1582" s="8" t="s">
        <v>6764</v>
      </c>
      <c r="H1582" s="8" t="s">
        <v>37</v>
      </c>
      <c r="I1582" s="8" t="s">
        <v>4039</v>
      </c>
    </row>
    <row r="1583" spans="1:9" ht="14.25" customHeight="1" x14ac:dyDescent="0.25">
      <c r="A1583" s="7" t="s">
        <v>6765</v>
      </c>
      <c r="B1583" s="8" t="s">
        <v>6766</v>
      </c>
      <c r="C1583" s="8" t="s">
        <v>6767</v>
      </c>
      <c r="D1583" s="8" t="s">
        <v>411</v>
      </c>
      <c r="E1583" s="8" t="s">
        <v>412</v>
      </c>
      <c r="F1583" s="11" t="s">
        <v>6768</v>
      </c>
      <c r="G1583" s="8" t="s">
        <v>6769</v>
      </c>
      <c r="H1583" s="24" t="s">
        <v>37</v>
      </c>
      <c r="I1583" s="8" t="s">
        <v>3756</v>
      </c>
    </row>
    <row r="1584" spans="1:9" ht="14.25" customHeight="1" x14ac:dyDescent="0.25">
      <c r="A1584" s="7" t="s">
        <v>6770</v>
      </c>
      <c r="B1584" s="8" t="s">
        <v>6771</v>
      </c>
      <c r="C1584" s="8" t="s">
        <v>150</v>
      </c>
      <c r="D1584" s="8" t="s">
        <v>411</v>
      </c>
      <c r="E1584" s="8" t="s">
        <v>412</v>
      </c>
      <c r="F1584" s="11" t="s">
        <v>6772</v>
      </c>
      <c r="G1584" s="8" t="s">
        <v>6773</v>
      </c>
      <c r="H1584" s="8" t="s">
        <v>61</v>
      </c>
      <c r="I1584" s="8" t="s">
        <v>3756</v>
      </c>
    </row>
    <row r="1585" spans="1:9" ht="14.25" customHeight="1" x14ac:dyDescent="0.25">
      <c r="A1585" s="7" t="s">
        <v>6774</v>
      </c>
      <c r="B1585" s="8" t="s">
        <v>68</v>
      </c>
      <c r="C1585" s="8" t="s">
        <v>6775</v>
      </c>
      <c r="D1585" s="8" t="s">
        <v>411</v>
      </c>
      <c r="E1585" s="8" t="s">
        <v>412</v>
      </c>
      <c r="F1585" s="11" t="s">
        <v>6776</v>
      </c>
      <c r="G1585" s="8" t="s">
        <v>6777</v>
      </c>
      <c r="H1585" s="8" t="s">
        <v>3820</v>
      </c>
      <c r="I1585" s="8" t="s">
        <v>3756</v>
      </c>
    </row>
    <row r="1586" spans="1:9" ht="14.25" customHeight="1" x14ac:dyDescent="0.25">
      <c r="A1586" s="7" t="s">
        <v>6778</v>
      </c>
      <c r="B1586" s="8" t="s">
        <v>4201</v>
      </c>
      <c r="C1586" s="8" t="s">
        <v>6528</v>
      </c>
      <c r="D1586" s="8" t="s">
        <v>411</v>
      </c>
      <c r="E1586" s="8" t="s">
        <v>412</v>
      </c>
      <c r="F1586" s="11" t="s">
        <v>6779</v>
      </c>
      <c r="G1586" s="8" t="s">
        <v>6530</v>
      </c>
      <c r="H1586" s="8" t="s">
        <v>82</v>
      </c>
      <c r="I1586" s="8" t="s">
        <v>4039</v>
      </c>
    </row>
    <row r="1587" spans="1:9" ht="14.25" customHeight="1" x14ac:dyDescent="0.25">
      <c r="A1587" s="7" t="s">
        <v>6780</v>
      </c>
      <c r="B1587" s="8" t="s">
        <v>6781</v>
      </c>
      <c r="C1587" s="8" t="s">
        <v>6782</v>
      </c>
      <c r="D1587" s="8" t="s">
        <v>3163</v>
      </c>
      <c r="E1587" s="8" t="s">
        <v>412</v>
      </c>
      <c r="F1587" s="11" t="s">
        <v>6783</v>
      </c>
      <c r="G1587" s="8" t="s">
        <v>6431</v>
      </c>
      <c r="H1587" s="8" t="s">
        <v>82</v>
      </c>
      <c r="I1587" s="8" t="s">
        <v>4039</v>
      </c>
    </row>
    <row r="1588" spans="1:9" ht="14.25" customHeight="1" x14ac:dyDescent="0.25">
      <c r="A1588" s="7" t="s">
        <v>6784</v>
      </c>
      <c r="B1588" s="8" t="s">
        <v>6785</v>
      </c>
      <c r="C1588" s="8" t="s">
        <v>6786</v>
      </c>
      <c r="D1588" s="8" t="s">
        <v>411</v>
      </c>
      <c r="E1588" s="8" t="s">
        <v>3890</v>
      </c>
      <c r="F1588" s="11" t="s">
        <v>6787</v>
      </c>
      <c r="G1588" s="8" t="s">
        <v>6431</v>
      </c>
      <c r="H1588" s="8" t="s">
        <v>82</v>
      </c>
      <c r="I1588" s="8" t="s">
        <v>4039</v>
      </c>
    </row>
    <row r="1589" spans="1:9" ht="14.25" customHeight="1" x14ac:dyDescent="0.25">
      <c r="A1589" s="7" t="s">
        <v>6788</v>
      </c>
      <c r="B1589" s="8" t="s">
        <v>6789</v>
      </c>
      <c r="C1589" s="8" t="s">
        <v>6790</v>
      </c>
      <c r="D1589" s="8" t="s">
        <v>411</v>
      </c>
      <c r="E1589" s="8" t="s">
        <v>3890</v>
      </c>
      <c r="F1589" s="11" t="s">
        <v>6791</v>
      </c>
      <c r="G1589" s="8" t="s">
        <v>6792</v>
      </c>
      <c r="H1589" s="8" t="s">
        <v>37</v>
      </c>
      <c r="I1589" s="8" t="s">
        <v>4039</v>
      </c>
    </row>
    <row r="1590" spans="1:9" ht="14.25" customHeight="1" x14ac:dyDescent="0.25">
      <c r="A1590" s="7" t="s">
        <v>6793</v>
      </c>
      <c r="B1590" s="8" t="s">
        <v>659</v>
      </c>
      <c r="C1590" s="8" t="s">
        <v>6794</v>
      </c>
      <c r="D1590" s="8" t="s">
        <v>3163</v>
      </c>
      <c r="E1590" s="8" t="s">
        <v>3890</v>
      </c>
      <c r="F1590" s="11" t="s">
        <v>6795</v>
      </c>
      <c r="G1590" s="8" t="s">
        <v>6792</v>
      </c>
      <c r="H1590" s="8" t="s">
        <v>37</v>
      </c>
      <c r="I1590" s="8" t="s">
        <v>4039</v>
      </c>
    </row>
    <row r="1591" spans="1:9" ht="14.25" customHeight="1" x14ac:dyDescent="0.25">
      <c r="A1591" s="7" t="s">
        <v>6796</v>
      </c>
      <c r="B1591" s="8" t="s">
        <v>6797</v>
      </c>
      <c r="C1591" s="8" t="s">
        <v>6798</v>
      </c>
      <c r="D1591" s="8" t="s">
        <v>411</v>
      </c>
      <c r="E1591" s="8" t="s">
        <v>412</v>
      </c>
      <c r="F1591" s="11" t="s">
        <v>6799</v>
      </c>
      <c r="G1591" s="8" t="s">
        <v>6800</v>
      </c>
      <c r="H1591" s="24" t="s">
        <v>61</v>
      </c>
      <c r="I1591" s="8" t="s">
        <v>4039</v>
      </c>
    </row>
    <row r="1592" spans="1:9" ht="14.25" customHeight="1" x14ac:dyDescent="0.25">
      <c r="A1592" s="7" t="s">
        <v>6801</v>
      </c>
      <c r="B1592" s="8" t="s">
        <v>2208</v>
      </c>
      <c r="C1592" s="8" t="s">
        <v>6208</v>
      </c>
      <c r="D1592" s="8" t="s">
        <v>411</v>
      </c>
      <c r="E1592" s="8" t="s">
        <v>412</v>
      </c>
      <c r="F1592" s="11" t="s">
        <v>6802</v>
      </c>
      <c r="G1592" s="8" t="s">
        <v>6803</v>
      </c>
      <c r="H1592" s="8" t="s">
        <v>6804</v>
      </c>
      <c r="I1592" s="8" t="s">
        <v>4039</v>
      </c>
    </row>
    <row r="1593" spans="1:9" ht="14.25" customHeight="1" x14ac:dyDescent="0.25">
      <c r="A1593" s="7" t="s">
        <v>6805</v>
      </c>
      <c r="B1593" s="8" t="s">
        <v>1912</v>
      </c>
      <c r="C1593" s="8" t="s">
        <v>6806</v>
      </c>
      <c r="D1593" s="8" t="s">
        <v>3163</v>
      </c>
      <c r="E1593" s="8" t="s">
        <v>1359</v>
      </c>
      <c r="F1593" s="11" t="s">
        <v>6807</v>
      </c>
      <c r="G1593" s="8" t="s">
        <v>6808</v>
      </c>
      <c r="H1593" s="8" t="s">
        <v>6809</v>
      </c>
      <c r="I1593" s="8" t="s">
        <v>4371</v>
      </c>
    </row>
    <row r="1594" spans="1:9" ht="14.25" customHeight="1" x14ac:dyDescent="0.25">
      <c r="A1594" s="7" t="s">
        <v>6810</v>
      </c>
      <c r="B1594" s="8" t="s">
        <v>3473</v>
      </c>
      <c r="C1594" s="8" t="s">
        <v>6811</v>
      </c>
      <c r="D1594" s="8" t="s">
        <v>411</v>
      </c>
      <c r="E1594" s="8" t="s">
        <v>3890</v>
      </c>
      <c r="F1594" s="11" t="s">
        <v>6812</v>
      </c>
      <c r="G1594" s="8" t="s">
        <v>6813</v>
      </c>
      <c r="H1594" s="8" t="s">
        <v>5570</v>
      </c>
      <c r="I1594" s="8" t="s">
        <v>4039</v>
      </c>
    </row>
    <row r="1595" spans="1:9" ht="14.25" customHeight="1" x14ac:dyDescent="0.25">
      <c r="A1595" s="7" t="s">
        <v>6814</v>
      </c>
      <c r="B1595" s="8" t="s">
        <v>6815</v>
      </c>
      <c r="C1595" s="8" t="s">
        <v>6816</v>
      </c>
      <c r="D1595" s="8" t="s">
        <v>3163</v>
      </c>
      <c r="E1595" s="8" t="s">
        <v>3890</v>
      </c>
      <c r="F1595" s="11" t="s">
        <v>6817</v>
      </c>
      <c r="G1595" s="8" t="s">
        <v>6813</v>
      </c>
      <c r="H1595" s="8" t="s">
        <v>5570</v>
      </c>
      <c r="I1595" s="8" t="s">
        <v>4039</v>
      </c>
    </row>
    <row r="1596" spans="1:9" ht="14.25" customHeight="1" x14ac:dyDescent="0.25">
      <c r="A1596" s="7" t="s">
        <v>6818</v>
      </c>
      <c r="B1596" s="8" t="s">
        <v>2507</v>
      </c>
      <c r="C1596" s="8" t="s">
        <v>3698</v>
      </c>
      <c r="D1596" s="8" t="s">
        <v>411</v>
      </c>
      <c r="E1596" s="8" t="s">
        <v>412</v>
      </c>
      <c r="F1596" s="11" t="s">
        <v>6819</v>
      </c>
      <c r="G1596" s="8" t="s">
        <v>6820</v>
      </c>
      <c r="H1596" s="8" t="s">
        <v>2212</v>
      </c>
      <c r="I1596" s="8" t="s">
        <v>4039</v>
      </c>
    </row>
    <row r="1597" spans="1:9" ht="14.25" customHeight="1" x14ac:dyDescent="0.25">
      <c r="A1597" s="7" t="s">
        <v>6821</v>
      </c>
      <c r="B1597" s="8" t="s">
        <v>2555</v>
      </c>
      <c r="C1597" s="8" t="s">
        <v>6822</v>
      </c>
      <c r="D1597" s="8" t="s">
        <v>411</v>
      </c>
      <c r="E1597" s="8" t="s">
        <v>412</v>
      </c>
      <c r="F1597" s="11" t="s">
        <v>6823</v>
      </c>
      <c r="G1597" s="8" t="s">
        <v>6824</v>
      </c>
      <c r="H1597" s="8" t="s">
        <v>37</v>
      </c>
      <c r="I1597" s="8" t="s">
        <v>3756</v>
      </c>
    </row>
    <row r="1598" spans="1:9" ht="14.25" customHeight="1" x14ac:dyDescent="0.25">
      <c r="A1598" s="7" t="s">
        <v>6825</v>
      </c>
      <c r="B1598" s="8" t="s">
        <v>6826</v>
      </c>
      <c r="C1598" s="8" t="s">
        <v>6827</v>
      </c>
      <c r="D1598" s="8" t="s">
        <v>411</v>
      </c>
      <c r="E1598" s="8" t="s">
        <v>412</v>
      </c>
      <c r="F1598" s="11" t="s">
        <v>6828</v>
      </c>
      <c r="G1598" s="8" t="s">
        <v>6829</v>
      </c>
      <c r="H1598" s="8" t="s">
        <v>5013</v>
      </c>
      <c r="I1598" s="8" t="s">
        <v>4039</v>
      </c>
    </row>
    <row r="1599" spans="1:9" ht="14.25" customHeight="1" x14ac:dyDescent="0.25">
      <c r="A1599" s="7" t="s">
        <v>6830</v>
      </c>
      <c r="B1599" s="8" t="s">
        <v>6831</v>
      </c>
      <c r="C1599" s="8" t="s">
        <v>6832</v>
      </c>
      <c r="D1599" s="8" t="s">
        <v>3163</v>
      </c>
      <c r="E1599" s="8" t="s">
        <v>3890</v>
      </c>
      <c r="F1599" s="11" t="s">
        <v>6833</v>
      </c>
      <c r="G1599" s="8" t="s">
        <v>6834</v>
      </c>
      <c r="H1599" s="8" t="s">
        <v>61</v>
      </c>
      <c r="I1599" s="8" t="s">
        <v>3756</v>
      </c>
    </row>
    <row r="1600" spans="1:9" ht="14.25" customHeight="1" x14ac:dyDescent="0.25">
      <c r="A1600" s="7" t="s">
        <v>6835</v>
      </c>
      <c r="B1600" s="8" t="s">
        <v>6836</v>
      </c>
      <c r="C1600" s="8" t="s">
        <v>6837</v>
      </c>
      <c r="D1600" s="8" t="s">
        <v>411</v>
      </c>
      <c r="E1600" s="8" t="s">
        <v>412</v>
      </c>
      <c r="F1600" s="11" t="s">
        <v>6838</v>
      </c>
      <c r="G1600" s="8" t="s">
        <v>6839</v>
      </c>
      <c r="H1600" s="8" t="s">
        <v>5039</v>
      </c>
      <c r="I1600" s="8" t="s">
        <v>4371</v>
      </c>
    </row>
    <row r="1601" spans="1:9" ht="14.25" customHeight="1" x14ac:dyDescent="0.25">
      <c r="A1601" s="7" t="s">
        <v>6840</v>
      </c>
      <c r="B1601" s="8" t="s">
        <v>1419</v>
      </c>
      <c r="C1601" s="8" t="s">
        <v>4563</v>
      </c>
      <c r="D1601" s="8" t="s">
        <v>411</v>
      </c>
      <c r="E1601" s="8" t="s">
        <v>3890</v>
      </c>
      <c r="F1601" s="11" t="s">
        <v>6841</v>
      </c>
      <c r="G1601" s="8" t="s">
        <v>6842</v>
      </c>
      <c r="H1601" s="8" t="s">
        <v>6843</v>
      </c>
      <c r="I1601" s="8" t="s">
        <v>4039</v>
      </c>
    </row>
    <row r="1602" spans="1:9" ht="14.25" customHeight="1" x14ac:dyDescent="0.25">
      <c r="A1602" s="7" t="s">
        <v>6844</v>
      </c>
      <c r="B1602" s="8" t="s">
        <v>6845</v>
      </c>
      <c r="C1602" s="8" t="s">
        <v>6846</v>
      </c>
      <c r="D1602" s="8" t="s">
        <v>3163</v>
      </c>
      <c r="E1602" s="8" t="s">
        <v>3890</v>
      </c>
      <c r="F1602" s="11" t="s">
        <v>6847</v>
      </c>
      <c r="G1602" s="8" t="s">
        <v>6842</v>
      </c>
      <c r="H1602" s="8" t="s">
        <v>6843</v>
      </c>
      <c r="I1602" s="8" t="s">
        <v>4039</v>
      </c>
    </row>
    <row r="1603" spans="1:9" ht="14.25" customHeight="1" x14ac:dyDescent="0.25">
      <c r="A1603" s="7" t="s">
        <v>6848</v>
      </c>
      <c r="B1603" s="8" t="s">
        <v>1463</v>
      </c>
      <c r="C1603" s="8" t="s">
        <v>6849</v>
      </c>
      <c r="D1603" s="8" t="s">
        <v>411</v>
      </c>
      <c r="E1603" s="8" t="s">
        <v>3890</v>
      </c>
      <c r="G1603" s="8"/>
    </row>
    <row r="1604" spans="1:9" ht="14.25" customHeight="1" x14ac:dyDescent="0.25">
      <c r="A1604" s="7" t="s">
        <v>6850</v>
      </c>
      <c r="B1604" s="8" t="s">
        <v>6851</v>
      </c>
      <c r="C1604" s="8" t="s">
        <v>3128</v>
      </c>
      <c r="D1604" s="8" t="s">
        <v>3163</v>
      </c>
      <c r="E1604" s="8" t="s">
        <v>3890</v>
      </c>
      <c r="G1604" s="8"/>
    </row>
    <row r="1605" spans="1:9" ht="14.25" customHeight="1" x14ac:dyDescent="0.25">
      <c r="A1605" s="7" t="s">
        <v>6852</v>
      </c>
      <c r="B1605" s="8" t="s">
        <v>6853</v>
      </c>
      <c r="C1605" s="8" t="s">
        <v>6854</v>
      </c>
      <c r="D1605" s="8" t="s">
        <v>3163</v>
      </c>
      <c r="E1605" s="8" t="s">
        <v>412</v>
      </c>
      <c r="F1605" s="11" t="s">
        <v>6855</v>
      </c>
      <c r="G1605" s="8" t="s">
        <v>6856</v>
      </c>
      <c r="H1605" s="8" t="s">
        <v>5915</v>
      </c>
      <c r="I1605" s="8" t="s">
        <v>3756</v>
      </c>
    </row>
    <row r="1606" spans="1:9" ht="14.25" customHeight="1" x14ac:dyDescent="0.25">
      <c r="A1606" s="7" t="s">
        <v>6857</v>
      </c>
      <c r="B1606" s="8" t="s">
        <v>2422</v>
      </c>
      <c r="C1606" s="8" t="s">
        <v>6858</v>
      </c>
      <c r="D1606" s="8" t="s">
        <v>3163</v>
      </c>
      <c r="E1606" s="8" t="s">
        <v>412</v>
      </c>
      <c r="F1606" s="11" t="s">
        <v>6859</v>
      </c>
      <c r="G1606" s="8" t="s">
        <v>6860</v>
      </c>
      <c r="H1606" s="8" t="s">
        <v>6255</v>
      </c>
      <c r="I1606" s="8" t="s">
        <v>3756</v>
      </c>
    </row>
    <row r="1607" spans="1:9" ht="14.25" customHeight="1" x14ac:dyDescent="0.25">
      <c r="A1607" s="7" t="s">
        <v>6861</v>
      </c>
      <c r="B1607" s="8" t="s">
        <v>6862</v>
      </c>
      <c r="C1607" s="8" t="s">
        <v>6863</v>
      </c>
      <c r="D1607" s="8" t="s">
        <v>411</v>
      </c>
      <c r="E1607" s="8" t="s">
        <v>3865</v>
      </c>
      <c r="F1607" s="11" t="s">
        <v>6864</v>
      </c>
      <c r="G1607" s="8" t="s">
        <v>6865</v>
      </c>
      <c r="H1607" s="8" t="s">
        <v>5915</v>
      </c>
      <c r="I1607" s="8" t="s">
        <v>4371</v>
      </c>
    </row>
    <row r="1608" spans="1:9" ht="14.25" customHeight="1" x14ac:dyDescent="0.25">
      <c r="A1608" s="7" t="s">
        <v>6866</v>
      </c>
      <c r="B1608" s="8" t="s">
        <v>382</v>
      </c>
      <c r="C1608" s="8" t="s">
        <v>6867</v>
      </c>
      <c r="D1608" s="8" t="s">
        <v>411</v>
      </c>
      <c r="E1608" s="8" t="s">
        <v>412</v>
      </c>
      <c r="F1608" s="11" t="s">
        <v>6868</v>
      </c>
      <c r="G1608" s="8" t="s">
        <v>6869</v>
      </c>
      <c r="H1608" s="8" t="s">
        <v>3820</v>
      </c>
      <c r="I1608" s="8" t="s">
        <v>4404</v>
      </c>
    </row>
    <row r="1609" spans="1:9" ht="14.25" customHeight="1" x14ac:dyDescent="0.25">
      <c r="A1609" s="7" t="s">
        <v>6870</v>
      </c>
      <c r="B1609" s="8" t="s">
        <v>6871</v>
      </c>
      <c r="C1609" s="8" t="s">
        <v>6872</v>
      </c>
      <c r="D1609" s="8" t="s">
        <v>3163</v>
      </c>
      <c r="E1609" s="8" t="s">
        <v>412</v>
      </c>
      <c r="F1609" s="11" t="s">
        <v>6873</v>
      </c>
      <c r="G1609" s="8" t="s">
        <v>6874</v>
      </c>
      <c r="H1609" s="8" t="s">
        <v>6875</v>
      </c>
      <c r="I1609" s="8" t="s">
        <v>4371</v>
      </c>
    </row>
    <row r="1610" spans="1:9" ht="14.25" customHeight="1" x14ac:dyDescent="0.25">
      <c r="A1610" s="19" t="s">
        <v>6876</v>
      </c>
      <c r="B1610" s="8" t="s">
        <v>3506</v>
      </c>
      <c r="C1610" s="8" t="s">
        <v>6877</v>
      </c>
      <c r="D1610" s="8" t="s">
        <v>411</v>
      </c>
      <c r="E1610" s="8" t="s">
        <v>3890</v>
      </c>
      <c r="F1610" s="11" t="s">
        <v>6878</v>
      </c>
      <c r="G1610" s="8" t="s">
        <v>6879</v>
      </c>
      <c r="H1610" s="8" t="s">
        <v>2212</v>
      </c>
      <c r="I1610" s="8" t="s">
        <v>4039</v>
      </c>
    </row>
    <row r="1611" spans="1:9" ht="14.25" customHeight="1" x14ac:dyDescent="0.25">
      <c r="A1611" s="7" t="s">
        <v>6880</v>
      </c>
      <c r="B1611" s="8" t="s">
        <v>6881</v>
      </c>
      <c r="C1611" s="8" t="s">
        <v>6882</v>
      </c>
      <c r="D1611" s="8" t="s">
        <v>3163</v>
      </c>
      <c r="E1611" s="8" t="s">
        <v>3890</v>
      </c>
      <c r="G1611" s="8"/>
      <c r="I1611" s="8" t="s">
        <v>4039</v>
      </c>
    </row>
    <row r="1612" spans="1:9" ht="14.25" customHeight="1" x14ac:dyDescent="0.25">
      <c r="A1612" s="7" t="s">
        <v>6883</v>
      </c>
      <c r="B1612" s="8" t="s">
        <v>2230</v>
      </c>
      <c r="C1612" s="8" t="s">
        <v>6884</v>
      </c>
      <c r="D1612" s="8" t="s">
        <v>411</v>
      </c>
      <c r="E1612" s="8" t="s">
        <v>412</v>
      </c>
      <c r="F1612" s="11" t="s">
        <v>6885</v>
      </c>
      <c r="G1612" s="8" t="s">
        <v>6886</v>
      </c>
      <c r="H1612" s="8" t="s">
        <v>20</v>
      </c>
      <c r="I1612" s="8" t="s">
        <v>3756</v>
      </c>
    </row>
    <row r="1613" spans="1:9" ht="14.25" customHeight="1" x14ac:dyDescent="0.25">
      <c r="A1613" s="7" t="s">
        <v>6887</v>
      </c>
      <c r="B1613" s="8" t="s">
        <v>6888</v>
      </c>
      <c r="C1613" s="8" t="s">
        <v>6889</v>
      </c>
      <c r="D1613" s="8" t="s">
        <v>3163</v>
      </c>
      <c r="E1613" s="8" t="s">
        <v>3890</v>
      </c>
      <c r="G1613" s="8"/>
    </row>
    <row r="1614" spans="1:9" ht="14.25" customHeight="1" x14ac:dyDescent="0.25">
      <c r="A1614" s="7" t="s">
        <v>6890</v>
      </c>
      <c r="B1614" s="8" t="s">
        <v>6891</v>
      </c>
      <c r="C1614" s="8" t="s">
        <v>6892</v>
      </c>
      <c r="D1614" s="8" t="s">
        <v>411</v>
      </c>
      <c r="E1614" s="8" t="s">
        <v>3890</v>
      </c>
      <c r="G1614" s="8"/>
    </row>
    <row r="1615" spans="1:9" ht="14.25" customHeight="1" x14ac:dyDescent="0.25">
      <c r="A1615" s="7" t="s">
        <v>6893</v>
      </c>
      <c r="B1615" s="8" t="s">
        <v>6894</v>
      </c>
      <c r="C1615" s="8" t="s">
        <v>6895</v>
      </c>
      <c r="D1615" s="8" t="s">
        <v>3163</v>
      </c>
      <c r="E1615" s="8" t="s">
        <v>412</v>
      </c>
      <c r="F1615" s="11" t="s">
        <v>6896</v>
      </c>
      <c r="G1615" s="7"/>
    </row>
    <row r="1616" spans="1:9" ht="14.25" customHeight="1" x14ac:dyDescent="0.25">
      <c r="A1616" s="7" t="s">
        <v>6897</v>
      </c>
      <c r="B1616" s="8" t="s">
        <v>6898</v>
      </c>
      <c r="C1616" s="8" t="s">
        <v>6899</v>
      </c>
      <c r="D1616" s="8" t="s">
        <v>3163</v>
      </c>
      <c r="E1616" s="8" t="s">
        <v>3890</v>
      </c>
      <c r="G1616" s="8"/>
    </row>
    <row r="1617" spans="1:9" ht="14.25" customHeight="1" x14ac:dyDescent="0.25">
      <c r="A1617" s="7" t="s">
        <v>6900</v>
      </c>
      <c r="B1617" s="8" t="s">
        <v>5586</v>
      </c>
      <c r="C1617" s="8" t="s">
        <v>6901</v>
      </c>
      <c r="D1617" s="8" t="s">
        <v>411</v>
      </c>
      <c r="E1617" s="8" t="s">
        <v>3890</v>
      </c>
      <c r="G1617" s="8"/>
    </row>
    <row r="1618" spans="1:9" ht="14.25" customHeight="1" x14ac:dyDescent="0.25">
      <c r="A1618" s="7" t="s">
        <v>6902</v>
      </c>
      <c r="B1618" s="8" t="s">
        <v>6903</v>
      </c>
      <c r="C1618" s="8" t="s">
        <v>6904</v>
      </c>
      <c r="D1618" s="8" t="s">
        <v>411</v>
      </c>
      <c r="E1618" s="8" t="s">
        <v>412</v>
      </c>
      <c r="F1618" s="11" t="s">
        <v>6905</v>
      </c>
      <c r="G1618" s="8" t="s">
        <v>6906</v>
      </c>
      <c r="H1618" s="8" t="s">
        <v>6907</v>
      </c>
      <c r="I1618" s="8" t="s">
        <v>3756</v>
      </c>
    </row>
    <row r="1619" spans="1:9" ht="14.25" customHeight="1" x14ac:dyDescent="0.25">
      <c r="A1619" s="7" t="s">
        <v>6908</v>
      </c>
      <c r="B1619" s="8" t="s">
        <v>1393</v>
      </c>
      <c r="C1619" s="8" t="s">
        <v>6909</v>
      </c>
      <c r="D1619" s="8" t="s">
        <v>6910</v>
      </c>
      <c r="E1619" s="8" t="s">
        <v>3890</v>
      </c>
      <c r="I1619" s="23" t="s">
        <v>3756</v>
      </c>
    </row>
    <row r="1620" spans="1:9" ht="14.25" customHeight="1" x14ac:dyDescent="0.25">
      <c r="A1620" s="7" t="s">
        <v>6911</v>
      </c>
      <c r="B1620" s="8" t="s">
        <v>4119</v>
      </c>
      <c r="C1620" s="8" t="s">
        <v>6912</v>
      </c>
      <c r="D1620" s="8" t="s">
        <v>411</v>
      </c>
      <c r="E1620" s="8" t="s">
        <v>3890</v>
      </c>
    </row>
    <row r="1621" spans="1:9" ht="14.25" customHeight="1" x14ac:dyDescent="0.25">
      <c r="A1621" s="7" t="s">
        <v>6913</v>
      </c>
      <c r="B1621" s="8" t="s">
        <v>1463</v>
      </c>
      <c r="C1621" s="8" t="s">
        <v>11984</v>
      </c>
      <c r="D1621" s="8" t="s">
        <v>411</v>
      </c>
      <c r="E1621" s="8" t="s">
        <v>412</v>
      </c>
      <c r="F1621" s="11" t="s">
        <v>6914</v>
      </c>
      <c r="G1621" s="8" t="s">
        <v>6915</v>
      </c>
      <c r="H1621" s="8" t="s">
        <v>6916</v>
      </c>
      <c r="I1621" s="8" t="s">
        <v>5347</v>
      </c>
    </row>
    <row r="1622" spans="1:9" ht="14.25" customHeight="1" x14ac:dyDescent="0.25">
      <c r="A1622" s="7" t="s">
        <v>6917</v>
      </c>
      <c r="B1622" s="8" t="s">
        <v>6918</v>
      </c>
      <c r="C1622" s="8" t="s">
        <v>6919</v>
      </c>
      <c r="D1622" s="8" t="s">
        <v>411</v>
      </c>
      <c r="E1622" s="8" t="s">
        <v>412</v>
      </c>
      <c r="F1622" s="11" t="s">
        <v>6920</v>
      </c>
      <c r="H1622" s="8" t="s">
        <v>6921</v>
      </c>
      <c r="I1622" s="8" t="s">
        <v>4039</v>
      </c>
    </row>
    <row r="1623" spans="1:9" ht="14.25" customHeight="1" x14ac:dyDescent="0.25">
      <c r="A1623" s="7" t="s">
        <v>6922</v>
      </c>
      <c r="B1623" s="8" t="s">
        <v>6923</v>
      </c>
      <c r="C1623" s="8" t="s">
        <v>6924</v>
      </c>
      <c r="D1623" s="8" t="s">
        <v>411</v>
      </c>
      <c r="E1623" s="8" t="s">
        <v>412</v>
      </c>
      <c r="F1623" s="11" t="s">
        <v>6925</v>
      </c>
      <c r="G1623" s="8" t="s">
        <v>6926</v>
      </c>
      <c r="H1623" s="8" t="s">
        <v>6927</v>
      </c>
      <c r="I1623" s="8" t="s">
        <v>3756</v>
      </c>
    </row>
    <row r="1624" spans="1:9" ht="14.25" customHeight="1" x14ac:dyDescent="0.25">
      <c r="A1624" s="7" t="s">
        <v>6928</v>
      </c>
      <c r="B1624" s="8" t="s">
        <v>6929</v>
      </c>
      <c r="C1624" s="8" t="s">
        <v>6930</v>
      </c>
      <c r="D1624" s="8" t="s">
        <v>411</v>
      </c>
      <c r="E1624" s="8" t="s">
        <v>412</v>
      </c>
      <c r="F1624" s="11" t="s">
        <v>6931</v>
      </c>
      <c r="G1624" s="8" t="s">
        <v>6932</v>
      </c>
      <c r="H1624" s="8" t="s">
        <v>3820</v>
      </c>
    </row>
    <row r="1625" spans="1:9" ht="14.25" customHeight="1" x14ac:dyDescent="0.25">
      <c r="A1625" s="7" t="s">
        <v>6933</v>
      </c>
      <c r="B1625" s="8" t="s">
        <v>6934</v>
      </c>
      <c r="C1625" s="8" t="s">
        <v>6935</v>
      </c>
      <c r="D1625" s="8" t="s">
        <v>3163</v>
      </c>
      <c r="E1625" s="8" t="s">
        <v>412</v>
      </c>
      <c r="F1625" s="11" t="s">
        <v>6936</v>
      </c>
    </row>
    <row r="1626" spans="1:9" ht="14.25" customHeight="1" x14ac:dyDescent="0.25">
      <c r="A1626" s="7" t="s">
        <v>6937</v>
      </c>
      <c r="B1626" s="8" t="s">
        <v>6938</v>
      </c>
      <c r="C1626" s="8" t="s">
        <v>6939</v>
      </c>
      <c r="D1626" s="8" t="s">
        <v>411</v>
      </c>
      <c r="E1626" s="8" t="s">
        <v>412</v>
      </c>
      <c r="F1626" s="11" t="s">
        <v>6940</v>
      </c>
      <c r="H1626" s="8" t="s">
        <v>4330</v>
      </c>
      <c r="I1626" s="8" t="s">
        <v>3756</v>
      </c>
    </row>
    <row r="1627" spans="1:9" ht="14.25" customHeight="1" x14ac:dyDescent="0.25">
      <c r="A1627" s="7" t="s">
        <v>6941</v>
      </c>
      <c r="B1627" s="8" t="s">
        <v>6942</v>
      </c>
      <c r="C1627" s="8" t="s">
        <v>6943</v>
      </c>
      <c r="D1627" s="8" t="s">
        <v>411</v>
      </c>
      <c r="E1627" s="8" t="s">
        <v>412</v>
      </c>
      <c r="F1627" s="11" t="s">
        <v>6944</v>
      </c>
    </row>
    <row r="1628" spans="1:9" ht="14.25" customHeight="1" x14ac:dyDescent="0.25">
      <c r="A1628" s="7" t="s">
        <v>6945</v>
      </c>
      <c r="B1628" s="8" t="s">
        <v>2656</v>
      </c>
      <c r="C1628" s="8" t="s">
        <v>6946</v>
      </c>
      <c r="D1628" s="8" t="s">
        <v>411</v>
      </c>
      <c r="E1628" s="8" t="s">
        <v>412</v>
      </c>
      <c r="F1628" s="11" t="s">
        <v>6947</v>
      </c>
      <c r="H1628" s="8" t="s">
        <v>82</v>
      </c>
      <c r="I1628" s="24" t="s">
        <v>3756</v>
      </c>
    </row>
    <row r="1629" spans="1:9" ht="14.25" customHeight="1" x14ac:dyDescent="0.25">
      <c r="A1629" s="7" t="s">
        <v>6948</v>
      </c>
      <c r="B1629" s="8" t="s">
        <v>4101</v>
      </c>
      <c r="C1629" s="8" t="s">
        <v>5630</v>
      </c>
      <c r="D1629" s="8" t="s">
        <v>411</v>
      </c>
      <c r="E1629" s="8" t="s">
        <v>412</v>
      </c>
      <c r="F1629" s="11" t="s">
        <v>6949</v>
      </c>
      <c r="H1629" s="8" t="s">
        <v>6950</v>
      </c>
      <c r="I1629" s="8" t="s">
        <v>3756</v>
      </c>
    </row>
    <row r="1630" spans="1:9" ht="14.25" customHeight="1" x14ac:dyDescent="0.25">
      <c r="A1630" s="7" t="s">
        <v>6951</v>
      </c>
      <c r="B1630" s="8" t="s">
        <v>6952</v>
      </c>
      <c r="C1630" s="8" t="s">
        <v>6953</v>
      </c>
      <c r="D1630" s="8" t="s">
        <v>411</v>
      </c>
      <c r="E1630" s="8" t="s">
        <v>412</v>
      </c>
      <c r="F1630" s="11" t="s">
        <v>6954</v>
      </c>
      <c r="H1630" s="8" t="s">
        <v>6955</v>
      </c>
      <c r="I1630" s="8" t="s">
        <v>3756</v>
      </c>
    </row>
    <row r="1631" spans="1:9" ht="14.25" customHeight="1" x14ac:dyDescent="0.25">
      <c r="A1631" s="7" t="s">
        <v>6956</v>
      </c>
      <c r="B1631" s="8" t="s">
        <v>3229</v>
      </c>
      <c r="C1631" s="8" t="s">
        <v>6957</v>
      </c>
      <c r="D1631" s="8" t="s">
        <v>3163</v>
      </c>
      <c r="E1631" s="8" t="s">
        <v>412</v>
      </c>
      <c r="F1631" s="11" t="s">
        <v>6958</v>
      </c>
      <c r="G1631" s="8" t="s">
        <v>6959</v>
      </c>
      <c r="H1631" s="24" t="s">
        <v>6960</v>
      </c>
      <c r="I1631" s="8" t="s">
        <v>4371</v>
      </c>
    </row>
    <row r="1632" spans="1:9" ht="14.25" customHeight="1" x14ac:dyDescent="0.25">
      <c r="A1632" s="7" t="s">
        <v>6961</v>
      </c>
      <c r="B1632" s="8" t="s">
        <v>6962</v>
      </c>
      <c r="C1632" s="8" t="s">
        <v>6963</v>
      </c>
      <c r="D1632" s="8" t="s">
        <v>411</v>
      </c>
      <c r="E1632" s="8" t="s">
        <v>412</v>
      </c>
      <c r="F1632" s="11" t="s">
        <v>6964</v>
      </c>
      <c r="G1632" s="8" t="s">
        <v>6965</v>
      </c>
      <c r="H1632" s="8" t="s">
        <v>49</v>
      </c>
      <c r="I1632" s="8" t="s">
        <v>4039</v>
      </c>
    </row>
    <row r="1633" spans="1:9" ht="14.25" customHeight="1" x14ac:dyDescent="0.25">
      <c r="A1633" s="7" t="s">
        <v>6966</v>
      </c>
      <c r="B1633" s="8" t="s">
        <v>1912</v>
      </c>
      <c r="C1633" s="8" t="s">
        <v>3620</v>
      </c>
      <c r="D1633" s="8" t="s">
        <v>3163</v>
      </c>
      <c r="E1633" s="8" t="s">
        <v>3749</v>
      </c>
      <c r="F1633" s="11" t="s">
        <v>3621</v>
      </c>
      <c r="G1633" s="8" t="s">
        <v>6967</v>
      </c>
      <c r="H1633" s="8" t="s">
        <v>4317</v>
      </c>
      <c r="I1633" s="8" t="s">
        <v>3756</v>
      </c>
    </row>
    <row r="1634" spans="1:9" ht="14.25" customHeight="1" x14ac:dyDescent="0.25">
      <c r="A1634" s="7" t="s">
        <v>6968</v>
      </c>
      <c r="B1634" s="8" t="s">
        <v>4305</v>
      </c>
      <c r="C1634" s="8" t="s">
        <v>6969</v>
      </c>
      <c r="D1634" s="8" t="s">
        <v>411</v>
      </c>
      <c r="E1634" s="8" t="s">
        <v>6970</v>
      </c>
      <c r="G1634" s="8"/>
    </row>
    <row r="1635" spans="1:9" ht="14.25" customHeight="1" x14ac:dyDescent="0.25">
      <c r="A1635" s="7" t="s">
        <v>6971</v>
      </c>
      <c r="B1635" s="8" t="s">
        <v>1314</v>
      </c>
      <c r="C1635" s="8" t="s">
        <v>6972</v>
      </c>
      <c r="D1635" s="8" t="s">
        <v>411</v>
      </c>
      <c r="E1635" s="8" t="s">
        <v>412</v>
      </c>
      <c r="F1635" s="11" t="s">
        <v>6973</v>
      </c>
      <c r="G1635" s="8"/>
      <c r="H1635" s="8" t="s">
        <v>4330</v>
      </c>
      <c r="I1635" s="8" t="s">
        <v>3756</v>
      </c>
    </row>
    <row r="1636" spans="1:9" ht="14.25" customHeight="1" x14ac:dyDescent="0.25">
      <c r="A1636" s="7" t="s">
        <v>6974</v>
      </c>
      <c r="B1636" s="8" t="s">
        <v>2297</v>
      </c>
      <c r="C1636" s="8" t="s">
        <v>6972</v>
      </c>
      <c r="D1636" s="8" t="s">
        <v>411</v>
      </c>
      <c r="E1636" s="8" t="s">
        <v>412</v>
      </c>
      <c r="G1636" s="8"/>
      <c r="H1636" s="8" t="s">
        <v>4330</v>
      </c>
      <c r="I1636" s="8" t="s">
        <v>3756</v>
      </c>
    </row>
    <row r="1637" spans="1:9" ht="14.25" customHeight="1" x14ac:dyDescent="0.25">
      <c r="A1637" s="7" t="s">
        <v>6975</v>
      </c>
      <c r="B1637" s="8" t="s">
        <v>4578</v>
      </c>
      <c r="C1637" s="8" t="s">
        <v>6976</v>
      </c>
      <c r="D1637" s="8" t="s">
        <v>411</v>
      </c>
      <c r="E1637" s="8" t="s">
        <v>412</v>
      </c>
      <c r="F1637" s="11" t="s">
        <v>6977</v>
      </c>
      <c r="G1637" s="8" t="s">
        <v>6978</v>
      </c>
      <c r="H1637" s="8" t="s">
        <v>3618</v>
      </c>
      <c r="I1637" s="8" t="s">
        <v>4039</v>
      </c>
    </row>
    <row r="1638" spans="1:9" ht="14.25" customHeight="1" x14ac:dyDescent="0.25">
      <c r="A1638" s="7" t="s">
        <v>6979</v>
      </c>
      <c r="B1638" s="8" t="s">
        <v>417</v>
      </c>
      <c r="C1638" s="8" t="s">
        <v>6976</v>
      </c>
      <c r="D1638" s="8" t="s">
        <v>411</v>
      </c>
      <c r="E1638" s="8" t="s">
        <v>412</v>
      </c>
      <c r="F1638" s="11" t="s">
        <v>6980</v>
      </c>
      <c r="G1638" s="8" t="s">
        <v>6978</v>
      </c>
      <c r="H1638" s="8" t="s">
        <v>3618</v>
      </c>
      <c r="I1638" s="8" t="s">
        <v>4039</v>
      </c>
    </row>
    <row r="1639" spans="1:9" ht="14.25" customHeight="1" x14ac:dyDescent="0.25">
      <c r="A1639" s="7" t="s">
        <v>6981</v>
      </c>
      <c r="B1639" s="8" t="s">
        <v>6982</v>
      </c>
      <c r="C1639" s="8" t="s">
        <v>6983</v>
      </c>
      <c r="D1639" s="8" t="s">
        <v>411</v>
      </c>
      <c r="E1639" s="8" t="s">
        <v>412</v>
      </c>
      <c r="F1639" s="11" t="s">
        <v>6984</v>
      </c>
      <c r="G1639" s="8" t="s">
        <v>6985</v>
      </c>
      <c r="H1639" s="8" t="s">
        <v>15</v>
      </c>
      <c r="I1639" s="8" t="s">
        <v>4039</v>
      </c>
    </row>
    <row r="1640" spans="1:9" ht="14.25" customHeight="1" x14ac:dyDescent="0.25">
      <c r="A1640" s="7" t="s">
        <v>6986</v>
      </c>
      <c r="B1640" s="8" t="s">
        <v>6987</v>
      </c>
      <c r="C1640" s="8" t="s">
        <v>6988</v>
      </c>
      <c r="D1640" s="8" t="s">
        <v>411</v>
      </c>
      <c r="E1640" s="8" t="s">
        <v>412</v>
      </c>
      <c r="F1640" s="11" t="s">
        <v>6989</v>
      </c>
      <c r="G1640" s="8" t="s">
        <v>6990</v>
      </c>
      <c r="H1640" s="8" t="s">
        <v>61</v>
      </c>
      <c r="I1640" s="8" t="s">
        <v>3756</v>
      </c>
    </row>
    <row r="1641" spans="1:9" ht="14.25" customHeight="1" x14ac:dyDescent="0.25">
      <c r="A1641" s="7" t="s">
        <v>6991</v>
      </c>
      <c r="B1641" s="8" t="s">
        <v>6992</v>
      </c>
      <c r="C1641" s="8" t="s">
        <v>6993</v>
      </c>
      <c r="D1641" s="8" t="s">
        <v>411</v>
      </c>
      <c r="E1641" s="8" t="s">
        <v>3890</v>
      </c>
      <c r="F1641" s="11" t="s">
        <v>6994</v>
      </c>
      <c r="G1641" s="8" t="s">
        <v>6995</v>
      </c>
      <c r="H1641" s="8" t="s">
        <v>4495</v>
      </c>
      <c r="I1641" s="8" t="s">
        <v>4039</v>
      </c>
    </row>
    <row r="1642" spans="1:9" ht="14.25" customHeight="1" x14ac:dyDescent="0.25">
      <c r="A1642" s="7" t="s">
        <v>6996</v>
      </c>
      <c r="B1642" s="8" t="s">
        <v>5375</v>
      </c>
      <c r="C1642" s="8" t="s">
        <v>6997</v>
      </c>
      <c r="D1642" s="8" t="s">
        <v>3163</v>
      </c>
      <c r="E1642" s="8" t="s">
        <v>3890</v>
      </c>
      <c r="F1642" s="11" t="s">
        <v>6998</v>
      </c>
      <c r="G1642" s="8" t="s">
        <v>6995</v>
      </c>
      <c r="H1642" s="8" t="s">
        <v>4495</v>
      </c>
      <c r="I1642" s="8" t="s">
        <v>4039</v>
      </c>
    </row>
    <row r="1643" spans="1:9" ht="14.25" customHeight="1" x14ac:dyDescent="0.25">
      <c r="A1643" s="7" t="s">
        <v>6999</v>
      </c>
      <c r="B1643" s="8" t="s">
        <v>3605</v>
      </c>
      <c r="C1643" s="8" t="s">
        <v>7000</v>
      </c>
      <c r="D1643" s="8" t="s">
        <v>411</v>
      </c>
      <c r="E1643" s="8" t="s">
        <v>412</v>
      </c>
      <c r="F1643" s="11" t="s">
        <v>7001</v>
      </c>
      <c r="G1643" s="8" t="s">
        <v>7002</v>
      </c>
      <c r="H1643" s="8" t="s">
        <v>20</v>
      </c>
      <c r="I1643" s="8" t="s">
        <v>3756</v>
      </c>
    </row>
    <row r="1644" spans="1:9" ht="14.25" customHeight="1" x14ac:dyDescent="0.25">
      <c r="A1644" s="7" t="s">
        <v>7003</v>
      </c>
      <c r="B1644" s="8" t="s">
        <v>760</v>
      </c>
      <c r="C1644" s="8" t="s">
        <v>7004</v>
      </c>
      <c r="D1644" s="8" t="s">
        <v>3163</v>
      </c>
      <c r="E1644" s="8" t="s">
        <v>3890</v>
      </c>
      <c r="G1644" s="8" t="s">
        <v>7005</v>
      </c>
      <c r="H1644" s="8" t="s">
        <v>7006</v>
      </c>
      <c r="I1644" s="8" t="s">
        <v>4039</v>
      </c>
    </row>
    <row r="1645" spans="1:9" ht="14.25" customHeight="1" x14ac:dyDescent="0.25">
      <c r="A1645" s="7" t="s">
        <v>7007</v>
      </c>
      <c r="B1645" s="8" t="s">
        <v>6293</v>
      </c>
      <c r="C1645" s="8" t="s">
        <v>7008</v>
      </c>
      <c r="D1645" s="8" t="s">
        <v>411</v>
      </c>
      <c r="E1645" s="8" t="s">
        <v>412</v>
      </c>
      <c r="F1645" s="12" t="s">
        <v>7009</v>
      </c>
      <c r="G1645" s="8" t="s">
        <v>7010</v>
      </c>
      <c r="H1645" s="8" t="s">
        <v>6128</v>
      </c>
      <c r="I1645" s="8" t="s">
        <v>4371</v>
      </c>
    </row>
    <row r="1646" spans="1:9" ht="14.25" customHeight="1" x14ac:dyDescent="0.25">
      <c r="A1646" s="7" t="s">
        <v>7011</v>
      </c>
      <c r="B1646" s="8" t="s">
        <v>7012</v>
      </c>
      <c r="C1646" s="8" t="s">
        <v>7013</v>
      </c>
      <c r="D1646" s="8" t="s">
        <v>411</v>
      </c>
      <c r="E1646" s="8" t="s">
        <v>412</v>
      </c>
      <c r="F1646" s="11" t="s">
        <v>7014</v>
      </c>
      <c r="G1646" s="8" t="s">
        <v>7015</v>
      </c>
      <c r="H1646" s="8" t="s">
        <v>92</v>
      </c>
      <c r="I1646" s="8" t="s">
        <v>3756</v>
      </c>
    </row>
    <row r="1647" spans="1:9" ht="14.25" customHeight="1" x14ac:dyDescent="0.25">
      <c r="A1647" s="7" t="s">
        <v>7016</v>
      </c>
      <c r="B1647" s="8" t="s">
        <v>1279</v>
      </c>
      <c r="C1647" s="8" t="s">
        <v>150</v>
      </c>
      <c r="D1647" s="8" t="s">
        <v>411</v>
      </c>
      <c r="E1647" s="8" t="s">
        <v>412</v>
      </c>
      <c r="F1647" s="11" t="s">
        <v>7017</v>
      </c>
      <c r="G1647" s="8"/>
      <c r="H1647" s="8" t="s">
        <v>3618</v>
      </c>
      <c r="I1647" s="8" t="s">
        <v>3756</v>
      </c>
    </row>
    <row r="1648" spans="1:9" ht="14.25" customHeight="1" x14ac:dyDescent="0.25">
      <c r="A1648" s="7" t="s">
        <v>7018</v>
      </c>
      <c r="B1648" s="8" t="s">
        <v>7019</v>
      </c>
      <c r="C1648" s="8" t="s">
        <v>7020</v>
      </c>
      <c r="D1648" s="8" t="s">
        <v>411</v>
      </c>
      <c r="E1648" s="8" t="s">
        <v>3890</v>
      </c>
      <c r="F1648" s="11" t="s">
        <v>7021</v>
      </c>
      <c r="G1648" s="8" t="s">
        <v>7022</v>
      </c>
      <c r="H1648" s="8" t="s">
        <v>61</v>
      </c>
      <c r="I1648" s="8" t="s">
        <v>4039</v>
      </c>
    </row>
    <row r="1649" spans="1:9" ht="14.25" customHeight="1" x14ac:dyDescent="0.25">
      <c r="A1649" s="7" t="s">
        <v>7023</v>
      </c>
      <c r="B1649" s="8" t="s">
        <v>3974</v>
      </c>
      <c r="C1649" s="8" t="s">
        <v>7024</v>
      </c>
      <c r="D1649" s="8" t="s">
        <v>3163</v>
      </c>
      <c r="E1649" s="8" t="s">
        <v>3890</v>
      </c>
      <c r="G1649" s="8" t="s">
        <v>7022</v>
      </c>
      <c r="H1649" s="8" t="s">
        <v>61</v>
      </c>
      <c r="I1649" s="8" t="s">
        <v>4039</v>
      </c>
    </row>
    <row r="1650" spans="1:9" ht="14.25" customHeight="1" x14ac:dyDescent="0.25">
      <c r="A1650" s="7" t="s">
        <v>7025</v>
      </c>
      <c r="B1650" s="8" t="s">
        <v>179</v>
      </c>
      <c r="C1650" s="8" t="s">
        <v>7026</v>
      </c>
      <c r="D1650" s="8" t="s">
        <v>411</v>
      </c>
      <c r="E1650" s="8" t="s">
        <v>3890</v>
      </c>
      <c r="F1650" s="11" t="s">
        <v>7027</v>
      </c>
      <c r="G1650" s="8" t="s">
        <v>7028</v>
      </c>
      <c r="H1650" s="8" t="s">
        <v>6927</v>
      </c>
      <c r="I1650" s="8" t="s">
        <v>4039</v>
      </c>
    </row>
    <row r="1651" spans="1:9" ht="14.25" customHeight="1" x14ac:dyDescent="0.25">
      <c r="A1651" s="7" t="s">
        <v>7029</v>
      </c>
      <c r="B1651" s="8" t="s">
        <v>6390</v>
      </c>
      <c r="C1651" s="8" t="s">
        <v>7030</v>
      </c>
      <c r="D1651" s="8" t="s">
        <v>3163</v>
      </c>
      <c r="E1651" s="8" t="s">
        <v>3890</v>
      </c>
      <c r="F1651" s="11" t="s">
        <v>7031</v>
      </c>
      <c r="G1651" s="8" t="s">
        <v>7028</v>
      </c>
      <c r="H1651" s="8" t="s">
        <v>6927</v>
      </c>
      <c r="I1651" s="8" t="s">
        <v>4039</v>
      </c>
    </row>
    <row r="1652" spans="1:9" ht="14.25" customHeight="1" x14ac:dyDescent="0.25">
      <c r="A1652" s="7" t="s">
        <v>7032</v>
      </c>
      <c r="B1652" s="8" t="s">
        <v>7033</v>
      </c>
      <c r="C1652" s="8" t="s">
        <v>7034</v>
      </c>
      <c r="D1652" s="8" t="s">
        <v>3163</v>
      </c>
      <c r="E1652" s="8" t="s">
        <v>3890</v>
      </c>
      <c r="F1652" s="11" t="s">
        <v>7035</v>
      </c>
      <c r="G1652" s="8" t="s">
        <v>7036</v>
      </c>
      <c r="H1652" s="8" t="s">
        <v>25</v>
      </c>
      <c r="I1652" s="8" t="s">
        <v>4039</v>
      </c>
    </row>
    <row r="1653" spans="1:9" ht="14.25" customHeight="1" x14ac:dyDescent="0.25">
      <c r="A1653" s="7" t="s">
        <v>7037</v>
      </c>
      <c r="B1653" s="8" t="s">
        <v>7038</v>
      </c>
      <c r="C1653" s="8" t="s">
        <v>7034</v>
      </c>
      <c r="D1653" s="8" t="s">
        <v>411</v>
      </c>
      <c r="E1653" s="8" t="s">
        <v>3890</v>
      </c>
      <c r="F1653" s="11" t="s">
        <v>7039</v>
      </c>
      <c r="G1653" s="8" t="s">
        <v>7036</v>
      </c>
      <c r="H1653" s="8" t="s">
        <v>25</v>
      </c>
      <c r="I1653" s="8" t="s">
        <v>4039</v>
      </c>
    </row>
    <row r="1654" spans="1:9" ht="14.25" customHeight="1" x14ac:dyDescent="0.25">
      <c r="A1654" s="7" t="s">
        <v>7040</v>
      </c>
      <c r="B1654" s="8" t="s">
        <v>7041</v>
      </c>
      <c r="C1654" s="8" t="s">
        <v>7042</v>
      </c>
      <c r="D1654" s="8" t="s">
        <v>411</v>
      </c>
      <c r="E1654" s="8" t="s">
        <v>412</v>
      </c>
      <c r="F1654" s="11" t="s">
        <v>7043</v>
      </c>
      <c r="G1654" s="8" t="s">
        <v>7044</v>
      </c>
      <c r="H1654" s="8" t="s">
        <v>25</v>
      </c>
      <c r="I1654" s="8" t="s">
        <v>3756</v>
      </c>
    </row>
    <row r="1655" spans="1:9" ht="14.25" customHeight="1" x14ac:dyDescent="0.25">
      <c r="A1655" s="7" t="s">
        <v>7045</v>
      </c>
      <c r="B1655" s="8" t="s">
        <v>7046</v>
      </c>
      <c r="C1655" s="8" t="s">
        <v>3640</v>
      </c>
      <c r="D1655" s="8" t="s">
        <v>3163</v>
      </c>
      <c r="E1655" s="8" t="s">
        <v>1359</v>
      </c>
      <c r="F1655" s="11" t="s">
        <v>7047</v>
      </c>
      <c r="G1655" s="8" t="s">
        <v>7048</v>
      </c>
      <c r="H1655" s="8" t="s">
        <v>6128</v>
      </c>
      <c r="I1655" s="8" t="s">
        <v>3756</v>
      </c>
    </row>
    <row r="1656" spans="1:9" ht="14.25" customHeight="1" x14ac:dyDescent="0.25">
      <c r="A1656" s="19" t="s">
        <v>7049</v>
      </c>
      <c r="B1656" s="8" t="s">
        <v>1150</v>
      </c>
      <c r="C1656" s="8" t="s">
        <v>7050</v>
      </c>
      <c r="D1656" s="8" t="s">
        <v>411</v>
      </c>
      <c r="E1656" s="8" t="s">
        <v>412</v>
      </c>
      <c r="G1656" s="8"/>
    </row>
    <row r="1657" spans="1:9" ht="14.25" customHeight="1" x14ac:dyDescent="0.25">
      <c r="A1657" s="7" t="s">
        <v>7051</v>
      </c>
      <c r="B1657" s="8" t="s">
        <v>5797</v>
      </c>
      <c r="C1657" s="8" t="s">
        <v>7052</v>
      </c>
      <c r="D1657" s="8" t="s">
        <v>3163</v>
      </c>
      <c r="E1657" s="8" t="s">
        <v>412</v>
      </c>
      <c r="G1657" s="8"/>
    </row>
    <row r="1658" spans="1:9" ht="14.25" customHeight="1" x14ac:dyDescent="0.25">
      <c r="A1658" s="7" t="s">
        <v>7053</v>
      </c>
      <c r="B1658" s="8" t="s">
        <v>7054</v>
      </c>
      <c r="C1658" s="8" t="s">
        <v>7055</v>
      </c>
      <c r="D1658" s="8" t="s">
        <v>411</v>
      </c>
      <c r="E1658" s="8" t="s">
        <v>1359</v>
      </c>
      <c r="F1658" s="11" t="s">
        <v>7056</v>
      </c>
      <c r="G1658" s="8" t="s">
        <v>7057</v>
      </c>
      <c r="H1658" s="8" t="s">
        <v>92</v>
      </c>
      <c r="I1658" s="8" t="s">
        <v>3756</v>
      </c>
    </row>
    <row r="1659" spans="1:9" ht="14.25" customHeight="1" x14ac:dyDescent="0.25">
      <c r="A1659" s="7" t="s">
        <v>7058</v>
      </c>
      <c r="B1659" s="8" t="s">
        <v>7059</v>
      </c>
      <c r="C1659" s="8" t="s">
        <v>7060</v>
      </c>
      <c r="D1659" s="8" t="s">
        <v>3163</v>
      </c>
      <c r="E1659" s="8" t="s">
        <v>412</v>
      </c>
      <c r="F1659" s="11" t="s">
        <v>7061</v>
      </c>
      <c r="G1659" s="8" t="s">
        <v>7062</v>
      </c>
      <c r="H1659" s="8" t="s">
        <v>7063</v>
      </c>
      <c r="I1659" s="8" t="s">
        <v>3756</v>
      </c>
    </row>
    <row r="1660" spans="1:9" ht="14.25" customHeight="1" x14ac:dyDescent="0.25">
      <c r="A1660" s="7" t="s">
        <v>7064</v>
      </c>
      <c r="B1660" s="8" t="s">
        <v>2329</v>
      </c>
      <c r="C1660" s="8" t="s">
        <v>7065</v>
      </c>
      <c r="D1660" s="8" t="s">
        <v>411</v>
      </c>
      <c r="E1660" s="8" t="s">
        <v>412</v>
      </c>
      <c r="F1660" s="11" t="s">
        <v>7066</v>
      </c>
      <c r="G1660" s="8" t="s">
        <v>7067</v>
      </c>
      <c r="H1660" s="24" t="s">
        <v>3820</v>
      </c>
      <c r="I1660" s="8" t="s">
        <v>3756</v>
      </c>
    </row>
    <row r="1661" spans="1:9" ht="14.25" customHeight="1" x14ac:dyDescent="0.25">
      <c r="A1661" s="7" t="s">
        <v>7068</v>
      </c>
      <c r="B1661" s="8" t="s">
        <v>2697</v>
      </c>
      <c r="C1661" s="8" t="s">
        <v>5842</v>
      </c>
      <c r="D1661" s="8" t="s">
        <v>411</v>
      </c>
      <c r="E1661" s="8" t="s">
        <v>412</v>
      </c>
      <c r="F1661" s="11" t="s">
        <v>5843</v>
      </c>
      <c r="G1661" s="8" t="s">
        <v>5844</v>
      </c>
      <c r="H1661" s="8" t="s">
        <v>5613</v>
      </c>
      <c r="I1661" s="8" t="s">
        <v>4039</v>
      </c>
    </row>
    <row r="1662" spans="1:9" ht="14.25" customHeight="1" x14ac:dyDescent="0.25">
      <c r="A1662" s="7" t="s">
        <v>7069</v>
      </c>
      <c r="B1662" s="8" t="s">
        <v>7070</v>
      </c>
      <c r="C1662" s="8" t="s">
        <v>7071</v>
      </c>
      <c r="D1662" s="8" t="s">
        <v>3163</v>
      </c>
      <c r="E1662" s="8" t="s">
        <v>3890</v>
      </c>
      <c r="F1662" s="11" t="s">
        <v>7072</v>
      </c>
      <c r="G1662" s="8" t="s">
        <v>7073</v>
      </c>
      <c r="H1662" s="8" t="s">
        <v>2212</v>
      </c>
      <c r="I1662" s="8" t="s">
        <v>7074</v>
      </c>
    </row>
    <row r="1663" spans="1:9" ht="14.25" customHeight="1" x14ac:dyDescent="0.25">
      <c r="A1663" s="7" t="s">
        <v>7075</v>
      </c>
      <c r="B1663" s="8" t="s">
        <v>7076</v>
      </c>
      <c r="C1663" s="8" t="s">
        <v>7077</v>
      </c>
      <c r="D1663" s="8" t="s">
        <v>411</v>
      </c>
      <c r="E1663" s="8" t="s">
        <v>3890</v>
      </c>
      <c r="F1663" s="11" t="s">
        <v>7072</v>
      </c>
      <c r="G1663" s="8" t="s">
        <v>7073</v>
      </c>
      <c r="H1663" s="8" t="s">
        <v>2212</v>
      </c>
      <c r="I1663" s="8" t="s">
        <v>7074</v>
      </c>
    </row>
    <row r="1664" spans="1:9" ht="14.25" customHeight="1" x14ac:dyDescent="0.25">
      <c r="A1664" s="7" t="s">
        <v>7078</v>
      </c>
      <c r="B1664" s="8" t="s">
        <v>7079</v>
      </c>
      <c r="C1664" s="8" t="s">
        <v>5625</v>
      </c>
      <c r="D1664" s="8" t="s">
        <v>411</v>
      </c>
      <c r="E1664" s="8" t="s">
        <v>412</v>
      </c>
      <c r="F1664" s="11" t="s">
        <v>7080</v>
      </c>
      <c r="G1664" s="8" t="s">
        <v>7081</v>
      </c>
      <c r="H1664" s="8" t="s">
        <v>61</v>
      </c>
      <c r="I1664" s="8" t="s">
        <v>3756</v>
      </c>
    </row>
    <row r="1665" spans="1:9" ht="14.25" customHeight="1" x14ac:dyDescent="0.25">
      <c r="A1665" s="7" t="s">
        <v>7082</v>
      </c>
      <c r="B1665" s="8" t="s">
        <v>2956</v>
      </c>
      <c r="C1665" s="8" t="s">
        <v>6524</v>
      </c>
      <c r="D1665" s="8" t="s">
        <v>411</v>
      </c>
      <c r="E1665" s="8" t="s">
        <v>412</v>
      </c>
      <c r="F1665" s="11" t="s">
        <v>7083</v>
      </c>
      <c r="G1665" s="8" t="s">
        <v>7084</v>
      </c>
      <c r="H1665" s="8" t="s">
        <v>7085</v>
      </c>
      <c r="I1665" s="8" t="s">
        <v>3756</v>
      </c>
    </row>
    <row r="1666" spans="1:9" ht="14.25" customHeight="1" x14ac:dyDescent="0.25">
      <c r="A1666" s="7" t="s">
        <v>7086</v>
      </c>
      <c r="B1666" s="8" t="s">
        <v>155</v>
      </c>
      <c r="C1666" s="8" t="s">
        <v>5345</v>
      </c>
      <c r="D1666" s="8" t="s">
        <v>411</v>
      </c>
      <c r="E1666" s="8" t="s">
        <v>3890</v>
      </c>
      <c r="F1666" s="11" t="s">
        <v>5346</v>
      </c>
      <c r="G1666" s="8" t="s">
        <v>7087</v>
      </c>
      <c r="H1666" s="8" t="s">
        <v>6437</v>
      </c>
      <c r="I1666" s="8" t="s">
        <v>4371</v>
      </c>
    </row>
    <row r="1667" spans="1:9" ht="14.25" customHeight="1" x14ac:dyDescent="0.25">
      <c r="A1667" s="7" t="s">
        <v>7088</v>
      </c>
      <c r="B1667" s="8" t="s">
        <v>3791</v>
      </c>
      <c r="C1667" s="8" t="s">
        <v>5345</v>
      </c>
      <c r="D1667" s="8" t="s">
        <v>3163</v>
      </c>
      <c r="E1667" s="8" t="s">
        <v>3890</v>
      </c>
      <c r="F1667" s="11" t="s">
        <v>7089</v>
      </c>
      <c r="G1667" s="8" t="s">
        <v>7087</v>
      </c>
      <c r="H1667" s="8" t="s">
        <v>6437</v>
      </c>
      <c r="I1667" s="8" t="s">
        <v>4371</v>
      </c>
    </row>
    <row r="1668" spans="1:9" ht="14.25" customHeight="1" x14ac:dyDescent="0.25">
      <c r="A1668" s="7" t="s">
        <v>7090</v>
      </c>
      <c r="B1668" s="8" t="s">
        <v>1463</v>
      </c>
      <c r="C1668" s="8" t="s">
        <v>7091</v>
      </c>
      <c r="D1668" s="8" t="s">
        <v>411</v>
      </c>
      <c r="E1668" s="8" t="s">
        <v>3890</v>
      </c>
      <c r="F1668" s="11" t="s">
        <v>7092</v>
      </c>
      <c r="G1668" s="8" t="s">
        <v>7093</v>
      </c>
      <c r="H1668" s="8" t="s">
        <v>49</v>
      </c>
      <c r="I1668" s="8" t="s">
        <v>3756</v>
      </c>
    </row>
    <row r="1669" spans="1:9" ht="14.25" customHeight="1" x14ac:dyDescent="0.25">
      <c r="A1669" s="7" t="s">
        <v>7094</v>
      </c>
      <c r="B1669" s="8" t="s">
        <v>7095</v>
      </c>
      <c r="C1669" s="8" t="s">
        <v>7096</v>
      </c>
      <c r="D1669" s="8" t="s">
        <v>3163</v>
      </c>
      <c r="E1669" s="8" t="s">
        <v>3890</v>
      </c>
      <c r="F1669" s="11" t="s">
        <v>7097</v>
      </c>
      <c r="G1669" s="8" t="s">
        <v>7093</v>
      </c>
      <c r="H1669" s="8" t="s">
        <v>49</v>
      </c>
      <c r="I1669" s="8" t="s">
        <v>3756</v>
      </c>
    </row>
    <row r="1670" spans="1:9" ht="14.25" customHeight="1" x14ac:dyDescent="0.25">
      <c r="A1670" s="7" t="s">
        <v>7098</v>
      </c>
      <c r="B1670" s="8" t="s">
        <v>2708</v>
      </c>
      <c r="C1670" s="8" t="s">
        <v>7099</v>
      </c>
      <c r="D1670" s="8" t="s">
        <v>411</v>
      </c>
      <c r="E1670" s="8" t="s">
        <v>1359</v>
      </c>
      <c r="F1670" s="11" t="s">
        <v>7100</v>
      </c>
      <c r="G1670" s="8" t="s">
        <v>7101</v>
      </c>
      <c r="H1670" s="8" t="s">
        <v>3618</v>
      </c>
      <c r="I1670" s="8" t="s">
        <v>3756</v>
      </c>
    </row>
    <row r="1671" spans="1:9" ht="14.25" customHeight="1" x14ac:dyDescent="0.25">
      <c r="A1671" s="7" t="s">
        <v>7102</v>
      </c>
      <c r="B1671" s="8" t="s">
        <v>7103</v>
      </c>
      <c r="C1671" s="8" t="s">
        <v>7104</v>
      </c>
      <c r="D1671" s="8" t="s">
        <v>3163</v>
      </c>
      <c r="E1671" s="8" t="s">
        <v>412</v>
      </c>
      <c r="F1671" s="11" t="s">
        <v>7105</v>
      </c>
      <c r="G1671" s="8"/>
      <c r="H1671" s="8" t="s">
        <v>2212</v>
      </c>
      <c r="I1671" s="8" t="s">
        <v>4039</v>
      </c>
    </row>
    <row r="1672" spans="1:9" ht="14.25" customHeight="1" x14ac:dyDescent="0.25">
      <c r="A1672" s="7" t="s">
        <v>7106</v>
      </c>
      <c r="B1672" s="8" t="s">
        <v>7107</v>
      </c>
      <c r="C1672" s="8" t="s">
        <v>7108</v>
      </c>
      <c r="D1672" s="8" t="s">
        <v>3163</v>
      </c>
      <c r="E1672" s="8" t="s">
        <v>3890</v>
      </c>
      <c r="G1672" s="8"/>
      <c r="I1672" s="8" t="s">
        <v>3756</v>
      </c>
    </row>
    <row r="1673" spans="1:9" ht="14.25" customHeight="1" x14ac:dyDescent="0.25">
      <c r="A1673" s="25" t="s">
        <v>7109</v>
      </c>
      <c r="B1673" s="26" t="s">
        <v>447</v>
      </c>
      <c r="C1673" s="26" t="s">
        <v>7110</v>
      </c>
      <c r="D1673" s="23" t="s">
        <v>3163</v>
      </c>
      <c r="E1673" s="20" t="s">
        <v>3890</v>
      </c>
      <c r="F1673" s="11" t="s">
        <v>7111</v>
      </c>
      <c r="G1673" s="8"/>
    </row>
    <row r="1674" spans="1:9" ht="14.25" customHeight="1" x14ac:dyDescent="0.25">
      <c r="A1674" s="7" t="s">
        <v>7112</v>
      </c>
      <c r="B1674" s="8" t="s">
        <v>5622</v>
      </c>
      <c r="C1674" s="8" t="s">
        <v>7113</v>
      </c>
      <c r="D1674" s="8" t="s">
        <v>3163</v>
      </c>
      <c r="E1674" s="8" t="s">
        <v>412</v>
      </c>
      <c r="F1674" s="11" t="s">
        <v>7114</v>
      </c>
      <c r="G1674" s="8" t="s">
        <v>7115</v>
      </c>
      <c r="H1674" s="8" t="s">
        <v>82</v>
      </c>
      <c r="I1674" s="8" t="s">
        <v>5347</v>
      </c>
    </row>
    <row r="1675" spans="1:9" ht="14.25" customHeight="1" x14ac:dyDescent="0.25">
      <c r="A1675" s="7" t="s">
        <v>7116</v>
      </c>
      <c r="B1675" s="8" t="s">
        <v>7117</v>
      </c>
      <c r="C1675" s="8" t="s">
        <v>7118</v>
      </c>
      <c r="D1675" s="8" t="s">
        <v>411</v>
      </c>
      <c r="E1675" s="8" t="s">
        <v>3890</v>
      </c>
      <c r="F1675" s="11" t="s">
        <v>7119</v>
      </c>
      <c r="G1675" s="8" t="s">
        <v>7120</v>
      </c>
      <c r="H1675" s="8" t="s">
        <v>2212</v>
      </c>
      <c r="I1675" s="8" t="s">
        <v>3756</v>
      </c>
    </row>
    <row r="1676" spans="1:9" ht="14.25" customHeight="1" x14ac:dyDescent="0.25">
      <c r="A1676" s="7" t="s">
        <v>7121</v>
      </c>
      <c r="B1676" s="8" t="s">
        <v>3974</v>
      </c>
      <c r="C1676" s="8" t="s">
        <v>7122</v>
      </c>
      <c r="D1676" s="8" t="s">
        <v>3163</v>
      </c>
      <c r="E1676" s="8" t="s">
        <v>3890</v>
      </c>
      <c r="F1676" s="11" t="s">
        <v>7123</v>
      </c>
      <c r="G1676" s="8" t="s">
        <v>7120</v>
      </c>
      <c r="H1676" s="8" t="s">
        <v>2212</v>
      </c>
      <c r="I1676" s="8" t="s">
        <v>3756</v>
      </c>
    </row>
    <row r="1677" spans="1:9" ht="14.25" customHeight="1" x14ac:dyDescent="0.25">
      <c r="A1677" s="7" t="s">
        <v>7124</v>
      </c>
      <c r="B1677" s="8" t="s">
        <v>7125</v>
      </c>
      <c r="C1677" s="8" t="s">
        <v>3620</v>
      </c>
      <c r="D1677" s="8" t="s">
        <v>3163</v>
      </c>
      <c r="E1677" s="8" t="s">
        <v>3749</v>
      </c>
      <c r="F1677" s="11" t="s">
        <v>3621</v>
      </c>
      <c r="G1677" s="8" t="s">
        <v>6967</v>
      </c>
      <c r="H1677" s="8" t="s">
        <v>4317</v>
      </c>
      <c r="I1677" s="8" t="s">
        <v>3756</v>
      </c>
    </row>
    <row r="1678" spans="1:9" ht="14.25" customHeight="1" x14ac:dyDescent="0.25">
      <c r="A1678" s="7" t="s">
        <v>7126</v>
      </c>
      <c r="B1678" s="8" t="s">
        <v>7127</v>
      </c>
      <c r="C1678" s="8" t="s">
        <v>7128</v>
      </c>
      <c r="D1678" s="8" t="s">
        <v>411</v>
      </c>
      <c r="E1678" s="8" t="s">
        <v>3890</v>
      </c>
      <c r="G1678" s="8"/>
    </row>
    <row r="1679" spans="1:9" ht="14.25" customHeight="1" x14ac:dyDescent="0.25">
      <c r="A1679" s="19" t="s">
        <v>7129</v>
      </c>
      <c r="B1679" s="8" t="s">
        <v>4990</v>
      </c>
      <c r="C1679" s="8" t="s">
        <v>7130</v>
      </c>
      <c r="D1679" s="8" t="s">
        <v>411</v>
      </c>
      <c r="E1679" s="8" t="s">
        <v>412</v>
      </c>
      <c r="F1679" s="11" t="s">
        <v>7131</v>
      </c>
      <c r="G1679" s="8"/>
    </row>
    <row r="1680" spans="1:9" ht="14.25" customHeight="1" x14ac:dyDescent="0.25">
      <c r="A1680" s="7" t="s">
        <v>7132</v>
      </c>
      <c r="B1680" s="8" t="s">
        <v>7133</v>
      </c>
      <c r="C1680" s="8" t="s">
        <v>7134</v>
      </c>
      <c r="D1680" s="8" t="s">
        <v>411</v>
      </c>
      <c r="E1680" s="8" t="s">
        <v>412</v>
      </c>
      <c r="F1680" s="11" t="s">
        <v>7135</v>
      </c>
      <c r="G1680" s="8" t="s">
        <v>7136</v>
      </c>
      <c r="H1680" s="8" t="s">
        <v>92</v>
      </c>
      <c r="I1680" s="8" t="s">
        <v>3756</v>
      </c>
    </row>
    <row r="1681" spans="1:9" ht="14.25" customHeight="1" x14ac:dyDescent="0.25">
      <c r="A1681" s="7" t="s">
        <v>7137</v>
      </c>
      <c r="B1681" s="8" t="s">
        <v>1808</v>
      </c>
      <c r="C1681" s="8" t="s">
        <v>150</v>
      </c>
      <c r="D1681" s="8" t="s">
        <v>3163</v>
      </c>
      <c r="E1681" s="8" t="s">
        <v>412</v>
      </c>
      <c r="F1681" s="11" t="s">
        <v>7138</v>
      </c>
      <c r="G1681" s="8" t="s">
        <v>7139</v>
      </c>
      <c r="H1681" s="8" t="s">
        <v>15</v>
      </c>
      <c r="I1681" s="8" t="s">
        <v>3756</v>
      </c>
    </row>
    <row r="1682" spans="1:9" ht="14.25" customHeight="1" x14ac:dyDescent="0.25">
      <c r="A1682" s="7" t="s">
        <v>7140</v>
      </c>
      <c r="B1682" s="8" t="s">
        <v>7141</v>
      </c>
      <c r="C1682" s="8" t="s">
        <v>7142</v>
      </c>
      <c r="D1682" s="8" t="s">
        <v>3163</v>
      </c>
      <c r="E1682" s="8" t="s">
        <v>412</v>
      </c>
      <c r="F1682" s="11" t="s">
        <v>7143</v>
      </c>
      <c r="G1682" s="8" t="s">
        <v>7144</v>
      </c>
      <c r="H1682" s="8" t="s">
        <v>82</v>
      </c>
      <c r="I1682" s="8" t="s">
        <v>4039</v>
      </c>
    </row>
    <row r="1683" spans="1:9" ht="14.25" customHeight="1" x14ac:dyDescent="0.25">
      <c r="A1683" s="7" t="s">
        <v>7145</v>
      </c>
      <c r="B1683" s="8" t="s">
        <v>3653</v>
      </c>
      <c r="C1683" s="8" t="s">
        <v>7146</v>
      </c>
      <c r="D1683" s="8" t="s">
        <v>411</v>
      </c>
      <c r="E1683" s="8" t="s">
        <v>412</v>
      </c>
      <c r="F1683" s="11" t="s">
        <v>7147</v>
      </c>
      <c r="G1683" s="8" t="s">
        <v>7148</v>
      </c>
      <c r="H1683" s="8" t="s">
        <v>61</v>
      </c>
      <c r="I1683" s="8" t="s">
        <v>3756</v>
      </c>
    </row>
    <row r="1684" spans="1:9" ht="14.25" customHeight="1" x14ac:dyDescent="0.25">
      <c r="A1684" s="7" t="s">
        <v>7149</v>
      </c>
      <c r="B1684" s="8" t="s">
        <v>7150</v>
      </c>
      <c r="C1684" s="8" t="s">
        <v>7151</v>
      </c>
      <c r="D1684" s="8" t="s">
        <v>411</v>
      </c>
      <c r="E1684" s="8" t="s">
        <v>3890</v>
      </c>
      <c r="F1684" s="11" t="s">
        <v>7152</v>
      </c>
      <c r="G1684" s="8" t="s">
        <v>7153</v>
      </c>
      <c r="H1684" s="8" t="s">
        <v>82</v>
      </c>
      <c r="I1684" s="8" t="s">
        <v>4039</v>
      </c>
    </row>
    <row r="1685" spans="1:9" ht="14.25" customHeight="1" x14ac:dyDescent="0.25">
      <c r="A1685" s="7" t="s">
        <v>7154</v>
      </c>
      <c r="B1685" s="8" t="s">
        <v>950</v>
      </c>
      <c r="C1685" s="8" t="s">
        <v>7155</v>
      </c>
      <c r="D1685" s="8" t="s">
        <v>3163</v>
      </c>
      <c r="E1685" s="8" t="s">
        <v>3890</v>
      </c>
      <c r="G1685" s="8" t="s">
        <v>7153</v>
      </c>
      <c r="H1685" s="8" t="s">
        <v>82</v>
      </c>
      <c r="I1685" s="8" t="s">
        <v>4039</v>
      </c>
    </row>
    <row r="1686" spans="1:9" ht="14.25" customHeight="1" x14ac:dyDescent="0.25">
      <c r="A1686" s="7" t="s">
        <v>7156</v>
      </c>
      <c r="B1686" s="8" t="s">
        <v>7157</v>
      </c>
      <c r="C1686" s="8" t="s">
        <v>7158</v>
      </c>
      <c r="D1686" s="8" t="s">
        <v>411</v>
      </c>
      <c r="E1686" s="8" t="s">
        <v>412</v>
      </c>
      <c r="F1686" s="11" t="s">
        <v>7159</v>
      </c>
      <c r="I1686" s="8" t="s">
        <v>3756</v>
      </c>
    </row>
    <row r="1687" spans="1:9" ht="14.25" customHeight="1" x14ac:dyDescent="0.25">
      <c r="A1687" s="7" t="s">
        <v>7160</v>
      </c>
      <c r="B1687" s="8" t="s">
        <v>4515</v>
      </c>
      <c r="C1687" s="8" t="s">
        <v>7161</v>
      </c>
      <c r="D1687" s="8" t="s">
        <v>411</v>
      </c>
      <c r="E1687" s="8" t="s">
        <v>412</v>
      </c>
      <c r="F1687" s="11" t="s">
        <v>7162</v>
      </c>
      <c r="G1687" s="8" t="s">
        <v>7163</v>
      </c>
      <c r="H1687" s="8" t="s">
        <v>6104</v>
      </c>
      <c r="I1687" s="8" t="s">
        <v>4039</v>
      </c>
    </row>
    <row r="1688" spans="1:9" ht="14.25" customHeight="1" x14ac:dyDescent="0.25">
      <c r="A1688" s="7" t="s">
        <v>7164</v>
      </c>
      <c r="B1688" s="8" t="s">
        <v>7165</v>
      </c>
      <c r="C1688" s="8" t="s">
        <v>7166</v>
      </c>
      <c r="D1688" s="8" t="s">
        <v>3163</v>
      </c>
      <c r="E1688" s="8" t="s">
        <v>3890</v>
      </c>
    </row>
    <row r="1689" spans="1:9" ht="14.25" customHeight="1" x14ac:dyDescent="0.25">
      <c r="A1689" s="7" t="s">
        <v>7167</v>
      </c>
      <c r="B1689" s="8" t="s">
        <v>5173</v>
      </c>
      <c r="C1689" s="8" t="s">
        <v>7168</v>
      </c>
      <c r="D1689" s="8" t="s">
        <v>411</v>
      </c>
      <c r="E1689" s="8" t="s">
        <v>412</v>
      </c>
      <c r="F1689" s="11" t="s">
        <v>7169</v>
      </c>
      <c r="G1689" s="8" t="s">
        <v>7170</v>
      </c>
      <c r="H1689" s="8" t="s">
        <v>49</v>
      </c>
      <c r="I1689" s="8" t="s">
        <v>3756</v>
      </c>
    </row>
    <row r="1690" spans="1:9" ht="14.25" customHeight="1" x14ac:dyDescent="0.25">
      <c r="A1690" s="7" t="s">
        <v>7171</v>
      </c>
      <c r="B1690" s="8" t="s">
        <v>2972</v>
      </c>
      <c r="C1690" s="8" t="s">
        <v>7172</v>
      </c>
      <c r="D1690" s="8" t="s">
        <v>411</v>
      </c>
      <c r="E1690" s="8" t="s">
        <v>412</v>
      </c>
      <c r="F1690" s="11" t="s">
        <v>7173</v>
      </c>
      <c r="G1690" s="8" t="s">
        <v>7174</v>
      </c>
      <c r="H1690" s="8" t="s">
        <v>7175</v>
      </c>
      <c r="I1690" s="8" t="s">
        <v>3756</v>
      </c>
    </row>
    <row r="1691" spans="1:9" ht="14.25" customHeight="1" x14ac:dyDescent="0.25">
      <c r="A1691" s="7" t="s">
        <v>7176</v>
      </c>
      <c r="B1691" s="8" t="s">
        <v>2070</v>
      </c>
      <c r="C1691" s="8" t="s">
        <v>7177</v>
      </c>
      <c r="D1691" s="8" t="s">
        <v>411</v>
      </c>
      <c r="E1691" s="8" t="s">
        <v>3890</v>
      </c>
      <c r="F1691" s="11" t="s">
        <v>7178</v>
      </c>
      <c r="G1691" s="8" t="s">
        <v>7179</v>
      </c>
      <c r="H1691" s="8" t="s">
        <v>5213</v>
      </c>
      <c r="I1691" s="8" t="s">
        <v>4371</v>
      </c>
    </row>
    <row r="1692" spans="1:9" ht="14.25" customHeight="1" x14ac:dyDescent="0.25">
      <c r="A1692" s="7" t="s">
        <v>7180</v>
      </c>
      <c r="B1692" s="8" t="s">
        <v>7181</v>
      </c>
      <c r="C1692" s="8" t="s">
        <v>7177</v>
      </c>
      <c r="D1692" s="8" t="s">
        <v>3163</v>
      </c>
      <c r="E1692" s="8" t="s">
        <v>3890</v>
      </c>
      <c r="F1692" s="11" t="s">
        <v>7182</v>
      </c>
      <c r="G1692" s="8" t="s">
        <v>7179</v>
      </c>
      <c r="H1692" s="8" t="s">
        <v>5213</v>
      </c>
      <c r="I1692" s="8" t="s">
        <v>4371</v>
      </c>
    </row>
    <row r="1693" spans="1:9" ht="14.25" customHeight="1" x14ac:dyDescent="0.25">
      <c r="A1693" s="7" t="s">
        <v>7183</v>
      </c>
      <c r="B1693" s="8" t="s">
        <v>7184</v>
      </c>
      <c r="C1693" s="8" t="s">
        <v>7185</v>
      </c>
      <c r="D1693" s="8" t="s">
        <v>411</v>
      </c>
      <c r="E1693" s="8" t="s">
        <v>1359</v>
      </c>
      <c r="F1693" s="11" t="s">
        <v>7186</v>
      </c>
      <c r="G1693" s="8" t="s">
        <v>7187</v>
      </c>
      <c r="H1693" s="8" t="s">
        <v>25</v>
      </c>
      <c r="I1693" s="8" t="s">
        <v>3756</v>
      </c>
    </row>
    <row r="1694" spans="1:9" ht="14.25" customHeight="1" x14ac:dyDescent="0.25">
      <c r="A1694" s="7" t="s">
        <v>7188</v>
      </c>
      <c r="B1694" s="8" t="s">
        <v>7189</v>
      </c>
      <c r="C1694" s="8" t="s">
        <v>7190</v>
      </c>
      <c r="D1694" s="8" t="s">
        <v>3163</v>
      </c>
      <c r="E1694" s="8" t="s">
        <v>412</v>
      </c>
      <c r="F1694" s="11" t="s">
        <v>7191</v>
      </c>
      <c r="G1694" s="8" t="s">
        <v>7192</v>
      </c>
      <c r="H1694" s="8" t="s">
        <v>4317</v>
      </c>
      <c r="I1694" s="8" t="s">
        <v>4404</v>
      </c>
    </row>
    <row r="1695" spans="1:9" ht="14.25" customHeight="1" x14ac:dyDescent="0.25">
      <c r="A1695" s="7" t="s">
        <v>7193</v>
      </c>
      <c r="B1695" s="8" t="s">
        <v>7194</v>
      </c>
      <c r="C1695" s="8" t="s">
        <v>7195</v>
      </c>
      <c r="D1695" s="8" t="s">
        <v>411</v>
      </c>
      <c r="E1695" s="8" t="s">
        <v>3890</v>
      </c>
      <c r="F1695" s="11" t="s">
        <v>7196</v>
      </c>
      <c r="G1695" s="8" t="s">
        <v>7197</v>
      </c>
      <c r="H1695" s="8" t="s">
        <v>5213</v>
      </c>
      <c r="I1695" s="8" t="s">
        <v>3756</v>
      </c>
    </row>
    <row r="1696" spans="1:9" ht="14.25" customHeight="1" x14ac:dyDescent="0.25">
      <c r="A1696" s="7" t="s">
        <v>7198</v>
      </c>
      <c r="B1696" s="8" t="s">
        <v>3569</v>
      </c>
      <c r="C1696" s="8" t="s">
        <v>7199</v>
      </c>
      <c r="D1696" s="8" t="s">
        <v>3163</v>
      </c>
      <c r="E1696" s="8" t="s">
        <v>3890</v>
      </c>
      <c r="F1696" s="11" t="s">
        <v>7200</v>
      </c>
      <c r="G1696" s="8" t="s">
        <v>7197</v>
      </c>
      <c r="H1696" s="8" t="s">
        <v>5213</v>
      </c>
      <c r="I1696" s="8" t="s">
        <v>3756</v>
      </c>
    </row>
    <row r="1697" spans="1:9" ht="14.25" customHeight="1" x14ac:dyDescent="0.25">
      <c r="A1697" s="7" t="s">
        <v>7201</v>
      </c>
      <c r="B1697" s="8" t="s">
        <v>5947</v>
      </c>
      <c r="C1697" s="8" t="s">
        <v>7202</v>
      </c>
      <c r="D1697" s="8" t="s">
        <v>411</v>
      </c>
      <c r="E1697" s="8" t="s">
        <v>3890</v>
      </c>
      <c r="F1697" s="11" t="s">
        <v>7203</v>
      </c>
      <c r="G1697" s="8" t="s">
        <v>7204</v>
      </c>
      <c r="H1697" s="8" t="s">
        <v>7205</v>
      </c>
      <c r="I1697" s="8" t="s">
        <v>4039</v>
      </c>
    </row>
    <row r="1698" spans="1:9" ht="14.25" customHeight="1" x14ac:dyDescent="0.25">
      <c r="A1698" s="7" t="s">
        <v>7206</v>
      </c>
      <c r="B1698" s="8" t="s">
        <v>276</v>
      </c>
      <c r="C1698" s="8" t="s">
        <v>7207</v>
      </c>
      <c r="D1698" s="8" t="s">
        <v>3163</v>
      </c>
      <c r="E1698" s="8" t="s">
        <v>3890</v>
      </c>
      <c r="F1698" s="11" t="s">
        <v>7208</v>
      </c>
      <c r="G1698" s="8" t="s">
        <v>7204</v>
      </c>
      <c r="H1698" s="8" t="s">
        <v>7205</v>
      </c>
      <c r="I1698" s="8" t="s">
        <v>4039</v>
      </c>
    </row>
    <row r="1699" spans="1:9" ht="14.25" customHeight="1" x14ac:dyDescent="0.25">
      <c r="A1699" s="7" t="s">
        <v>7209</v>
      </c>
      <c r="B1699" s="8" t="s">
        <v>1101</v>
      </c>
      <c r="C1699" s="8" t="s">
        <v>3536</v>
      </c>
      <c r="D1699" s="8" t="s">
        <v>411</v>
      </c>
      <c r="E1699" s="8" t="s">
        <v>412</v>
      </c>
      <c r="F1699" s="11" t="s">
        <v>7210</v>
      </c>
      <c r="G1699" s="8" t="s">
        <v>7211</v>
      </c>
      <c r="H1699" s="8" t="s">
        <v>4651</v>
      </c>
      <c r="I1699" s="8" t="s">
        <v>4039</v>
      </c>
    </row>
    <row r="1700" spans="1:9" ht="14.25" customHeight="1" x14ac:dyDescent="0.25">
      <c r="A1700" s="7" t="s">
        <v>7212</v>
      </c>
      <c r="B1700" s="8" t="s">
        <v>2070</v>
      </c>
      <c r="C1700" s="8" t="s">
        <v>7213</v>
      </c>
      <c r="D1700" s="8" t="s">
        <v>411</v>
      </c>
      <c r="E1700" s="8" t="s">
        <v>3890</v>
      </c>
      <c r="F1700" s="11" t="s">
        <v>7214</v>
      </c>
      <c r="G1700" s="8" t="s">
        <v>7215</v>
      </c>
      <c r="H1700" s="8" t="s">
        <v>92</v>
      </c>
      <c r="I1700" s="8" t="s">
        <v>3756</v>
      </c>
    </row>
    <row r="1701" spans="1:9" ht="14.25" customHeight="1" x14ac:dyDescent="0.25">
      <c r="A1701" s="7" t="s">
        <v>7216</v>
      </c>
      <c r="B1701" s="8" t="s">
        <v>933</v>
      </c>
      <c r="C1701" s="8" t="s">
        <v>7217</v>
      </c>
      <c r="D1701" s="8" t="s">
        <v>3163</v>
      </c>
      <c r="E1701" s="8" t="s">
        <v>3890</v>
      </c>
      <c r="F1701" s="11" t="s">
        <v>7218</v>
      </c>
      <c r="G1701" s="8" t="s">
        <v>7215</v>
      </c>
      <c r="H1701" s="8" t="s">
        <v>92</v>
      </c>
      <c r="I1701" s="8" t="s">
        <v>3756</v>
      </c>
    </row>
    <row r="1702" spans="1:9" ht="14.25" customHeight="1" x14ac:dyDescent="0.25">
      <c r="A1702" s="7" t="s">
        <v>7219</v>
      </c>
      <c r="B1702" s="8" t="s">
        <v>7220</v>
      </c>
      <c r="C1702" s="8" t="s">
        <v>7221</v>
      </c>
      <c r="D1702" s="8" t="s">
        <v>411</v>
      </c>
      <c r="E1702" s="8" t="s">
        <v>3890</v>
      </c>
      <c r="F1702" s="11" t="s">
        <v>7222</v>
      </c>
      <c r="G1702" s="8" t="s">
        <v>7223</v>
      </c>
      <c r="H1702" s="8" t="s">
        <v>61</v>
      </c>
      <c r="I1702" s="8" t="s">
        <v>4039</v>
      </c>
    </row>
    <row r="1703" spans="1:9" ht="14.25" customHeight="1" x14ac:dyDescent="0.25">
      <c r="A1703" s="7" t="s">
        <v>7224</v>
      </c>
      <c r="B1703" s="8" t="s">
        <v>5068</v>
      </c>
      <c r="C1703" s="8" t="s">
        <v>7225</v>
      </c>
      <c r="D1703" s="8" t="s">
        <v>3163</v>
      </c>
      <c r="E1703" s="8" t="s">
        <v>3890</v>
      </c>
      <c r="F1703" s="11" t="s">
        <v>7226</v>
      </c>
      <c r="G1703" s="8" t="s">
        <v>7223</v>
      </c>
      <c r="H1703" s="8" t="s">
        <v>61</v>
      </c>
      <c r="I1703" s="8" t="s">
        <v>4039</v>
      </c>
    </row>
    <row r="1704" spans="1:9" ht="14.25" customHeight="1" x14ac:dyDescent="0.25">
      <c r="A1704" s="7" t="s">
        <v>7227</v>
      </c>
      <c r="B1704" s="8" t="s">
        <v>726</v>
      </c>
      <c r="C1704" s="8" t="s">
        <v>7228</v>
      </c>
      <c r="D1704" s="8" t="s">
        <v>3163</v>
      </c>
      <c r="E1704" s="8" t="s">
        <v>3890</v>
      </c>
      <c r="F1704" s="11" t="s">
        <v>7229</v>
      </c>
      <c r="G1704" s="8" t="s">
        <v>7230</v>
      </c>
      <c r="H1704" s="8" t="s">
        <v>7231</v>
      </c>
      <c r="I1704" s="8" t="s">
        <v>3756</v>
      </c>
    </row>
    <row r="1705" spans="1:9" ht="14.25" customHeight="1" x14ac:dyDescent="0.25">
      <c r="A1705" s="7" t="s">
        <v>7232</v>
      </c>
      <c r="B1705" s="8" t="s">
        <v>2638</v>
      </c>
      <c r="C1705" s="8" t="s">
        <v>7233</v>
      </c>
      <c r="D1705" s="8" t="s">
        <v>411</v>
      </c>
      <c r="E1705" s="8" t="s">
        <v>3890</v>
      </c>
      <c r="F1705" s="11" t="s">
        <v>7234</v>
      </c>
      <c r="G1705" s="8" t="s">
        <v>7230</v>
      </c>
      <c r="H1705" s="8" t="s">
        <v>7231</v>
      </c>
      <c r="I1705" s="8" t="s">
        <v>3756</v>
      </c>
    </row>
    <row r="1706" spans="1:9" ht="14.25" customHeight="1" x14ac:dyDescent="0.25">
      <c r="A1706" s="7" t="s">
        <v>7235</v>
      </c>
      <c r="B1706" s="8" t="s">
        <v>7236</v>
      </c>
      <c r="C1706" s="8" t="s">
        <v>7237</v>
      </c>
      <c r="D1706" s="8" t="s">
        <v>3163</v>
      </c>
      <c r="E1706" s="8" t="s">
        <v>412</v>
      </c>
      <c r="F1706" s="11" t="s">
        <v>7238</v>
      </c>
      <c r="I1706" s="8" t="s">
        <v>4946</v>
      </c>
    </row>
    <row r="1707" spans="1:9" ht="14.25" customHeight="1" x14ac:dyDescent="0.25">
      <c r="A1707" s="7" t="s">
        <v>7239</v>
      </c>
      <c r="B1707" s="8" t="s">
        <v>2773</v>
      </c>
      <c r="C1707" s="8" t="s">
        <v>7240</v>
      </c>
      <c r="D1707" s="8" t="s">
        <v>411</v>
      </c>
      <c r="E1707" s="8" t="s">
        <v>412</v>
      </c>
      <c r="F1707" s="11" t="s">
        <v>7241</v>
      </c>
      <c r="G1707" s="8" t="s">
        <v>7242</v>
      </c>
      <c r="H1707" s="10" t="s">
        <v>3918</v>
      </c>
      <c r="I1707" s="8" t="s">
        <v>4039</v>
      </c>
    </row>
    <row r="1708" spans="1:9" ht="14.25" customHeight="1" x14ac:dyDescent="0.25">
      <c r="A1708" s="19" t="s">
        <v>7243</v>
      </c>
      <c r="B1708" s="8" t="s">
        <v>7244</v>
      </c>
      <c r="C1708" s="8" t="s">
        <v>1358</v>
      </c>
      <c r="D1708" s="8" t="s">
        <v>411</v>
      </c>
      <c r="E1708" s="8" t="s">
        <v>412</v>
      </c>
      <c r="F1708" s="23" t="s">
        <v>7245</v>
      </c>
      <c r="G1708" s="23" t="s">
        <v>7246</v>
      </c>
      <c r="H1708" s="8" t="s">
        <v>25</v>
      </c>
      <c r="I1708" s="8" t="s">
        <v>4039</v>
      </c>
    </row>
    <row r="1709" spans="1:9" ht="14.25" customHeight="1" x14ac:dyDescent="0.25">
      <c r="A1709" s="7" t="s">
        <v>7247</v>
      </c>
      <c r="B1709" s="8" t="s">
        <v>2579</v>
      </c>
      <c r="C1709" s="8" t="s">
        <v>3536</v>
      </c>
      <c r="D1709" s="8" t="s">
        <v>411</v>
      </c>
      <c r="E1709" s="8" t="s">
        <v>412</v>
      </c>
      <c r="F1709" s="11" t="s">
        <v>7248</v>
      </c>
      <c r="G1709" s="8" t="s">
        <v>7249</v>
      </c>
      <c r="H1709" s="8" t="s">
        <v>6255</v>
      </c>
      <c r="I1709" s="8" t="s">
        <v>3756</v>
      </c>
    </row>
    <row r="1710" spans="1:9" ht="14.25" customHeight="1" x14ac:dyDescent="0.25">
      <c r="A1710" s="7" t="s">
        <v>7250</v>
      </c>
      <c r="B1710" s="8" t="s">
        <v>6561</v>
      </c>
      <c r="C1710" s="8" t="s">
        <v>7251</v>
      </c>
      <c r="D1710" s="8" t="s">
        <v>411</v>
      </c>
      <c r="E1710" s="8" t="s">
        <v>3865</v>
      </c>
      <c r="F1710" s="11" t="s">
        <v>7252</v>
      </c>
      <c r="G1710" s="8" t="s">
        <v>7253</v>
      </c>
      <c r="H1710" s="8" t="s">
        <v>49</v>
      </c>
      <c r="I1710" s="8" t="s">
        <v>3756</v>
      </c>
    </row>
    <row r="1711" spans="1:9" ht="14.25" customHeight="1" x14ac:dyDescent="0.25">
      <c r="A1711" s="7" t="s">
        <v>7254</v>
      </c>
      <c r="B1711" s="8" t="s">
        <v>7255</v>
      </c>
      <c r="C1711" s="8" t="s">
        <v>7256</v>
      </c>
      <c r="D1711" s="8" t="s">
        <v>3163</v>
      </c>
      <c r="E1711" s="8" t="s">
        <v>412</v>
      </c>
      <c r="F1711" s="11" t="s">
        <v>7257</v>
      </c>
      <c r="G1711" s="8" t="s">
        <v>7258</v>
      </c>
      <c r="H1711" s="8" t="s">
        <v>92</v>
      </c>
      <c r="I1711" s="8" t="s">
        <v>4039</v>
      </c>
    </row>
    <row r="1712" spans="1:9" ht="14.25" customHeight="1" x14ac:dyDescent="0.25">
      <c r="A1712" s="7" t="s">
        <v>7259</v>
      </c>
      <c r="B1712" s="8" t="s">
        <v>1727</v>
      </c>
      <c r="C1712" s="8" t="s">
        <v>7260</v>
      </c>
      <c r="D1712" s="8" t="s">
        <v>411</v>
      </c>
      <c r="E1712" s="8" t="s">
        <v>3890</v>
      </c>
      <c r="F1712" s="11" t="s">
        <v>7261</v>
      </c>
      <c r="G1712" s="8" t="s">
        <v>7262</v>
      </c>
      <c r="H1712" s="8" t="s">
        <v>7263</v>
      </c>
      <c r="I1712" s="8" t="s">
        <v>4039</v>
      </c>
    </row>
    <row r="1713" spans="1:9" ht="14.25" customHeight="1" x14ac:dyDescent="0.25">
      <c r="A1713" s="7" t="s">
        <v>7264</v>
      </c>
      <c r="B1713" s="8" t="s">
        <v>4079</v>
      </c>
      <c r="C1713" s="8" t="s">
        <v>7260</v>
      </c>
      <c r="D1713" s="8" t="s">
        <v>3163</v>
      </c>
      <c r="E1713" s="8" t="s">
        <v>3890</v>
      </c>
      <c r="G1713" s="8" t="s">
        <v>7262</v>
      </c>
      <c r="H1713" s="8" t="s">
        <v>7263</v>
      </c>
      <c r="I1713" s="8" t="s">
        <v>4039</v>
      </c>
    </row>
    <row r="1714" spans="1:9" ht="14.25" customHeight="1" x14ac:dyDescent="0.25">
      <c r="A1714" s="7" t="s">
        <v>7265</v>
      </c>
      <c r="B1714" s="8" t="s">
        <v>7266</v>
      </c>
      <c r="C1714" s="8" t="s">
        <v>3536</v>
      </c>
      <c r="D1714" s="8" t="s">
        <v>411</v>
      </c>
      <c r="E1714" s="8" t="s">
        <v>412</v>
      </c>
      <c r="F1714" s="11" t="s">
        <v>7267</v>
      </c>
      <c r="G1714" s="8" t="s">
        <v>7268</v>
      </c>
      <c r="H1714" s="8" t="s">
        <v>7269</v>
      </c>
      <c r="I1714" s="8" t="s">
        <v>5347</v>
      </c>
    </row>
    <row r="1715" spans="1:9" ht="14.25" customHeight="1" x14ac:dyDescent="0.25">
      <c r="A1715" s="7" t="s">
        <v>7270</v>
      </c>
      <c r="B1715" s="8" t="s">
        <v>3781</v>
      </c>
      <c r="C1715" s="8" t="s">
        <v>7271</v>
      </c>
      <c r="D1715" s="8" t="s">
        <v>411</v>
      </c>
      <c r="E1715" s="8" t="s">
        <v>412</v>
      </c>
      <c r="F1715" s="11" t="s">
        <v>7272</v>
      </c>
      <c r="G1715" s="8" t="s">
        <v>7273</v>
      </c>
      <c r="H1715" s="8" t="s">
        <v>25</v>
      </c>
      <c r="I1715" s="8" t="s">
        <v>4039</v>
      </c>
    </row>
    <row r="1716" spans="1:9" ht="14.25" customHeight="1" x14ac:dyDescent="0.25">
      <c r="A1716" s="7" t="s">
        <v>7274</v>
      </c>
      <c r="B1716" s="8" t="s">
        <v>3109</v>
      </c>
      <c r="C1716" s="8" t="s">
        <v>2919</v>
      </c>
      <c r="D1716" s="8" t="s">
        <v>411</v>
      </c>
      <c r="E1716" s="8" t="s">
        <v>412</v>
      </c>
      <c r="F1716" s="11" t="s">
        <v>7275</v>
      </c>
      <c r="G1716" s="8" t="s">
        <v>7276</v>
      </c>
      <c r="H1716" s="8" t="s">
        <v>4059</v>
      </c>
      <c r="I1716" s="8" t="s">
        <v>5347</v>
      </c>
    </row>
    <row r="1717" spans="1:9" ht="14.25" customHeight="1" x14ac:dyDescent="0.25">
      <c r="A1717" s="7" t="s">
        <v>7277</v>
      </c>
      <c r="B1717" s="8" t="s">
        <v>1021</v>
      </c>
      <c r="C1717" s="8" t="s">
        <v>22</v>
      </c>
      <c r="D1717" s="8" t="s">
        <v>411</v>
      </c>
      <c r="E1717" s="8" t="s">
        <v>3890</v>
      </c>
      <c r="F1717" s="11" t="s">
        <v>7278</v>
      </c>
      <c r="G1717" s="8" t="s">
        <v>7279</v>
      </c>
      <c r="H1717" s="8" t="s">
        <v>4199</v>
      </c>
      <c r="I1717" s="8" t="s">
        <v>4039</v>
      </c>
    </row>
    <row r="1718" spans="1:9" ht="14.25" customHeight="1" x14ac:dyDescent="0.25">
      <c r="A1718" s="7" t="s">
        <v>7280</v>
      </c>
      <c r="B1718" s="8" t="s">
        <v>7281</v>
      </c>
      <c r="C1718" s="8" t="s">
        <v>7282</v>
      </c>
      <c r="D1718" s="8" t="s">
        <v>3163</v>
      </c>
      <c r="E1718" s="8" t="s">
        <v>3890</v>
      </c>
      <c r="G1718" s="8" t="s">
        <v>7279</v>
      </c>
      <c r="H1718" s="8" t="s">
        <v>4199</v>
      </c>
      <c r="I1718" s="8" t="s">
        <v>4039</v>
      </c>
    </row>
    <row r="1719" spans="1:9" ht="14.25" customHeight="1" x14ac:dyDescent="0.25">
      <c r="A1719" s="7" t="s">
        <v>7283</v>
      </c>
      <c r="B1719" s="8" t="s">
        <v>7244</v>
      </c>
      <c r="C1719" s="8" t="s">
        <v>1358</v>
      </c>
      <c r="D1719" s="8" t="s">
        <v>411</v>
      </c>
      <c r="E1719" s="8" t="s">
        <v>412</v>
      </c>
      <c r="I1719" s="8" t="s">
        <v>3756</v>
      </c>
    </row>
    <row r="1720" spans="1:9" ht="14.25" customHeight="1" x14ac:dyDescent="0.25">
      <c r="A1720" s="7" t="s">
        <v>7284</v>
      </c>
      <c r="B1720" s="8" t="s">
        <v>6566</v>
      </c>
      <c r="C1720" s="8" t="s">
        <v>6098</v>
      </c>
      <c r="D1720" s="8" t="s">
        <v>411</v>
      </c>
      <c r="E1720" s="8" t="s">
        <v>3890</v>
      </c>
      <c r="I1720" s="8" t="s">
        <v>3756</v>
      </c>
    </row>
    <row r="1721" spans="1:9" ht="14.25" customHeight="1" x14ac:dyDescent="0.25">
      <c r="A1721" s="7" t="s">
        <v>7285</v>
      </c>
      <c r="B1721" s="8" t="s">
        <v>3202</v>
      </c>
      <c r="C1721" s="8" t="s">
        <v>7286</v>
      </c>
      <c r="D1721" s="8" t="s">
        <v>3163</v>
      </c>
      <c r="E1721" s="8" t="s">
        <v>3890</v>
      </c>
      <c r="I1721" s="8" t="s">
        <v>3756</v>
      </c>
    </row>
    <row r="1722" spans="1:9" ht="14.25" customHeight="1" x14ac:dyDescent="0.25">
      <c r="A1722" s="7" t="s">
        <v>7287</v>
      </c>
      <c r="B1722" s="8" t="s">
        <v>3506</v>
      </c>
      <c r="C1722" s="8" t="s">
        <v>7288</v>
      </c>
      <c r="D1722" s="8" t="s">
        <v>411</v>
      </c>
      <c r="E1722" s="8" t="s">
        <v>3890</v>
      </c>
      <c r="I1722" s="8" t="s">
        <v>3756</v>
      </c>
    </row>
    <row r="1723" spans="1:9" ht="14.25" customHeight="1" x14ac:dyDescent="0.25">
      <c r="A1723" s="7" t="s">
        <v>7289</v>
      </c>
      <c r="B1723" s="8" t="s">
        <v>7290</v>
      </c>
      <c r="C1723" s="8" t="s">
        <v>7291</v>
      </c>
      <c r="D1723" s="8" t="s">
        <v>3163</v>
      </c>
      <c r="E1723" s="8" t="s">
        <v>3890</v>
      </c>
      <c r="F1723" s="11" t="s">
        <v>7292</v>
      </c>
      <c r="I1723" s="8" t="s">
        <v>3756</v>
      </c>
    </row>
    <row r="1724" spans="1:9" ht="14.25" customHeight="1" x14ac:dyDescent="0.25">
      <c r="A1724" s="7" t="s">
        <v>7293</v>
      </c>
      <c r="B1724" s="8" t="s">
        <v>832</v>
      </c>
      <c r="C1724" s="8" t="s">
        <v>1358</v>
      </c>
      <c r="D1724" s="8" t="s">
        <v>411</v>
      </c>
      <c r="E1724" s="8" t="s">
        <v>3890</v>
      </c>
      <c r="I1724" s="8" t="s">
        <v>3756</v>
      </c>
    </row>
    <row r="1725" spans="1:9" ht="14.25" customHeight="1" x14ac:dyDescent="0.25">
      <c r="A1725" s="7" t="s">
        <v>7294</v>
      </c>
      <c r="B1725" s="8" t="s">
        <v>7295</v>
      </c>
      <c r="C1725" s="8" t="s">
        <v>7296</v>
      </c>
      <c r="D1725" s="8" t="s">
        <v>411</v>
      </c>
      <c r="E1725" s="8" t="s">
        <v>3890</v>
      </c>
      <c r="F1725" s="11" t="s">
        <v>7297</v>
      </c>
      <c r="I1725" s="8" t="s">
        <v>3756</v>
      </c>
    </row>
    <row r="1726" spans="1:9" ht="14.25" customHeight="1" x14ac:dyDescent="0.25">
      <c r="A1726" s="7" t="s">
        <v>7298</v>
      </c>
      <c r="B1726" s="8" t="s">
        <v>1578</v>
      </c>
      <c r="C1726" s="8" t="s">
        <v>7299</v>
      </c>
      <c r="D1726" s="8" t="s">
        <v>411</v>
      </c>
      <c r="E1726" s="8" t="s">
        <v>412</v>
      </c>
      <c r="F1726" s="11" t="s">
        <v>7300</v>
      </c>
      <c r="H1726" s="8" t="s">
        <v>5431</v>
      </c>
      <c r="I1726" s="8" t="s">
        <v>4039</v>
      </c>
    </row>
    <row r="1727" spans="1:9" ht="14.25" customHeight="1" x14ac:dyDescent="0.25">
      <c r="A1727" s="7" t="s">
        <v>6770</v>
      </c>
      <c r="B1727" s="8" t="s">
        <v>6771</v>
      </c>
      <c r="C1727" s="8" t="s">
        <v>150</v>
      </c>
      <c r="D1727" s="8" t="s">
        <v>411</v>
      </c>
      <c r="E1727" s="8" t="s">
        <v>412</v>
      </c>
      <c r="F1727" s="11" t="s">
        <v>6772</v>
      </c>
      <c r="I1727" s="8" t="s">
        <v>4371</v>
      </c>
    </row>
    <row r="1728" spans="1:9" ht="14.25" customHeight="1" x14ac:dyDescent="0.25">
      <c r="A1728" s="7" t="s">
        <v>7301</v>
      </c>
      <c r="B1728" s="8" t="s">
        <v>7302</v>
      </c>
      <c r="C1728" s="8" t="s">
        <v>7303</v>
      </c>
      <c r="D1728" s="8" t="s">
        <v>411</v>
      </c>
      <c r="E1728" s="8" t="s">
        <v>412</v>
      </c>
      <c r="F1728" s="11" t="s">
        <v>7304</v>
      </c>
      <c r="G1728" s="8" t="s">
        <v>7305</v>
      </c>
      <c r="H1728" s="8" t="s">
        <v>7306</v>
      </c>
      <c r="I1728" s="8" t="s">
        <v>3756</v>
      </c>
    </row>
    <row r="1729" spans="1:9" ht="14.25" customHeight="1" x14ac:dyDescent="0.25">
      <c r="A1729" s="7" t="s">
        <v>7307</v>
      </c>
      <c r="B1729" s="8" t="s">
        <v>7308</v>
      </c>
      <c r="C1729" s="8" t="s">
        <v>7309</v>
      </c>
      <c r="D1729" s="8" t="s">
        <v>3163</v>
      </c>
      <c r="E1729" s="8" t="s">
        <v>412</v>
      </c>
      <c r="F1729" s="11" t="s">
        <v>7310</v>
      </c>
      <c r="G1729" s="8" t="s">
        <v>7311</v>
      </c>
      <c r="H1729" s="8" t="s">
        <v>3918</v>
      </c>
      <c r="I1729" s="8" t="s">
        <v>4039</v>
      </c>
    </row>
    <row r="1730" spans="1:9" ht="14.25" customHeight="1" x14ac:dyDescent="0.25">
      <c r="A1730" s="7" t="s">
        <v>7312</v>
      </c>
      <c r="B1730" s="8" t="s">
        <v>3267</v>
      </c>
      <c r="C1730" s="8" t="s">
        <v>371</v>
      </c>
      <c r="D1730" s="8" t="s">
        <v>411</v>
      </c>
      <c r="E1730" s="8" t="s">
        <v>412</v>
      </c>
      <c r="F1730" s="11" t="s">
        <v>3268</v>
      </c>
      <c r="G1730" s="10" t="s">
        <v>3269</v>
      </c>
      <c r="H1730" s="10" t="s">
        <v>3270</v>
      </c>
    </row>
    <row r="1731" spans="1:9" ht="14.25" customHeight="1" x14ac:dyDescent="0.25">
      <c r="A1731" s="7" t="s">
        <v>7313</v>
      </c>
      <c r="B1731" s="8" t="s">
        <v>4897</v>
      </c>
      <c r="C1731" s="8" t="s">
        <v>7314</v>
      </c>
      <c r="D1731" s="8" t="s">
        <v>411</v>
      </c>
      <c r="E1731" s="8" t="s">
        <v>412</v>
      </c>
      <c r="F1731" s="11" t="s">
        <v>7315</v>
      </c>
      <c r="G1731" s="8" t="s">
        <v>7316</v>
      </c>
      <c r="H1731" s="8" t="s">
        <v>92</v>
      </c>
      <c r="I1731" s="8" t="s">
        <v>3756</v>
      </c>
    </row>
    <row r="1732" spans="1:9" ht="14.25" customHeight="1" x14ac:dyDescent="0.25">
      <c r="A1732" s="7" t="s">
        <v>7317</v>
      </c>
      <c r="B1732" s="8" t="s">
        <v>3506</v>
      </c>
      <c r="C1732" s="8" t="s">
        <v>537</v>
      </c>
      <c r="D1732" s="8" t="s">
        <v>411</v>
      </c>
      <c r="E1732" s="8" t="s">
        <v>3890</v>
      </c>
      <c r="F1732" s="11" t="s">
        <v>7318</v>
      </c>
      <c r="G1732" s="8" t="s">
        <v>7319</v>
      </c>
      <c r="H1732" s="8" t="s">
        <v>3918</v>
      </c>
      <c r="I1732" s="8" t="s">
        <v>3756</v>
      </c>
    </row>
    <row r="1733" spans="1:9" ht="14.25" customHeight="1" x14ac:dyDescent="0.25">
      <c r="A1733" s="7" t="s">
        <v>7320</v>
      </c>
      <c r="B1733" s="8" t="s">
        <v>275</v>
      </c>
      <c r="C1733" s="8" t="s">
        <v>537</v>
      </c>
      <c r="D1733" s="8" t="s">
        <v>3163</v>
      </c>
      <c r="E1733" s="8" t="s">
        <v>3890</v>
      </c>
      <c r="F1733" s="11" t="s">
        <v>7318</v>
      </c>
      <c r="G1733" s="8" t="s">
        <v>7319</v>
      </c>
      <c r="H1733" s="8" t="s">
        <v>3918</v>
      </c>
      <c r="I1733" s="8" t="s">
        <v>3756</v>
      </c>
    </row>
    <row r="1734" spans="1:9" ht="14.25" customHeight="1" x14ac:dyDescent="0.25">
      <c r="A1734" s="7" t="s">
        <v>7321</v>
      </c>
      <c r="B1734" s="8" t="s">
        <v>7322</v>
      </c>
      <c r="C1734" s="8" t="s">
        <v>7323</v>
      </c>
      <c r="D1734" s="8" t="s">
        <v>411</v>
      </c>
      <c r="E1734" s="8" t="s">
        <v>3890</v>
      </c>
      <c r="F1734" s="11" t="s">
        <v>7324</v>
      </c>
      <c r="G1734" s="8" t="s">
        <v>7325</v>
      </c>
      <c r="H1734" s="8" t="s">
        <v>7326</v>
      </c>
      <c r="I1734" s="8" t="s">
        <v>3756</v>
      </c>
    </row>
    <row r="1735" spans="1:9" ht="14.25" customHeight="1" x14ac:dyDescent="0.25">
      <c r="A1735" s="7" t="s">
        <v>7327</v>
      </c>
      <c r="B1735" s="8" t="s">
        <v>5694</v>
      </c>
      <c r="C1735" s="8" t="s">
        <v>7328</v>
      </c>
      <c r="D1735" s="8" t="s">
        <v>3163</v>
      </c>
      <c r="E1735" s="8" t="s">
        <v>3890</v>
      </c>
      <c r="F1735" s="11" t="s">
        <v>7329</v>
      </c>
      <c r="I1735" s="8" t="s">
        <v>3756</v>
      </c>
    </row>
    <row r="1736" spans="1:9" ht="14.25" customHeight="1" x14ac:dyDescent="0.25">
      <c r="A1736" s="7" t="s">
        <v>7330</v>
      </c>
      <c r="B1736" s="8" t="s">
        <v>7331</v>
      </c>
      <c r="C1736" s="8" t="s">
        <v>7332</v>
      </c>
      <c r="D1736" s="8" t="s">
        <v>411</v>
      </c>
      <c r="E1736" s="8" t="s">
        <v>412</v>
      </c>
    </row>
    <row r="1737" spans="1:9" ht="14.25" customHeight="1" x14ac:dyDescent="0.25">
      <c r="A1737" s="7" t="s">
        <v>7333</v>
      </c>
      <c r="B1737" s="8" t="s">
        <v>7334</v>
      </c>
      <c r="C1737" s="8" t="s">
        <v>6863</v>
      </c>
      <c r="D1737" s="8" t="s">
        <v>411</v>
      </c>
      <c r="E1737" s="8" t="s">
        <v>412</v>
      </c>
      <c r="F1737" s="11" t="s">
        <v>7335</v>
      </c>
    </row>
    <row r="1738" spans="1:9" ht="14.25" customHeight="1" x14ac:dyDescent="0.25">
      <c r="A1738" s="7" t="s">
        <v>7336</v>
      </c>
      <c r="B1738" s="8" t="s">
        <v>7337</v>
      </c>
      <c r="C1738" s="8" t="s">
        <v>7338</v>
      </c>
      <c r="D1738" s="8" t="s">
        <v>411</v>
      </c>
      <c r="E1738" s="8" t="s">
        <v>412</v>
      </c>
      <c r="F1738" s="11" t="s">
        <v>7339</v>
      </c>
      <c r="G1738" s="8" t="s">
        <v>7340</v>
      </c>
      <c r="H1738" s="8" t="s">
        <v>7341</v>
      </c>
      <c r="I1738" s="8" t="s">
        <v>4039</v>
      </c>
    </row>
    <row r="1739" spans="1:9" ht="14.25" customHeight="1" x14ac:dyDescent="0.25">
      <c r="A1739" s="7" t="s">
        <v>7342</v>
      </c>
      <c r="B1739" s="8" t="s">
        <v>6382</v>
      </c>
      <c r="C1739" s="8" t="s">
        <v>7343</v>
      </c>
      <c r="D1739" s="8" t="s">
        <v>3163</v>
      </c>
      <c r="E1739" s="8" t="s">
        <v>412</v>
      </c>
      <c r="G1739" s="8"/>
    </row>
    <row r="1740" spans="1:9" ht="14.25" customHeight="1" x14ac:dyDescent="0.25">
      <c r="A1740" s="7" t="s">
        <v>7344</v>
      </c>
      <c r="B1740" s="8" t="s">
        <v>2816</v>
      </c>
      <c r="C1740" s="8" t="s">
        <v>4436</v>
      </c>
      <c r="D1740" s="8" t="s">
        <v>411</v>
      </c>
      <c r="E1740" s="8" t="s">
        <v>412</v>
      </c>
      <c r="F1740" s="11" t="s">
        <v>7345</v>
      </c>
      <c r="G1740" s="8" t="s">
        <v>7346</v>
      </c>
      <c r="H1740" s="8" t="s">
        <v>7347</v>
      </c>
      <c r="I1740" s="8" t="s">
        <v>4039</v>
      </c>
    </row>
    <row r="1741" spans="1:9" ht="14.25" customHeight="1" x14ac:dyDescent="0.25">
      <c r="A1741" s="7" t="s">
        <v>7348</v>
      </c>
      <c r="B1741" s="8" t="s">
        <v>7349</v>
      </c>
      <c r="C1741" s="8" t="s">
        <v>3869</v>
      </c>
      <c r="D1741" s="8" t="s">
        <v>411</v>
      </c>
      <c r="E1741" s="8" t="s">
        <v>412</v>
      </c>
      <c r="G1741" s="8"/>
    </row>
    <row r="1742" spans="1:9" ht="14.25" customHeight="1" x14ac:dyDescent="0.25">
      <c r="A1742" s="7" t="s">
        <v>7350</v>
      </c>
      <c r="B1742" s="8" t="s">
        <v>7351</v>
      </c>
      <c r="C1742" s="8" t="s">
        <v>1728</v>
      </c>
      <c r="D1742" s="8" t="s">
        <v>411</v>
      </c>
      <c r="E1742" s="8" t="s">
        <v>3890</v>
      </c>
      <c r="F1742" s="12" t="s">
        <v>7352</v>
      </c>
      <c r="G1742" s="8" t="s">
        <v>7353</v>
      </c>
      <c r="H1742" s="8" t="s">
        <v>6024</v>
      </c>
      <c r="I1742" s="8" t="s">
        <v>4039</v>
      </c>
    </row>
    <row r="1743" spans="1:9" ht="14.25" customHeight="1" x14ac:dyDescent="0.25">
      <c r="A1743" s="7" t="s">
        <v>7354</v>
      </c>
      <c r="B1743" s="8" t="s">
        <v>4079</v>
      </c>
      <c r="C1743" s="8" t="s">
        <v>1728</v>
      </c>
      <c r="D1743" s="8" t="s">
        <v>3163</v>
      </c>
      <c r="E1743" s="8" t="s">
        <v>3890</v>
      </c>
      <c r="F1743" s="12" t="s">
        <v>7355</v>
      </c>
      <c r="G1743" s="8" t="s">
        <v>7353</v>
      </c>
      <c r="H1743" s="8" t="s">
        <v>6024</v>
      </c>
      <c r="I1743" s="8" t="s">
        <v>4039</v>
      </c>
    </row>
    <row r="1744" spans="1:9" ht="14.25" customHeight="1" x14ac:dyDescent="0.25">
      <c r="A1744" s="7" t="s">
        <v>7356</v>
      </c>
      <c r="B1744" s="8" t="s">
        <v>5283</v>
      </c>
      <c r="C1744" s="8" t="s">
        <v>3536</v>
      </c>
      <c r="D1744" s="8" t="s">
        <v>411</v>
      </c>
      <c r="E1744" s="8" t="s">
        <v>412</v>
      </c>
      <c r="F1744" s="12" t="s">
        <v>7357</v>
      </c>
      <c r="G1744" s="8" t="s">
        <v>7358</v>
      </c>
      <c r="H1744" s="8" t="s">
        <v>7359</v>
      </c>
      <c r="I1744" s="8" t="s">
        <v>4039</v>
      </c>
    </row>
    <row r="1745" spans="1:9" ht="14.25" customHeight="1" x14ac:dyDescent="0.25">
      <c r="A1745" s="7" t="s">
        <v>7360</v>
      </c>
      <c r="B1745" s="8" t="s">
        <v>7361</v>
      </c>
      <c r="C1745" s="8" t="s">
        <v>7362</v>
      </c>
      <c r="D1745" s="8" t="s">
        <v>411</v>
      </c>
      <c r="E1745" s="8" t="s">
        <v>412</v>
      </c>
      <c r="F1745" s="11" t="s">
        <v>7363</v>
      </c>
      <c r="G1745" s="8"/>
    </row>
    <row r="1746" spans="1:9" ht="14.25" customHeight="1" x14ac:dyDescent="0.25">
      <c r="A1746" s="7" t="s">
        <v>7364</v>
      </c>
      <c r="B1746" s="8" t="s">
        <v>3267</v>
      </c>
      <c r="C1746" s="8" t="s">
        <v>7365</v>
      </c>
      <c r="D1746" s="8" t="s">
        <v>411</v>
      </c>
      <c r="E1746" s="8" t="s">
        <v>412</v>
      </c>
      <c r="F1746" s="12" t="s">
        <v>7366</v>
      </c>
      <c r="G1746" s="8" t="s">
        <v>7367</v>
      </c>
      <c r="H1746" s="8" t="s">
        <v>92</v>
      </c>
      <c r="I1746" s="8" t="s">
        <v>4039</v>
      </c>
    </row>
    <row r="1747" spans="1:9" ht="14.25" customHeight="1" x14ac:dyDescent="0.25">
      <c r="A1747" s="7" t="s">
        <v>7368</v>
      </c>
      <c r="B1747" s="8" t="s">
        <v>4687</v>
      </c>
      <c r="C1747" s="8" t="s">
        <v>7369</v>
      </c>
      <c r="D1747" s="8" t="s">
        <v>411</v>
      </c>
      <c r="E1747" s="8" t="s">
        <v>412</v>
      </c>
      <c r="F1747" s="12" t="s">
        <v>7370</v>
      </c>
      <c r="G1747" s="8" t="s">
        <v>7371</v>
      </c>
      <c r="H1747" s="8" t="s">
        <v>25</v>
      </c>
      <c r="I1747" s="8" t="s">
        <v>5347</v>
      </c>
    </row>
    <row r="1748" spans="1:9" ht="14.25" customHeight="1" x14ac:dyDescent="0.25">
      <c r="A1748" s="7" t="s">
        <v>7372</v>
      </c>
      <c r="B1748" s="8" t="s">
        <v>7373</v>
      </c>
      <c r="C1748" s="8" t="s">
        <v>7374</v>
      </c>
      <c r="D1748" s="8" t="s">
        <v>411</v>
      </c>
      <c r="E1748" s="8" t="s">
        <v>412</v>
      </c>
      <c r="F1748" s="12" t="s">
        <v>7375</v>
      </c>
      <c r="G1748" s="8" t="s">
        <v>7376</v>
      </c>
      <c r="H1748" s="8" t="s">
        <v>5915</v>
      </c>
      <c r="I1748" s="8" t="s">
        <v>4371</v>
      </c>
    </row>
    <row r="1749" spans="1:9" ht="14.25" customHeight="1" x14ac:dyDescent="0.25">
      <c r="A1749" s="7" t="s">
        <v>7377</v>
      </c>
      <c r="B1749" s="8" t="s">
        <v>2972</v>
      </c>
      <c r="C1749" s="8" t="s">
        <v>7378</v>
      </c>
      <c r="D1749" s="8" t="s">
        <v>411</v>
      </c>
      <c r="E1749" s="8" t="s">
        <v>412</v>
      </c>
      <c r="F1749" s="12" t="s">
        <v>7379</v>
      </c>
      <c r="G1749" s="8" t="s">
        <v>7380</v>
      </c>
      <c r="H1749" s="8" t="s">
        <v>4330</v>
      </c>
      <c r="I1749" s="8" t="s">
        <v>3756</v>
      </c>
    </row>
    <row r="1750" spans="1:9" ht="14.25" customHeight="1" x14ac:dyDescent="0.25">
      <c r="A1750" s="7" t="s">
        <v>7381</v>
      </c>
      <c r="B1750" s="8" t="s">
        <v>4101</v>
      </c>
      <c r="C1750" s="8" t="s">
        <v>7382</v>
      </c>
      <c r="D1750" s="8" t="s">
        <v>411</v>
      </c>
      <c r="E1750" s="8" t="s">
        <v>412</v>
      </c>
    </row>
    <row r="1751" spans="1:9" ht="14.25" customHeight="1" x14ac:dyDescent="0.25">
      <c r="A1751" s="7" t="s">
        <v>7383</v>
      </c>
      <c r="B1751" s="8" t="s">
        <v>6077</v>
      </c>
      <c r="C1751" s="8" t="s">
        <v>7384</v>
      </c>
      <c r="D1751" s="8" t="s">
        <v>411</v>
      </c>
      <c r="E1751" s="8" t="s">
        <v>412</v>
      </c>
      <c r="F1751" s="12" t="s">
        <v>7385</v>
      </c>
      <c r="G1751" s="8" t="s">
        <v>7386</v>
      </c>
      <c r="H1751" s="8" t="s">
        <v>7387</v>
      </c>
      <c r="I1751" s="8" t="s">
        <v>4371</v>
      </c>
    </row>
    <row r="1752" spans="1:9" ht="14.25" customHeight="1" x14ac:dyDescent="0.25">
      <c r="A1752" s="7" t="s">
        <v>7388</v>
      </c>
      <c r="B1752" s="8" t="s">
        <v>7389</v>
      </c>
      <c r="C1752" s="8" t="s">
        <v>7390</v>
      </c>
      <c r="D1752" s="8" t="s">
        <v>411</v>
      </c>
      <c r="E1752" s="8" t="s">
        <v>412</v>
      </c>
      <c r="F1752" s="12" t="s">
        <v>7391</v>
      </c>
      <c r="H1752" s="8" t="s">
        <v>82</v>
      </c>
      <c r="I1752" s="8" t="s">
        <v>5347</v>
      </c>
    </row>
    <row r="1753" spans="1:9" ht="14.25" customHeight="1" x14ac:dyDescent="0.25">
      <c r="A1753" s="7" t="s">
        <v>7392</v>
      </c>
      <c r="B1753" s="8" t="s">
        <v>4897</v>
      </c>
      <c r="C1753" s="8" t="s">
        <v>3507</v>
      </c>
      <c r="D1753" s="8" t="s">
        <v>411</v>
      </c>
      <c r="E1753" s="8" t="s">
        <v>1359</v>
      </c>
      <c r="I1753" s="8" t="s">
        <v>3756</v>
      </c>
    </row>
    <row r="1754" spans="1:9" ht="14.25" customHeight="1" x14ac:dyDescent="0.25">
      <c r="A1754" s="7" t="s">
        <v>7393</v>
      </c>
      <c r="B1754" s="8" t="s">
        <v>155</v>
      </c>
      <c r="C1754" s="8" t="s">
        <v>6394</v>
      </c>
      <c r="D1754" s="8" t="s">
        <v>411</v>
      </c>
      <c r="E1754" s="8" t="s">
        <v>3890</v>
      </c>
      <c r="F1754" s="12" t="s">
        <v>7394</v>
      </c>
      <c r="G1754" s="8" t="s">
        <v>7395</v>
      </c>
      <c r="H1754" s="8" t="s">
        <v>7341</v>
      </c>
      <c r="I1754" s="8" t="s">
        <v>3756</v>
      </c>
    </row>
    <row r="1755" spans="1:9" ht="14.25" customHeight="1" x14ac:dyDescent="0.25">
      <c r="A1755" s="7" t="s">
        <v>7396</v>
      </c>
      <c r="B1755" s="8" t="s">
        <v>6139</v>
      </c>
      <c r="C1755" s="8" t="s">
        <v>6394</v>
      </c>
      <c r="D1755" s="8" t="s">
        <v>3163</v>
      </c>
      <c r="E1755" s="8" t="s">
        <v>3890</v>
      </c>
      <c r="F1755" s="12" t="s">
        <v>7397</v>
      </c>
      <c r="G1755" s="8" t="s">
        <v>7395</v>
      </c>
      <c r="H1755" s="8" t="s">
        <v>7341</v>
      </c>
      <c r="I1755" s="8" t="s">
        <v>3756</v>
      </c>
    </row>
    <row r="1756" spans="1:9" ht="14.25" customHeight="1" x14ac:dyDescent="0.25">
      <c r="A1756" s="7" t="s">
        <v>7398</v>
      </c>
      <c r="B1756" s="8" t="s">
        <v>3751</v>
      </c>
      <c r="C1756" s="8" t="s">
        <v>3752</v>
      </c>
      <c r="D1756" s="8" t="s">
        <v>411</v>
      </c>
      <c r="E1756" s="8" t="s">
        <v>412</v>
      </c>
      <c r="F1756" s="12" t="s">
        <v>3753</v>
      </c>
      <c r="G1756" s="8" t="s">
        <v>7399</v>
      </c>
      <c r="H1756" s="8" t="s">
        <v>2212</v>
      </c>
      <c r="I1756" s="8" t="s">
        <v>3756</v>
      </c>
    </row>
    <row r="1757" spans="1:9" ht="14.25" customHeight="1" x14ac:dyDescent="0.25">
      <c r="A1757" s="7" t="s">
        <v>7400</v>
      </c>
      <c r="B1757" s="8" t="s">
        <v>355</v>
      </c>
      <c r="C1757" s="8" t="s">
        <v>4299</v>
      </c>
      <c r="D1757" s="8" t="s">
        <v>3163</v>
      </c>
      <c r="E1757" s="8" t="s">
        <v>412</v>
      </c>
      <c r="F1757" s="12" t="s">
        <v>7401</v>
      </c>
      <c r="G1757" s="8" t="s">
        <v>7402</v>
      </c>
      <c r="H1757" s="8" t="s">
        <v>7403</v>
      </c>
      <c r="I1757" s="8" t="s">
        <v>4039</v>
      </c>
    </row>
    <row r="1758" spans="1:9" ht="14.25" customHeight="1" x14ac:dyDescent="0.25">
      <c r="A1758" s="7" t="s">
        <v>7404</v>
      </c>
      <c r="B1758" s="8" t="s">
        <v>7405</v>
      </c>
      <c r="C1758" s="8" t="s">
        <v>7406</v>
      </c>
      <c r="D1758" s="8" t="s">
        <v>411</v>
      </c>
      <c r="E1758" s="8" t="s">
        <v>412</v>
      </c>
      <c r="F1758" s="12" t="s">
        <v>7407</v>
      </c>
      <c r="G1758" s="8" t="s">
        <v>7408</v>
      </c>
      <c r="H1758" s="8" t="s">
        <v>25</v>
      </c>
      <c r="I1758" s="8" t="s">
        <v>3756</v>
      </c>
    </row>
    <row r="1759" spans="1:9" ht="14.25" customHeight="1" x14ac:dyDescent="0.25">
      <c r="A1759" s="7" t="s">
        <v>7409</v>
      </c>
      <c r="B1759" s="8" t="s">
        <v>7410</v>
      </c>
      <c r="C1759" s="8" t="s">
        <v>6540</v>
      </c>
      <c r="D1759" s="8" t="s">
        <v>411</v>
      </c>
      <c r="E1759" s="8" t="s">
        <v>412</v>
      </c>
      <c r="F1759" s="12" t="s">
        <v>7411</v>
      </c>
      <c r="G1759" s="8" t="s">
        <v>7412</v>
      </c>
      <c r="H1759" s="8" t="s">
        <v>5392</v>
      </c>
      <c r="I1759" s="8" t="s">
        <v>5347</v>
      </c>
    </row>
    <row r="1760" spans="1:9" ht="14.25" customHeight="1" x14ac:dyDescent="0.25">
      <c r="A1760" s="7" t="s">
        <v>7413</v>
      </c>
      <c r="B1760" s="8" t="s">
        <v>7095</v>
      </c>
      <c r="C1760" s="8" t="s">
        <v>7096</v>
      </c>
      <c r="D1760" s="8" t="s">
        <v>3163</v>
      </c>
      <c r="E1760" s="8" t="s">
        <v>3890</v>
      </c>
      <c r="F1760" s="12" t="s">
        <v>7414</v>
      </c>
      <c r="G1760" s="8" t="s">
        <v>7093</v>
      </c>
      <c r="H1760" s="8" t="s">
        <v>49</v>
      </c>
      <c r="I1760" s="8" t="s">
        <v>3756</v>
      </c>
    </row>
    <row r="1761" spans="1:9" ht="14.25" customHeight="1" x14ac:dyDescent="0.25">
      <c r="A1761" s="7" t="s">
        <v>7415</v>
      </c>
      <c r="B1761" s="8" t="s">
        <v>1463</v>
      </c>
      <c r="C1761" s="8" t="s">
        <v>7091</v>
      </c>
      <c r="D1761" s="8" t="s">
        <v>411</v>
      </c>
      <c r="E1761" s="8" t="s">
        <v>3890</v>
      </c>
      <c r="F1761" s="12" t="s">
        <v>7092</v>
      </c>
      <c r="G1761" s="8" t="s">
        <v>7093</v>
      </c>
      <c r="H1761" s="8" t="s">
        <v>49</v>
      </c>
      <c r="I1761" s="8" t="s">
        <v>3756</v>
      </c>
    </row>
    <row r="1762" spans="1:9" ht="14.25" customHeight="1" x14ac:dyDescent="0.25">
      <c r="A1762" s="7" t="s">
        <v>7416</v>
      </c>
      <c r="B1762" s="8" t="s">
        <v>1981</v>
      </c>
      <c r="C1762" s="8" t="s">
        <v>7417</v>
      </c>
      <c r="D1762" s="8" t="s">
        <v>411</v>
      </c>
      <c r="E1762" s="8" t="s">
        <v>412</v>
      </c>
      <c r="F1762" s="12" t="s">
        <v>7418</v>
      </c>
      <c r="G1762" s="8" t="s">
        <v>7419</v>
      </c>
      <c r="H1762" s="24" t="s">
        <v>49</v>
      </c>
      <c r="I1762" s="8" t="s">
        <v>3756</v>
      </c>
    </row>
    <row r="1763" spans="1:9" ht="14.25" customHeight="1" x14ac:dyDescent="0.25">
      <c r="A1763" s="7" t="s">
        <v>7420</v>
      </c>
      <c r="B1763" s="8" t="s">
        <v>7421</v>
      </c>
      <c r="C1763" s="8" t="s">
        <v>7422</v>
      </c>
      <c r="D1763" s="8" t="s">
        <v>411</v>
      </c>
      <c r="E1763" s="8" t="s">
        <v>412</v>
      </c>
      <c r="F1763" s="12" t="s">
        <v>7423</v>
      </c>
      <c r="G1763" s="8" t="s">
        <v>7424</v>
      </c>
      <c r="H1763" s="8" t="s">
        <v>49</v>
      </c>
      <c r="I1763" s="8" t="s">
        <v>3756</v>
      </c>
    </row>
    <row r="1764" spans="1:9" ht="14.25" customHeight="1" x14ac:dyDescent="0.25">
      <c r="A1764" s="7" t="s">
        <v>7425</v>
      </c>
      <c r="B1764" s="8" t="s">
        <v>6521</v>
      </c>
      <c r="C1764" s="8" t="s">
        <v>7426</v>
      </c>
      <c r="D1764" s="8" t="s">
        <v>3163</v>
      </c>
      <c r="E1764" s="8" t="s">
        <v>3890</v>
      </c>
      <c r="F1764" s="12" t="s">
        <v>7427</v>
      </c>
      <c r="G1764" s="8" t="s">
        <v>7428</v>
      </c>
      <c r="H1764" s="8" t="s">
        <v>4651</v>
      </c>
      <c r="I1764" s="8" t="s">
        <v>4039</v>
      </c>
    </row>
    <row r="1765" spans="1:9" ht="14.25" customHeight="1" x14ac:dyDescent="0.25">
      <c r="A1765" s="7" t="s">
        <v>7429</v>
      </c>
      <c r="B1765" s="8" t="s">
        <v>2956</v>
      </c>
      <c r="C1765" s="8" t="s">
        <v>7430</v>
      </c>
      <c r="D1765" s="8" t="s">
        <v>411</v>
      </c>
      <c r="E1765" s="8" t="s">
        <v>3890</v>
      </c>
      <c r="F1765" s="12" t="s">
        <v>7427</v>
      </c>
      <c r="G1765" s="8" t="s">
        <v>7428</v>
      </c>
      <c r="H1765" s="8" t="s">
        <v>4651</v>
      </c>
      <c r="I1765" s="8" t="s">
        <v>4039</v>
      </c>
    </row>
    <row r="1766" spans="1:9" ht="14.25" customHeight="1" x14ac:dyDescent="0.25">
      <c r="A1766" s="7" t="s">
        <v>7431</v>
      </c>
      <c r="B1766" s="8" t="s">
        <v>4064</v>
      </c>
      <c r="C1766" s="8" t="s">
        <v>7432</v>
      </c>
      <c r="D1766" s="8" t="s">
        <v>3163</v>
      </c>
      <c r="E1766" s="8" t="s">
        <v>3890</v>
      </c>
      <c r="F1766" s="12" t="s">
        <v>7433</v>
      </c>
      <c r="G1766" s="8" t="s">
        <v>6615</v>
      </c>
      <c r="H1766" s="8" t="s">
        <v>2212</v>
      </c>
      <c r="I1766" s="8" t="s">
        <v>4039</v>
      </c>
    </row>
    <row r="1767" spans="1:9" ht="14.25" customHeight="1" x14ac:dyDescent="0.25">
      <c r="A1767" s="7" t="s">
        <v>7434</v>
      </c>
      <c r="B1767" s="8" t="s">
        <v>7435</v>
      </c>
      <c r="C1767" s="8" t="s">
        <v>7436</v>
      </c>
      <c r="D1767" s="8" t="s">
        <v>411</v>
      </c>
      <c r="E1767" s="8" t="s">
        <v>3890</v>
      </c>
      <c r="F1767" s="12" t="s">
        <v>7437</v>
      </c>
      <c r="G1767" s="8" t="s">
        <v>7438</v>
      </c>
      <c r="H1767" s="8" t="s">
        <v>2212</v>
      </c>
      <c r="I1767" s="8" t="s">
        <v>3756</v>
      </c>
    </row>
    <row r="1768" spans="1:9" ht="14.25" customHeight="1" x14ac:dyDescent="0.25">
      <c r="A1768" s="7" t="s">
        <v>7439</v>
      </c>
      <c r="B1768" s="8" t="s">
        <v>2208</v>
      </c>
      <c r="C1768" s="8" t="s">
        <v>7436</v>
      </c>
      <c r="D1768" s="8" t="s">
        <v>411</v>
      </c>
      <c r="E1768" s="8" t="s">
        <v>3890</v>
      </c>
      <c r="F1768" s="12" t="s">
        <v>7440</v>
      </c>
      <c r="G1768" s="8" t="s">
        <v>7438</v>
      </c>
      <c r="H1768" s="8" t="s">
        <v>2212</v>
      </c>
      <c r="I1768" s="8" t="s">
        <v>3756</v>
      </c>
    </row>
    <row r="1769" spans="1:9" ht="14.25" customHeight="1" x14ac:dyDescent="0.25">
      <c r="A1769" s="7" t="s">
        <v>7441</v>
      </c>
      <c r="B1769" s="8" t="s">
        <v>3132</v>
      </c>
      <c r="C1769" s="8" t="s">
        <v>7442</v>
      </c>
      <c r="D1769" s="8" t="s">
        <v>411</v>
      </c>
      <c r="E1769" s="8" t="s">
        <v>3890</v>
      </c>
      <c r="F1769" s="12" t="s">
        <v>7443</v>
      </c>
      <c r="G1769" s="8" t="s">
        <v>7444</v>
      </c>
      <c r="H1769" s="8" t="s">
        <v>6233</v>
      </c>
      <c r="I1769" s="8" t="s">
        <v>3756</v>
      </c>
    </row>
    <row r="1770" spans="1:9" ht="14.25" customHeight="1" x14ac:dyDescent="0.25">
      <c r="A1770" s="7" t="s">
        <v>7445</v>
      </c>
      <c r="B1770" s="8" t="s">
        <v>7446</v>
      </c>
      <c r="C1770" s="8" t="s">
        <v>7447</v>
      </c>
      <c r="D1770" s="8" t="s">
        <v>3163</v>
      </c>
      <c r="E1770" s="8" t="s">
        <v>3890</v>
      </c>
      <c r="G1770" s="8" t="s">
        <v>7444</v>
      </c>
      <c r="H1770" s="8" t="s">
        <v>6233</v>
      </c>
      <c r="I1770" s="8" t="s">
        <v>3756</v>
      </c>
    </row>
    <row r="1771" spans="1:9" ht="14.25" customHeight="1" x14ac:dyDescent="0.25">
      <c r="A1771" s="7" t="s">
        <v>7448</v>
      </c>
      <c r="B1771" s="8" t="s">
        <v>7449</v>
      </c>
      <c r="C1771" s="8" t="s">
        <v>7450</v>
      </c>
      <c r="D1771" s="8" t="s">
        <v>411</v>
      </c>
      <c r="E1771" s="8" t="s">
        <v>412</v>
      </c>
      <c r="F1771" s="12" t="s">
        <v>7451</v>
      </c>
      <c r="G1771" s="8" t="s">
        <v>7452</v>
      </c>
      <c r="H1771" s="8" t="s">
        <v>61</v>
      </c>
      <c r="I1771" s="8" t="s">
        <v>4039</v>
      </c>
    </row>
    <row r="1772" spans="1:9" ht="14.25" customHeight="1" x14ac:dyDescent="0.25">
      <c r="A1772" s="7" t="s">
        <v>7453</v>
      </c>
      <c r="B1772" s="8" t="s">
        <v>7454</v>
      </c>
      <c r="C1772" s="8" t="s">
        <v>7455</v>
      </c>
      <c r="D1772" s="8" t="s">
        <v>3163</v>
      </c>
      <c r="E1772" s="8" t="s">
        <v>3890</v>
      </c>
      <c r="F1772" s="12" t="s">
        <v>7456</v>
      </c>
      <c r="G1772" s="8" t="s">
        <v>5531</v>
      </c>
      <c r="H1772" s="8" t="s">
        <v>37</v>
      </c>
      <c r="I1772" s="8" t="s">
        <v>4039</v>
      </c>
    </row>
    <row r="1773" spans="1:9" ht="14.25" customHeight="1" x14ac:dyDescent="0.25">
      <c r="A1773" s="7" t="s">
        <v>7457</v>
      </c>
      <c r="B1773" s="8" t="s">
        <v>4201</v>
      </c>
      <c r="C1773" s="8" t="s">
        <v>7458</v>
      </c>
      <c r="D1773" s="8" t="s">
        <v>411</v>
      </c>
      <c r="E1773" s="8" t="s">
        <v>3890</v>
      </c>
      <c r="F1773" s="12" t="s">
        <v>7459</v>
      </c>
      <c r="G1773" s="8" t="s">
        <v>5531</v>
      </c>
      <c r="H1773" s="8" t="s">
        <v>37</v>
      </c>
      <c r="I1773" s="8" t="s">
        <v>4039</v>
      </c>
    </row>
    <row r="1774" spans="1:9" ht="14.25" customHeight="1" x14ac:dyDescent="0.25">
      <c r="A1774" s="7" t="s">
        <v>7460</v>
      </c>
      <c r="B1774" s="8" t="s">
        <v>68</v>
      </c>
      <c r="C1774" s="8" t="s">
        <v>7461</v>
      </c>
      <c r="D1774" s="8" t="s">
        <v>411</v>
      </c>
      <c r="E1774" s="8" t="s">
        <v>412</v>
      </c>
      <c r="F1774" s="12" t="s">
        <v>7462</v>
      </c>
      <c r="G1774" s="8" t="s">
        <v>7463</v>
      </c>
      <c r="H1774" s="8" t="s">
        <v>37</v>
      </c>
      <c r="I1774" s="8" t="s">
        <v>4039</v>
      </c>
    </row>
    <row r="1775" spans="1:9" ht="14.25" customHeight="1" x14ac:dyDescent="0.25">
      <c r="A1775" s="7" t="s">
        <v>7464</v>
      </c>
      <c r="B1775" s="8" t="s">
        <v>427</v>
      </c>
      <c r="C1775" s="8" t="s">
        <v>6140</v>
      </c>
      <c r="D1775" s="8" t="s">
        <v>411</v>
      </c>
      <c r="E1775" s="8" t="s">
        <v>3890</v>
      </c>
      <c r="F1775" s="12" t="s">
        <v>7465</v>
      </c>
      <c r="G1775" s="8" t="s">
        <v>7466</v>
      </c>
      <c r="H1775" s="8" t="s">
        <v>37</v>
      </c>
      <c r="I1775" s="8" t="s">
        <v>4039</v>
      </c>
    </row>
    <row r="1776" spans="1:9" ht="14.25" customHeight="1" x14ac:dyDescent="0.25">
      <c r="A1776" s="7" t="s">
        <v>7467</v>
      </c>
      <c r="B1776" s="8" t="s">
        <v>6761</v>
      </c>
      <c r="C1776" s="8" t="s">
        <v>7468</v>
      </c>
      <c r="D1776" s="8" t="s">
        <v>3163</v>
      </c>
      <c r="E1776" s="8" t="s">
        <v>3890</v>
      </c>
      <c r="F1776" s="12" t="s">
        <v>7469</v>
      </c>
      <c r="G1776" s="8" t="s">
        <v>7466</v>
      </c>
      <c r="H1776" s="8" t="s">
        <v>37</v>
      </c>
      <c r="I1776" s="8" t="s">
        <v>4039</v>
      </c>
    </row>
    <row r="1777" spans="1:9" ht="14.25" customHeight="1" x14ac:dyDescent="0.25">
      <c r="A1777" s="7" t="s">
        <v>7470</v>
      </c>
      <c r="B1777" s="8" t="s">
        <v>3089</v>
      </c>
      <c r="C1777" s="8" t="s">
        <v>7471</v>
      </c>
      <c r="D1777" s="8" t="s">
        <v>411</v>
      </c>
      <c r="E1777" s="8" t="s">
        <v>412</v>
      </c>
      <c r="F1777" s="12" t="s">
        <v>7472</v>
      </c>
      <c r="G1777" s="8" t="s">
        <v>7473</v>
      </c>
      <c r="H1777" s="8" t="s">
        <v>4272</v>
      </c>
      <c r="I1777" s="8" t="s">
        <v>3756</v>
      </c>
    </row>
    <row r="1778" spans="1:9" ht="14.25" customHeight="1" x14ac:dyDescent="0.25">
      <c r="A1778" s="7" t="s">
        <v>7474</v>
      </c>
      <c r="B1778" s="8" t="s">
        <v>6139</v>
      </c>
      <c r="C1778" s="8" t="s">
        <v>7475</v>
      </c>
      <c r="D1778" s="8" t="s">
        <v>411</v>
      </c>
      <c r="E1778" s="8" t="s">
        <v>412</v>
      </c>
      <c r="F1778" s="12" t="s">
        <v>7476</v>
      </c>
      <c r="G1778" s="8" t="s">
        <v>7477</v>
      </c>
      <c r="H1778" s="8" t="s">
        <v>92</v>
      </c>
      <c r="I1778" s="8" t="s">
        <v>4039</v>
      </c>
    </row>
    <row r="1779" spans="1:9" ht="14.25" customHeight="1" x14ac:dyDescent="0.25">
      <c r="A1779" s="7" t="s">
        <v>7478</v>
      </c>
      <c r="B1779" s="8" t="s">
        <v>7479</v>
      </c>
      <c r="C1779" s="8" t="s">
        <v>5725</v>
      </c>
      <c r="D1779" s="8" t="s">
        <v>3163</v>
      </c>
      <c r="E1779" s="8" t="s">
        <v>3890</v>
      </c>
      <c r="F1779" s="12" t="s">
        <v>7480</v>
      </c>
      <c r="G1779" s="8" t="s">
        <v>7481</v>
      </c>
      <c r="H1779" s="8" t="s">
        <v>7482</v>
      </c>
      <c r="I1779" s="8" t="s">
        <v>3756</v>
      </c>
    </row>
    <row r="1780" spans="1:9" ht="14.25" customHeight="1" x14ac:dyDescent="0.25">
      <c r="A1780" s="7" t="s">
        <v>7483</v>
      </c>
      <c r="B1780" s="8" t="s">
        <v>1785</v>
      </c>
      <c r="C1780" s="8" t="s">
        <v>7484</v>
      </c>
      <c r="D1780" s="8" t="s">
        <v>411</v>
      </c>
      <c r="E1780" s="8" t="s">
        <v>3890</v>
      </c>
      <c r="F1780" s="12" t="s">
        <v>7480</v>
      </c>
      <c r="G1780" s="8" t="s">
        <v>7481</v>
      </c>
      <c r="H1780" s="8" t="s">
        <v>7482</v>
      </c>
      <c r="I1780" s="8" t="s">
        <v>3756</v>
      </c>
    </row>
    <row r="1781" spans="1:9" ht="14.25" customHeight="1" x14ac:dyDescent="0.25">
      <c r="A1781" s="7" t="s">
        <v>7485</v>
      </c>
      <c r="B1781" s="8" t="s">
        <v>7070</v>
      </c>
      <c r="C1781" s="8" t="s">
        <v>1229</v>
      </c>
      <c r="D1781" s="8" t="s">
        <v>3163</v>
      </c>
      <c r="E1781" s="8" t="s">
        <v>3890</v>
      </c>
      <c r="F1781" s="12" t="s">
        <v>7486</v>
      </c>
      <c r="G1781" s="8" t="s">
        <v>7487</v>
      </c>
      <c r="H1781" s="8" t="s">
        <v>37</v>
      </c>
      <c r="I1781" s="8" t="s">
        <v>3756</v>
      </c>
    </row>
    <row r="1782" spans="1:9" ht="14.25" customHeight="1" x14ac:dyDescent="0.25">
      <c r="A1782" s="7" t="s">
        <v>7488</v>
      </c>
      <c r="B1782" s="8" t="s">
        <v>7361</v>
      </c>
      <c r="C1782" s="8" t="s">
        <v>7489</v>
      </c>
      <c r="D1782" s="8" t="s">
        <v>411</v>
      </c>
      <c r="E1782" s="8" t="s">
        <v>3890</v>
      </c>
      <c r="G1782" s="8" t="s">
        <v>7487</v>
      </c>
      <c r="H1782" s="8" t="s">
        <v>37</v>
      </c>
      <c r="I1782" s="8" t="s">
        <v>3756</v>
      </c>
    </row>
    <row r="1783" spans="1:9" ht="14.25" customHeight="1" x14ac:dyDescent="0.25">
      <c r="A1783" s="7" t="s">
        <v>7490</v>
      </c>
      <c r="B1783" s="8" t="s">
        <v>7491</v>
      </c>
      <c r="C1783" s="8" t="s">
        <v>1358</v>
      </c>
      <c r="D1783" s="8" t="s">
        <v>3163</v>
      </c>
      <c r="E1783" s="8" t="s">
        <v>412</v>
      </c>
      <c r="F1783" s="11" t="s">
        <v>7492</v>
      </c>
      <c r="G1783" s="8" t="s">
        <v>7493</v>
      </c>
      <c r="H1783" s="8" t="s">
        <v>92</v>
      </c>
      <c r="I1783" s="8" t="s">
        <v>4039</v>
      </c>
    </row>
    <row r="1784" spans="1:9" ht="14.25" customHeight="1" x14ac:dyDescent="0.25">
      <c r="A1784" s="7" t="s">
        <v>7494</v>
      </c>
      <c r="B1784" s="8" t="s">
        <v>7495</v>
      </c>
      <c r="C1784" s="8" t="s">
        <v>7496</v>
      </c>
      <c r="D1784" s="8" t="s">
        <v>411</v>
      </c>
      <c r="E1784" s="8" t="s">
        <v>412</v>
      </c>
      <c r="F1784" s="12" t="s">
        <v>7497</v>
      </c>
      <c r="G1784" s="8" t="s">
        <v>7498</v>
      </c>
      <c r="H1784" s="8" t="s">
        <v>5213</v>
      </c>
      <c r="I1784" s="8" t="s">
        <v>3756</v>
      </c>
    </row>
    <row r="1785" spans="1:9" ht="14.25" customHeight="1" x14ac:dyDescent="0.25">
      <c r="A1785" s="7" t="s">
        <v>7499</v>
      </c>
      <c r="B1785" s="8" t="s">
        <v>4615</v>
      </c>
      <c r="C1785" s="8" t="s">
        <v>7500</v>
      </c>
      <c r="D1785" s="8" t="s">
        <v>411</v>
      </c>
      <c r="E1785" s="8" t="s">
        <v>3890</v>
      </c>
      <c r="F1785" s="12" t="s">
        <v>7501</v>
      </c>
      <c r="G1785" s="8" t="s">
        <v>7502</v>
      </c>
      <c r="H1785" s="8" t="s">
        <v>61</v>
      </c>
      <c r="I1785" s="8" t="s">
        <v>3756</v>
      </c>
    </row>
    <row r="1786" spans="1:9" ht="14.25" customHeight="1" x14ac:dyDescent="0.25">
      <c r="A1786" s="7" t="s">
        <v>7503</v>
      </c>
      <c r="B1786" s="8" t="s">
        <v>1458</v>
      </c>
      <c r="C1786" s="8" t="s">
        <v>486</v>
      </c>
      <c r="D1786" s="8" t="s">
        <v>3163</v>
      </c>
      <c r="E1786" s="8" t="s">
        <v>3890</v>
      </c>
      <c r="F1786" s="12" t="s">
        <v>7504</v>
      </c>
      <c r="G1786" s="8" t="s">
        <v>7502</v>
      </c>
      <c r="H1786" s="8" t="s">
        <v>61</v>
      </c>
      <c r="I1786" s="8" t="s">
        <v>3756</v>
      </c>
    </row>
    <row r="1787" spans="1:9" ht="14.25" customHeight="1" x14ac:dyDescent="0.25">
      <c r="A1787" s="7" t="s">
        <v>7505</v>
      </c>
      <c r="B1787" s="8" t="s">
        <v>7506</v>
      </c>
      <c r="C1787" s="8" t="s">
        <v>7507</v>
      </c>
      <c r="D1787" s="8" t="s">
        <v>411</v>
      </c>
      <c r="E1787" s="8" t="s">
        <v>412</v>
      </c>
      <c r="F1787" s="11" t="s">
        <v>7508</v>
      </c>
      <c r="G1787" s="8" t="s">
        <v>7509</v>
      </c>
      <c r="H1787" s="8" t="s">
        <v>7510</v>
      </c>
      <c r="I1787" s="8" t="s">
        <v>3756</v>
      </c>
    </row>
    <row r="1788" spans="1:9" ht="14.25" customHeight="1" x14ac:dyDescent="0.25">
      <c r="A1788" s="7" t="s">
        <v>7511</v>
      </c>
      <c r="B1788" s="8" t="s">
        <v>7103</v>
      </c>
      <c r="C1788" s="8" t="s">
        <v>7512</v>
      </c>
      <c r="D1788" s="8" t="s">
        <v>3163</v>
      </c>
      <c r="E1788" s="8" t="s">
        <v>3890</v>
      </c>
      <c r="F1788" s="11" t="s">
        <v>7513</v>
      </c>
      <c r="G1788" s="8" t="s">
        <v>7514</v>
      </c>
      <c r="H1788" s="8" t="s">
        <v>49</v>
      </c>
      <c r="I1788" s="8" t="s">
        <v>4039</v>
      </c>
    </row>
    <row r="1789" spans="1:9" ht="14.25" customHeight="1" x14ac:dyDescent="0.25">
      <c r="A1789" s="7" t="s">
        <v>7515</v>
      </c>
      <c r="B1789" s="8" t="s">
        <v>7516</v>
      </c>
      <c r="C1789" s="8" t="s">
        <v>7517</v>
      </c>
      <c r="D1789" s="8" t="s">
        <v>411</v>
      </c>
      <c r="E1789" s="8" t="s">
        <v>3890</v>
      </c>
      <c r="G1789" s="8"/>
    </row>
    <row r="1790" spans="1:9" ht="14.25" customHeight="1" x14ac:dyDescent="0.25">
      <c r="A1790" s="7" t="s">
        <v>7518</v>
      </c>
      <c r="B1790" s="8" t="s">
        <v>7519</v>
      </c>
      <c r="C1790" s="8" t="s">
        <v>7520</v>
      </c>
      <c r="D1790" s="8" t="s">
        <v>411</v>
      </c>
      <c r="E1790" s="8" t="s">
        <v>412</v>
      </c>
      <c r="F1790" s="11" t="s">
        <v>7521</v>
      </c>
      <c r="G1790" s="8" t="s">
        <v>7522</v>
      </c>
      <c r="H1790" s="8" t="s">
        <v>15</v>
      </c>
      <c r="I1790" s="8" t="s">
        <v>4039</v>
      </c>
    </row>
    <row r="1791" spans="1:9" ht="14.25" customHeight="1" x14ac:dyDescent="0.25">
      <c r="A1791" s="7" t="s">
        <v>7523</v>
      </c>
      <c r="B1791" s="8" t="s">
        <v>133</v>
      </c>
      <c r="C1791" s="8" t="s">
        <v>7524</v>
      </c>
      <c r="D1791" s="8" t="s">
        <v>411</v>
      </c>
      <c r="E1791" s="8" t="s">
        <v>412</v>
      </c>
      <c r="F1791" s="11" t="s">
        <v>7525</v>
      </c>
      <c r="G1791" s="8" t="s">
        <v>7526</v>
      </c>
      <c r="H1791" s="8" t="s">
        <v>4879</v>
      </c>
      <c r="I1791" s="8" t="s">
        <v>4404</v>
      </c>
    </row>
    <row r="1792" spans="1:9" ht="14.25" customHeight="1" x14ac:dyDescent="0.25">
      <c r="A1792" s="7" t="s">
        <v>7527</v>
      </c>
      <c r="B1792" s="8" t="s">
        <v>1393</v>
      </c>
      <c r="C1792" s="8" t="s">
        <v>7528</v>
      </c>
      <c r="D1792" s="8" t="s">
        <v>3163</v>
      </c>
      <c r="E1792" s="8" t="s">
        <v>412</v>
      </c>
      <c r="G1792" s="8"/>
      <c r="I1792" s="8" t="s">
        <v>3756</v>
      </c>
    </row>
    <row r="1793" spans="1:9" ht="14.25" customHeight="1" x14ac:dyDescent="0.25">
      <c r="A1793" s="7" t="s">
        <v>7529</v>
      </c>
      <c r="B1793" s="8" t="s">
        <v>1529</v>
      </c>
      <c r="C1793" s="8" t="s">
        <v>150</v>
      </c>
      <c r="D1793" s="8" t="s">
        <v>411</v>
      </c>
      <c r="E1793" s="8" t="s">
        <v>412</v>
      </c>
      <c r="F1793" s="12" t="s">
        <v>7530</v>
      </c>
      <c r="G1793" s="8" t="s">
        <v>7531</v>
      </c>
      <c r="H1793" s="8" t="s">
        <v>49</v>
      </c>
      <c r="I1793" s="8" t="s">
        <v>4039</v>
      </c>
    </row>
    <row r="1794" spans="1:9" ht="14.25" customHeight="1" x14ac:dyDescent="0.25">
      <c r="A1794" s="7" t="s">
        <v>7532</v>
      </c>
      <c r="B1794" s="8" t="s">
        <v>133</v>
      </c>
      <c r="C1794" s="8" t="s">
        <v>7533</v>
      </c>
      <c r="D1794" s="8" t="s">
        <v>411</v>
      </c>
      <c r="E1794" s="8" t="s">
        <v>3890</v>
      </c>
      <c r="F1794" s="12" t="s">
        <v>7534</v>
      </c>
      <c r="G1794" s="8" t="s">
        <v>7535</v>
      </c>
      <c r="H1794" s="8" t="s">
        <v>82</v>
      </c>
      <c r="I1794" s="8" t="s">
        <v>4039</v>
      </c>
    </row>
    <row r="1795" spans="1:9" ht="14.25" customHeight="1" x14ac:dyDescent="0.25">
      <c r="A1795" s="7" t="s">
        <v>7536</v>
      </c>
      <c r="B1795" s="8" t="s">
        <v>7537</v>
      </c>
      <c r="C1795" s="8" t="s">
        <v>7538</v>
      </c>
      <c r="D1795" s="8" t="s">
        <v>3163</v>
      </c>
      <c r="E1795" s="8" t="s">
        <v>3890</v>
      </c>
      <c r="F1795" s="12" t="s">
        <v>7539</v>
      </c>
      <c r="G1795" s="8" t="s">
        <v>7535</v>
      </c>
      <c r="H1795" s="8" t="s">
        <v>82</v>
      </c>
      <c r="I1795" s="8" t="s">
        <v>4039</v>
      </c>
    </row>
    <row r="1796" spans="1:9" ht="14.25" customHeight="1" x14ac:dyDescent="0.25">
      <c r="A1796" s="7" t="s">
        <v>7540</v>
      </c>
      <c r="B1796" s="8" t="s">
        <v>4723</v>
      </c>
      <c r="C1796" s="8" t="s">
        <v>3507</v>
      </c>
      <c r="D1796" s="8" t="s">
        <v>3163</v>
      </c>
      <c r="E1796" s="8" t="s">
        <v>412</v>
      </c>
      <c r="F1796" s="12" t="s">
        <v>7541</v>
      </c>
      <c r="G1796" s="8" t="s">
        <v>7542</v>
      </c>
      <c r="H1796" s="8" t="s">
        <v>25</v>
      </c>
      <c r="I1796" s="8" t="s">
        <v>4039</v>
      </c>
    </row>
    <row r="1797" spans="1:9" ht="14.25" customHeight="1" x14ac:dyDescent="0.25">
      <c r="A1797" s="7" t="s">
        <v>7543</v>
      </c>
      <c r="B1797" s="8" t="s">
        <v>1808</v>
      </c>
      <c r="C1797" s="8" t="s">
        <v>462</v>
      </c>
      <c r="D1797" s="8" t="s">
        <v>3163</v>
      </c>
      <c r="E1797" s="8" t="s">
        <v>412</v>
      </c>
      <c r="F1797" s="12" t="s">
        <v>7544</v>
      </c>
      <c r="G1797" s="8" t="s">
        <v>7545</v>
      </c>
      <c r="H1797" s="8" t="s">
        <v>5186</v>
      </c>
      <c r="I1797" s="8" t="s">
        <v>3756</v>
      </c>
    </row>
    <row r="1798" spans="1:9" ht="14.25" customHeight="1" x14ac:dyDescent="0.25">
      <c r="A1798" s="7" t="s">
        <v>7546</v>
      </c>
      <c r="B1798" s="8" t="s">
        <v>7547</v>
      </c>
      <c r="C1798" s="8" t="s">
        <v>607</v>
      </c>
      <c r="D1798" s="8" t="s">
        <v>411</v>
      </c>
      <c r="E1798" s="8" t="s">
        <v>412</v>
      </c>
      <c r="F1798" s="27" t="s">
        <v>7548</v>
      </c>
      <c r="G1798" s="8" t="s">
        <v>7549</v>
      </c>
      <c r="H1798" s="8" t="s">
        <v>37</v>
      </c>
      <c r="I1798" s="8" t="s">
        <v>3756</v>
      </c>
    </row>
    <row r="1799" spans="1:9" ht="14.25" customHeight="1" x14ac:dyDescent="0.25">
      <c r="A1799" s="7" t="s">
        <v>7550</v>
      </c>
      <c r="B1799" s="8" t="s">
        <v>5204</v>
      </c>
      <c r="C1799" s="8" t="s">
        <v>7551</v>
      </c>
      <c r="D1799" s="8" t="s">
        <v>3163</v>
      </c>
      <c r="E1799" s="8" t="s">
        <v>412</v>
      </c>
      <c r="I1799" s="8" t="s">
        <v>3756</v>
      </c>
    </row>
    <row r="1800" spans="1:9" ht="14.25" customHeight="1" x14ac:dyDescent="0.25">
      <c r="A1800" s="7" t="s">
        <v>7552</v>
      </c>
      <c r="B1800" s="8" t="s">
        <v>3078</v>
      </c>
      <c r="C1800" s="8" t="s">
        <v>7553</v>
      </c>
      <c r="D1800" s="8" t="s">
        <v>3163</v>
      </c>
      <c r="E1800" s="8" t="s">
        <v>412</v>
      </c>
      <c r="F1800" s="12" t="s">
        <v>7554</v>
      </c>
      <c r="G1800" s="8" t="s">
        <v>7555</v>
      </c>
      <c r="H1800" s="8" t="s">
        <v>7556</v>
      </c>
      <c r="I1800" s="8" t="s">
        <v>4039</v>
      </c>
    </row>
    <row r="1801" spans="1:9" ht="14.25" customHeight="1" x14ac:dyDescent="0.25">
      <c r="A1801" s="7" t="s">
        <v>7557</v>
      </c>
      <c r="B1801" s="8" t="s">
        <v>6139</v>
      </c>
      <c r="C1801" s="8" t="s">
        <v>3738</v>
      </c>
      <c r="D1801" s="8" t="s">
        <v>411</v>
      </c>
      <c r="E1801" s="8" t="s">
        <v>3890</v>
      </c>
      <c r="F1801" s="12" t="s">
        <v>7558</v>
      </c>
      <c r="G1801" s="8" t="s">
        <v>7559</v>
      </c>
      <c r="H1801" s="8" t="s">
        <v>7560</v>
      </c>
      <c r="I1801" s="8" t="s">
        <v>4039</v>
      </c>
    </row>
    <row r="1802" spans="1:9" ht="14.25" customHeight="1" x14ac:dyDescent="0.25">
      <c r="A1802" s="7" t="s">
        <v>7561</v>
      </c>
      <c r="B1802" s="8" t="s">
        <v>7562</v>
      </c>
      <c r="C1802" s="8" t="s">
        <v>7563</v>
      </c>
      <c r="D1802" s="8" t="s">
        <v>3163</v>
      </c>
      <c r="E1802" s="8" t="s">
        <v>3890</v>
      </c>
      <c r="F1802" s="12" t="s">
        <v>7564</v>
      </c>
      <c r="G1802" s="8" t="s">
        <v>7559</v>
      </c>
      <c r="H1802" s="8" t="s">
        <v>7560</v>
      </c>
      <c r="I1802" s="8" t="s">
        <v>4039</v>
      </c>
    </row>
    <row r="1803" spans="1:9" ht="14.25" customHeight="1" x14ac:dyDescent="0.25">
      <c r="A1803" s="7" t="s">
        <v>7565</v>
      </c>
      <c r="B1803" s="8" t="s">
        <v>7566</v>
      </c>
      <c r="C1803" s="8" t="s">
        <v>7567</v>
      </c>
      <c r="D1803" s="8" t="s">
        <v>411</v>
      </c>
      <c r="E1803" s="8" t="s">
        <v>412</v>
      </c>
    </row>
    <row r="1804" spans="1:9" ht="14.25" customHeight="1" x14ac:dyDescent="0.25">
      <c r="A1804" s="7" t="s">
        <v>7568</v>
      </c>
      <c r="B1804" s="8" t="s">
        <v>7569</v>
      </c>
      <c r="C1804" s="8" t="s">
        <v>7570</v>
      </c>
      <c r="D1804" s="8" t="s">
        <v>411</v>
      </c>
      <c r="E1804" s="8" t="s">
        <v>412</v>
      </c>
      <c r="F1804" s="12" t="s">
        <v>7571</v>
      </c>
      <c r="G1804" s="8" t="s">
        <v>7572</v>
      </c>
      <c r="H1804" s="8" t="s">
        <v>102</v>
      </c>
      <c r="I1804" s="8" t="s">
        <v>4039</v>
      </c>
    </row>
    <row r="1805" spans="1:9" ht="14.25" customHeight="1" x14ac:dyDescent="0.25">
      <c r="A1805" s="7" t="s">
        <v>7573</v>
      </c>
      <c r="B1805" s="8" t="s">
        <v>7574</v>
      </c>
      <c r="C1805" s="8" t="s">
        <v>7575</v>
      </c>
      <c r="D1805" s="8" t="s">
        <v>411</v>
      </c>
      <c r="E1805" s="8" t="s">
        <v>412</v>
      </c>
      <c r="F1805" s="12" t="s">
        <v>7576</v>
      </c>
      <c r="G1805" s="8" t="s">
        <v>7577</v>
      </c>
      <c r="H1805" s="8" t="s">
        <v>7578</v>
      </c>
      <c r="I1805" s="8" t="s">
        <v>4371</v>
      </c>
    </row>
    <row r="1806" spans="1:9" ht="14.25" customHeight="1" x14ac:dyDescent="0.25">
      <c r="A1806" s="7" t="s">
        <v>7579</v>
      </c>
      <c r="B1806" s="8" t="s">
        <v>7580</v>
      </c>
      <c r="C1806" s="8" t="s">
        <v>5835</v>
      </c>
      <c r="D1806" s="8" t="s">
        <v>3163</v>
      </c>
      <c r="E1806" s="8" t="s">
        <v>3890</v>
      </c>
      <c r="F1806" s="11" t="s">
        <v>7581</v>
      </c>
      <c r="G1806" s="8" t="s">
        <v>7582</v>
      </c>
      <c r="H1806" s="8" t="s">
        <v>5180</v>
      </c>
      <c r="I1806" s="8" t="s">
        <v>3756</v>
      </c>
    </row>
    <row r="1807" spans="1:9" ht="14.25" customHeight="1" x14ac:dyDescent="0.25">
      <c r="A1807" s="7" t="s">
        <v>7583</v>
      </c>
      <c r="B1807" s="8" t="s">
        <v>7584</v>
      </c>
      <c r="C1807" s="8" t="s">
        <v>7585</v>
      </c>
      <c r="D1807" s="8" t="s">
        <v>411</v>
      </c>
      <c r="E1807" s="8" t="s">
        <v>3890</v>
      </c>
      <c r="I1807" s="8" t="s">
        <v>3756</v>
      </c>
    </row>
    <row r="1808" spans="1:9" ht="14.25" customHeight="1" x14ac:dyDescent="0.25">
      <c r="A1808" s="7" t="s">
        <v>7586</v>
      </c>
      <c r="B1808" s="8" t="s">
        <v>7587</v>
      </c>
      <c r="C1808" s="8" t="s">
        <v>7588</v>
      </c>
      <c r="D1808" s="8" t="s">
        <v>3163</v>
      </c>
      <c r="E1808" s="8" t="s">
        <v>412</v>
      </c>
      <c r="I1808" s="8" t="s">
        <v>3756</v>
      </c>
    </row>
    <row r="1809" spans="1:9" ht="14.25" customHeight="1" x14ac:dyDescent="0.25">
      <c r="A1809" s="7" t="s">
        <v>7589</v>
      </c>
      <c r="B1809" s="8" t="s">
        <v>7590</v>
      </c>
      <c r="D1809" s="8" t="s">
        <v>3163</v>
      </c>
      <c r="E1809" s="8" t="s">
        <v>412</v>
      </c>
    </row>
    <row r="1810" spans="1:9" ht="14.25" customHeight="1" x14ac:dyDescent="0.25">
      <c r="A1810" s="7" t="s">
        <v>7591</v>
      </c>
      <c r="B1810" s="8" t="s">
        <v>3874</v>
      </c>
      <c r="C1810" s="8" t="s">
        <v>2848</v>
      </c>
      <c r="D1810" s="8" t="s">
        <v>3163</v>
      </c>
      <c r="E1810" s="8" t="s">
        <v>412</v>
      </c>
    </row>
    <row r="1811" spans="1:9" ht="14.25" customHeight="1" x14ac:dyDescent="0.25">
      <c r="A1811" s="7" t="s">
        <v>7592</v>
      </c>
      <c r="B1811" s="8" t="s">
        <v>3610</v>
      </c>
      <c r="C1811" s="8" t="s">
        <v>7593</v>
      </c>
      <c r="D1811" s="8" t="s">
        <v>411</v>
      </c>
      <c r="E1811" s="8" t="s">
        <v>412</v>
      </c>
      <c r="F1811" s="12" t="s">
        <v>7594</v>
      </c>
      <c r="G1811" s="8" t="s">
        <v>7595</v>
      </c>
      <c r="H1811" s="8" t="s">
        <v>7359</v>
      </c>
      <c r="I1811" s="8" t="s">
        <v>3756</v>
      </c>
    </row>
    <row r="1812" spans="1:9" ht="14.25" customHeight="1" x14ac:dyDescent="0.25">
      <c r="A1812" s="7" t="s">
        <v>7596</v>
      </c>
      <c r="B1812" s="8" t="s">
        <v>7597</v>
      </c>
      <c r="C1812" s="8" t="s">
        <v>7598</v>
      </c>
      <c r="D1812" s="8" t="s">
        <v>3163</v>
      </c>
      <c r="E1812" s="8" t="s">
        <v>3890</v>
      </c>
      <c r="F1812" s="12" t="s">
        <v>7599</v>
      </c>
      <c r="G1812" s="8" t="s">
        <v>7600</v>
      </c>
      <c r="H1812" s="8" t="s">
        <v>49</v>
      </c>
      <c r="I1812" s="8" t="s">
        <v>3756</v>
      </c>
    </row>
    <row r="1813" spans="1:9" ht="14.25" customHeight="1" x14ac:dyDescent="0.25">
      <c r="A1813" s="7" t="s">
        <v>7601</v>
      </c>
      <c r="B1813" s="8" t="s">
        <v>7602</v>
      </c>
      <c r="C1813" s="8" t="s">
        <v>7598</v>
      </c>
      <c r="D1813" s="8" t="s">
        <v>411</v>
      </c>
      <c r="E1813" s="8" t="s">
        <v>3890</v>
      </c>
      <c r="F1813" s="12" t="s">
        <v>7603</v>
      </c>
      <c r="G1813" s="8" t="s">
        <v>7600</v>
      </c>
      <c r="H1813" s="8" t="s">
        <v>49</v>
      </c>
      <c r="I1813" s="8" t="s">
        <v>3756</v>
      </c>
    </row>
    <row r="1814" spans="1:9" ht="14.25" customHeight="1" x14ac:dyDescent="0.25">
      <c r="A1814" s="7" t="s">
        <v>7604</v>
      </c>
      <c r="B1814" s="8" t="s">
        <v>7605</v>
      </c>
      <c r="C1814" s="8" t="s">
        <v>7606</v>
      </c>
      <c r="D1814" s="8" t="s">
        <v>411</v>
      </c>
      <c r="E1814" s="8" t="s">
        <v>3890</v>
      </c>
      <c r="F1814" s="12" t="s">
        <v>7607</v>
      </c>
      <c r="G1814" s="8" t="s">
        <v>7608</v>
      </c>
      <c r="H1814" s="8" t="s">
        <v>5652</v>
      </c>
      <c r="I1814" s="8" t="s">
        <v>3756</v>
      </c>
    </row>
    <row r="1815" spans="1:9" ht="14.25" customHeight="1" x14ac:dyDescent="0.25">
      <c r="A1815" s="7" t="s">
        <v>7609</v>
      </c>
      <c r="B1815" s="8" t="s">
        <v>7610</v>
      </c>
      <c r="C1815" s="8" t="s">
        <v>7611</v>
      </c>
      <c r="D1815" s="8" t="s">
        <v>3163</v>
      </c>
      <c r="E1815" s="8" t="s">
        <v>3890</v>
      </c>
      <c r="F1815" s="12" t="s">
        <v>7612</v>
      </c>
      <c r="G1815" s="8" t="s">
        <v>7608</v>
      </c>
      <c r="H1815" s="8" t="s">
        <v>5652</v>
      </c>
      <c r="I1815" s="8" t="s">
        <v>3756</v>
      </c>
    </row>
    <row r="1816" spans="1:9" ht="14.25" customHeight="1" x14ac:dyDescent="0.25">
      <c r="A1816" s="7" t="s">
        <v>7613</v>
      </c>
      <c r="B1816" s="8" t="s">
        <v>7614</v>
      </c>
      <c r="C1816" s="8" t="s">
        <v>7615</v>
      </c>
      <c r="D1816" s="8" t="s">
        <v>411</v>
      </c>
      <c r="E1816" s="8" t="s">
        <v>412</v>
      </c>
      <c r="F1816" s="11" t="s">
        <v>7616</v>
      </c>
      <c r="G1816" s="8" t="s">
        <v>7617</v>
      </c>
      <c r="H1816" s="8" t="s">
        <v>5570</v>
      </c>
      <c r="I1816" s="8" t="s">
        <v>4371</v>
      </c>
    </row>
    <row r="1817" spans="1:9" ht="14.25" customHeight="1" x14ac:dyDescent="0.25">
      <c r="A1817" s="7" t="s">
        <v>7618</v>
      </c>
      <c r="B1817" s="8" t="s">
        <v>2972</v>
      </c>
      <c r="C1817" s="8" t="s">
        <v>7619</v>
      </c>
      <c r="D1817" s="8" t="s">
        <v>411</v>
      </c>
      <c r="E1817" s="8" t="s">
        <v>412</v>
      </c>
      <c r="F1817" s="12" t="s">
        <v>7173</v>
      </c>
      <c r="G1817" s="8" t="s">
        <v>7620</v>
      </c>
      <c r="H1817" s="8" t="s">
        <v>25</v>
      </c>
      <c r="I1817" s="8" t="s">
        <v>4371</v>
      </c>
    </row>
    <row r="1818" spans="1:9" ht="14.25" customHeight="1" x14ac:dyDescent="0.25">
      <c r="A1818" s="7" t="s">
        <v>7621</v>
      </c>
      <c r="B1818" s="8" t="s">
        <v>7622</v>
      </c>
      <c r="C1818" s="8" t="s">
        <v>7623</v>
      </c>
      <c r="D1818" s="8" t="s">
        <v>3163</v>
      </c>
      <c r="E1818" s="8" t="s">
        <v>412</v>
      </c>
    </row>
    <row r="1819" spans="1:9" ht="14.25" customHeight="1" x14ac:dyDescent="0.25">
      <c r="A1819" s="7" t="s">
        <v>7624</v>
      </c>
      <c r="B1819" s="8" t="s">
        <v>7625</v>
      </c>
      <c r="C1819" s="8" t="s">
        <v>7626</v>
      </c>
      <c r="D1819" s="8" t="s">
        <v>411</v>
      </c>
      <c r="E1819" s="8" t="s">
        <v>3890</v>
      </c>
      <c r="F1819" s="12" t="s">
        <v>7627</v>
      </c>
      <c r="G1819" s="8" t="s">
        <v>7628</v>
      </c>
      <c r="H1819" s="8" t="s">
        <v>5652</v>
      </c>
      <c r="I1819" s="8" t="s">
        <v>4039</v>
      </c>
    </row>
    <row r="1820" spans="1:9" ht="14.25" customHeight="1" x14ac:dyDescent="0.25">
      <c r="A1820" s="7" t="s">
        <v>7629</v>
      </c>
      <c r="B1820" s="8" t="s">
        <v>5909</v>
      </c>
      <c r="C1820" s="8" t="s">
        <v>7630</v>
      </c>
      <c r="D1820" s="8" t="s">
        <v>3163</v>
      </c>
      <c r="E1820" s="8" t="s">
        <v>3890</v>
      </c>
      <c r="G1820" s="8" t="s">
        <v>7628</v>
      </c>
      <c r="H1820" s="8" t="s">
        <v>5652</v>
      </c>
      <c r="I1820" s="8" t="s">
        <v>4039</v>
      </c>
    </row>
    <row r="1821" spans="1:9" ht="14.25" customHeight="1" x14ac:dyDescent="0.25">
      <c r="A1821" s="19" t="s">
        <v>7631</v>
      </c>
      <c r="B1821" s="8" t="s">
        <v>7632</v>
      </c>
      <c r="C1821" s="8" t="s">
        <v>7633</v>
      </c>
      <c r="D1821" s="8" t="s">
        <v>411</v>
      </c>
      <c r="E1821" s="8" t="s">
        <v>412</v>
      </c>
      <c r="F1821" s="12" t="s">
        <v>7634</v>
      </c>
      <c r="G1821" s="8" t="s">
        <v>7635</v>
      </c>
      <c r="H1821" s="8" t="s">
        <v>6143</v>
      </c>
      <c r="I1821" s="8" t="s">
        <v>4404</v>
      </c>
    </row>
    <row r="1822" spans="1:9" ht="14.25" customHeight="1" x14ac:dyDescent="0.25">
      <c r="A1822" s="7" t="s">
        <v>7636</v>
      </c>
      <c r="B1822" s="8" t="s">
        <v>2297</v>
      </c>
      <c r="C1822" s="8" t="s">
        <v>5041</v>
      </c>
      <c r="D1822" s="8" t="s">
        <v>411</v>
      </c>
      <c r="E1822" s="8" t="s">
        <v>3890</v>
      </c>
    </row>
    <row r="1823" spans="1:9" ht="14.25" customHeight="1" x14ac:dyDescent="0.25">
      <c r="A1823" s="7" t="s">
        <v>7637</v>
      </c>
      <c r="B1823" s="8" t="s">
        <v>4397</v>
      </c>
      <c r="C1823" s="8" t="s">
        <v>7638</v>
      </c>
      <c r="D1823" s="8" t="s">
        <v>411</v>
      </c>
      <c r="E1823" s="8" t="s">
        <v>412</v>
      </c>
      <c r="F1823" s="12" t="s">
        <v>7639</v>
      </c>
      <c r="G1823" s="8" t="s">
        <v>7640</v>
      </c>
      <c r="H1823" s="8" t="s">
        <v>7641</v>
      </c>
      <c r="I1823" s="8" t="s">
        <v>3756</v>
      </c>
    </row>
    <row r="1824" spans="1:9" ht="14.25" customHeight="1" x14ac:dyDescent="0.25">
      <c r="A1824" s="7" t="s">
        <v>7642</v>
      </c>
      <c r="B1824" s="8" t="s">
        <v>7643</v>
      </c>
      <c r="C1824" s="8" t="s">
        <v>7644</v>
      </c>
      <c r="D1824" s="8" t="s">
        <v>3163</v>
      </c>
      <c r="E1824" s="8" t="s">
        <v>412</v>
      </c>
      <c r="F1824" s="12" t="s">
        <v>7645</v>
      </c>
      <c r="G1824" s="8" t="s">
        <v>7646</v>
      </c>
      <c r="H1824" s="8" t="s">
        <v>82</v>
      </c>
      <c r="I1824" s="8" t="s">
        <v>4039</v>
      </c>
    </row>
    <row r="1825" spans="1:9" ht="14.25" customHeight="1" x14ac:dyDescent="0.25">
      <c r="A1825" s="7" t="s">
        <v>7647</v>
      </c>
      <c r="B1825" s="8" t="s">
        <v>7648</v>
      </c>
      <c r="C1825" s="8" t="s">
        <v>7649</v>
      </c>
      <c r="D1825" s="8" t="s">
        <v>411</v>
      </c>
      <c r="E1825" s="8" t="s">
        <v>3890</v>
      </c>
      <c r="F1825" s="12" t="s">
        <v>7650</v>
      </c>
      <c r="G1825" s="8" t="s">
        <v>7651</v>
      </c>
      <c r="H1825" s="8" t="s">
        <v>20</v>
      </c>
      <c r="I1825" s="8" t="s">
        <v>3756</v>
      </c>
    </row>
    <row r="1826" spans="1:9" ht="14.25" customHeight="1" x14ac:dyDescent="0.25">
      <c r="A1826" s="7" t="s">
        <v>7652</v>
      </c>
      <c r="B1826" s="8" t="s">
        <v>57</v>
      </c>
      <c r="C1826" s="8" t="s">
        <v>7653</v>
      </c>
      <c r="D1826" s="8" t="s">
        <v>3163</v>
      </c>
      <c r="E1826" s="8" t="s">
        <v>3890</v>
      </c>
      <c r="F1826" s="12" t="s">
        <v>7654</v>
      </c>
      <c r="G1826" s="8" t="s">
        <v>7651</v>
      </c>
      <c r="H1826" s="8" t="s">
        <v>20</v>
      </c>
      <c r="I1826" s="8" t="s">
        <v>3756</v>
      </c>
    </row>
    <row r="1827" spans="1:9" ht="14.25" customHeight="1" x14ac:dyDescent="0.25">
      <c r="A1827" s="7" t="s">
        <v>7655</v>
      </c>
      <c r="B1827" s="8" t="s">
        <v>910</v>
      </c>
      <c r="C1827" s="8" t="s">
        <v>7656</v>
      </c>
      <c r="D1827" s="8" t="s">
        <v>411</v>
      </c>
      <c r="E1827" s="8" t="s">
        <v>412</v>
      </c>
      <c r="F1827" s="12" t="s">
        <v>7657</v>
      </c>
      <c r="G1827" s="8" t="s">
        <v>7658</v>
      </c>
      <c r="H1827" s="8" t="s">
        <v>6128</v>
      </c>
      <c r="I1827" s="8" t="s">
        <v>3756</v>
      </c>
    </row>
    <row r="1828" spans="1:9" ht="14.25" customHeight="1" x14ac:dyDescent="0.25">
      <c r="A1828" s="7" t="s">
        <v>7659</v>
      </c>
      <c r="B1828" s="8" t="s">
        <v>7660</v>
      </c>
      <c r="C1828" s="8" t="s">
        <v>7661</v>
      </c>
      <c r="D1828" s="8" t="s">
        <v>411</v>
      </c>
      <c r="E1828" s="8" t="s">
        <v>412</v>
      </c>
      <c r="F1828" s="12" t="s">
        <v>7662</v>
      </c>
      <c r="G1828" s="8" t="s">
        <v>7663</v>
      </c>
      <c r="H1828" s="8" t="s">
        <v>37</v>
      </c>
      <c r="I1828" s="8" t="s">
        <v>4039</v>
      </c>
    </row>
    <row r="1829" spans="1:9" ht="14.25" customHeight="1" x14ac:dyDescent="0.25">
      <c r="A1829" s="7" t="s">
        <v>7664</v>
      </c>
      <c r="B1829" s="8" t="s">
        <v>5724</v>
      </c>
      <c r="C1829" s="8" t="s">
        <v>7665</v>
      </c>
      <c r="D1829" s="8" t="s">
        <v>411</v>
      </c>
      <c r="E1829" s="8" t="s">
        <v>412</v>
      </c>
      <c r="F1829" s="12" t="s">
        <v>7666</v>
      </c>
      <c r="G1829" s="8" t="s">
        <v>7667</v>
      </c>
      <c r="H1829" s="8" t="s">
        <v>5392</v>
      </c>
      <c r="I1829" s="8" t="s">
        <v>4371</v>
      </c>
    </row>
    <row r="1830" spans="1:9" ht="14.25" customHeight="1" x14ac:dyDescent="0.25">
      <c r="A1830" s="7" t="s">
        <v>7668</v>
      </c>
      <c r="B1830" s="8" t="s">
        <v>3089</v>
      </c>
      <c r="C1830" s="8" t="s">
        <v>7669</v>
      </c>
      <c r="D1830" s="8" t="s">
        <v>411</v>
      </c>
      <c r="E1830" s="8" t="s">
        <v>412</v>
      </c>
      <c r="F1830" s="12" t="s">
        <v>7670</v>
      </c>
      <c r="G1830" s="8" t="s">
        <v>7671</v>
      </c>
      <c r="H1830" s="8" t="s">
        <v>7672</v>
      </c>
      <c r="I1830" s="8" t="s">
        <v>4039</v>
      </c>
    </row>
    <row r="1831" spans="1:9" ht="14.25" customHeight="1" x14ac:dyDescent="0.25">
      <c r="A1831" s="7" t="s">
        <v>7673</v>
      </c>
      <c r="B1831" s="8" t="s">
        <v>7674</v>
      </c>
      <c r="C1831" s="8" t="s">
        <v>7675</v>
      </c>
      <c r="D1831" s="8" t="s">
        <v>3163</v>
      </c>
      <c r="E1831" s="8" t="s">
        <v>3890</v>
      </c>
      <c r="F1831" s="12" t="s">
        <v>7676</v>
      </c>
      <c r="G1831" s="23" t="s">
        <v>7677</v>
      </c>
      <c r="H1831" s="8" t="s">
        <v>37</v>
      </c>
      <c r="I1831" s="8" t="s">
        <v>4039</v>
      </c>
    </row>
    <row r="1832" spans="1:9" ht="14.25" customHeight="1" x14ac:dyDescent="0.25">
      <c r="A1832" s="7" t="s">
        <v>7678</v>
      </c>
      <c r="B1832" s="8" t="s">
        <v>5173</v>
      </c>
      <c r="C1832" s="8" t="s">
        <v>7679</v>
      </c>
      <c r="D1832" s="8" t="s">
        <v>411</v>
      </c>
      <c r="E1832" s="8" t="s">
        <v>3890</v>
      </c>
      <c r="G1832" s="23" t="s">
        <v>7677</v>
      </c>
      <c r="H1832" s="8" t="s">
        <v>37</v>
      </c>
      <c r="I1832" s="8" t="s">
        <v>4039</v>
      </c>
    </row>
    <row r="1833" spans="1:9" ht="14.25" customHeight="1" x14ac:dyDescent="0.25">
      <c r="A1833" s="7" t="s">
        <v>7680</v>
      </c>
      <c r="B1833" s="8" t="s">
        <v>4156</v>
      </c>
      <c r="C1833" s="8" t="s">
        <v>7681</v>
      </c>
      <c r="D1833" s="8" t="s">
        <v>411</v>
      </c>
      <c r="E1833" s="8" t="s">
        <v>412</v>
      </c>
      <c r="F1833" s="11" t="s">
        <v>7682</v>
      </c>
      <c r="G1833" s="23" t="s">
        <v>7683</v>
      </c>
      <c r="H1833" s="8" t="s">
        <v>72</v>
      </c>
      <c r="I1833" s="8" t="s">
        <v>3756</v>
      </c>
    </row>
    <row r="1834" spans="1:9" ht="14.25" customHeight="1" x14ac:dyDescent="0.25">
      <c r="A1834" s="7" t="s">
        <v>7684</v>
      </c>
      <c r="B1834" s="8" t="s">
        <v>3478</v>
      </c>
      <c r="C1834" s="8" t="s">
        <v>7685</v>
      </c>
      <c r="D1834" s="8" t="s">
        <v>411</v>
      </c>
      <c r="E1834" s="8" t="s">
        <v>3890</v>
      </c>
      <c r="F1834" s="12" t="s">
        <v>7686</v>
      </c>
      <c r="G1834" s="8" t="s">
        <v>7687</v>
      </c>
      <c r="H1834" s="8" t="s">
        <v>2212</v>
      </c>
      <c r="I1834" s="8" t="s">
        <v>4039</v>
      </c>
    </row>
    <row r="1835" spans="1:9" ht="14.25" customHeight="1" x14ac:dyDescent="0.25">
      <c r="A1835" s="7" t="s">
        <v>7688</v>
      </c>
      <c r="B1835" s="8" t="s">
        <v>7689</v>
      </c>
      <c r="C1835" s="8" t="s">
        <v>3078</v>
      </c>
      <c r="D1835" s="8" t="s">
        <v>3163</v>
      </c>
      <c r="E1835" s="8" t="s">
        <v>3890</v>
      </c>
      <c r="G1835" s="24" t="s">
        <v>7687</v>
      </c>
      <c r="H1835" s="8" t="s">
        <v>2212</v>
      </c>
      <c r="I1835" s="8" t="s">
        <v>4039</v>
      </c>
    </row>
    <row r="1836" spans="1:9" ht="14.25" customHeight="1" x14ac:dyDescent="0.25">
      <c r="A1836" s="7" t="s">
        <v>7690</v>
      </c>
      <c r="B1836" s="8" t="s">
        <v>2601</v>
      </c>
      <c r="C1836" s="8" t="s">
        <v>7691</v>
      </c>
      <c r="D1836" s="8" t="s">
        <v>3163</v>
      </c>
      <c r="E1836" s="8" t="s">
        <v>412</v>
      </c>
      <c r="F1836" s="12" t="s">
        <v>7692</v>
      </c>
      <c r="G1836" s="8" t="s">
        <v>7693</v>
      </c>
      <c r="H1836" s="8" t="s">
        <v>3820</v>
      </c>
      <c r="I1836" s="8" t="s">
        <v>4039</v>
      </c>
    </row>
    <row r="1837" spans="1:9" ht="14.25" customHeight="1" x14ac:dyDescent="0.25">
      <c r="A1837" s="7" t="s">
        <v>7694</v>
      </c>
      <c r="B1837" s="8" t="s">
        <v>7695</v>
      </c>
      <c r="C1837" s="8" t="s">
        <v>7696</v>
      </c>
      <c r="D1837" s="8" t="s">
        <v>3163</v>
      </c>
      <c r="E1837" s="8" t="s">
        <v>412</v>
      </c>
      <c r="F1837" s="12" t="s">
        <v>7697</v>
      </c>
      <c r="G1837" s="23" t="s">
        <v>7698</v>
      </c>
      <c r="H1837" s="8" t="s">
        <v>2212</v>
      </c>
      <c r="I1837" s="8" t="s">
        <v>4039</v>
      </c>
    </row>
    <row r="1838" spans="1:9" ht="14.25" customHeight="1" x14ac:dyDescent="0.25">
      <c r="A1838" s="7" t="s">
        <v>7699</v>
      </c>
      <c r="B1838" s="8" t="s">
        <v>437</v>
      </c>
      <c r="C1838" s="8" t="s">
        <v>3064</v>
      </c>
      <c r="D1838" s="8" t="s">
        <v>411</v>
      </c>
      <c r="E1838" s="8" t="s">
        <v>412</v>
      </c>
      <c r="F1838" s="12" t="s">
        <v>7700</v>
      </c>
      <c r="G1838" s="23" t="s">
        <v>7701</v>
      </c>
      <c r="H1838" s="8" t="s">
        <v>2212</v>
      </c>
      <c r="I1838" s="8" t="s">
        <v>4039</v>
      </c>
    </row>
    <row r="1839" spans="1:9" ht="14.25" customHeight="1" x14ac:dyDescent="0.25">
      <c r="A1839" s="7" t="s">
        <v>7702</v>
      </c>
      <c r="B1839" s="8" t="s">
        <v>5385</v>
      </c>
      <c r="C1839" s="8" t="s">
        <v>7703</v>
      </c>
      <c r="D1839" s="8" t="s">
        <v>3163</v>
      </c>
      <c r="E1839" s="8" t="s">
        <v>412</v>
      </c>
      <c r="F1839" s="12" t="s">
        <v>7704</v>
      </c>
      <c r="G1839" s="24" t="s">
        <v>7705</v>
      </c>
      <c r="H1839" s="8" t="s">
        <v>82</v>
      </c>
      <c r="I1839" s="8" t="s">
        <v>4039</v>
      </c>
    </row>
    <row r="1840" spans="1:9" ht="14.25" customHeight="1" x14ac:dyDescent="0.25">
      <c r="A1840" s="7" t="s">
        <v>7706</v>
      </c>
      <c r="B1840" s="8" t="s">
        <v>5173</v>
      </c>
      <c r="C1840" s="8" t="s">
        <v>7707</v>
      </c>
      <c r="D1840" s="8" t="s">
        <v>411</v>
      </c>
      <c r="E1840" s="8" t="s">
        <v>412</v>
      </c>
      <c r="F1840" s="12" t="s">
        <v>7708</v>
      </c>
      <c r="G1840" s="8" t="s">
        <v>7709</v>
      </c>
      <c r="H1840" s="8" t="s">
        <v>4059</v>
      </c>
      <c r="I1840" s="8" t="s">
        <v>3756</v>
      </c>
    </row>
    <row r="1841" spans="1:9" ht="14.25" customHeight="1" x14ac:dyDescent="0.25">
      <c r="A1841" s="7" t="s">
        <v>7710</v>
      </c>
      <c r="B1841" s="8" t="s">
        <v>2208</v>
      </c>
      <c r="C1841" s="8" t="s">
        <v>7711</v>
      </c>
      <c r="D1841" s="8" t="s">
        <v>411</v>
      </c>
      <c r="E1841" s="8" t="s">
        <v>412</v>
      </c>
      <c r="F1841" s="12" t="s">
        <v>7712</v>
      </c>
      <c r="G1841" s="8" t="s">
        <v>7713</v>
      </c>
      <c r="H1841" s="8" t="s">
        <v>4330</v>
      </c>
      <c r="I1841" s="8" t="s">
        <v>3756</v>
      </c>
    </row>
    <row r="1842" spans="1:9" ht="14.25" customHeight="1" x14ac:dyDescent="0.25">
      <c r="A1842" s="19" t="s">
        <v>7714</v>
      </c>
      <c r="B1842" s="8" t="s">
        <v>1590</v>
      </c>
      <c r="C1842" s="8" t="s">
        <v>7715</v>
      </c>
      <c r="D1842" s="8" t="s">
        <v>411</v>
      </c>
      <c r="E1842" s="8" t="s">
        <v>3890</v>
      </c>
      <c r="I1842" s="8" t="s">
        <v>3756</v>
      </c>
    </row>
    <row r="1843" spans="1:9" ht="14.25" customHeight="1" x14ac:dyDescent="0.25">
      <c r="A1843" s="7" t="s">
        <v>7716</v>
      </c>
      <c r="B1843" s="8" t="s">
        <v>5546</v>
      </c>
      <c r="C1843" s="8" t="s">
        <v>3665</v>
      </c>
      <c r="D1843" s="8" t="s">
        <v>411</v>
      </c>
      <c r="E1843" s="8" t="s">
        <v>412</v>
      </c>
      <c r="I1843" s="8" t="s">
        <v>3756</v>
      </c>
    </row>
    <row r="1844" spans="1:9" ht="14.25" customHeight="1" x14ac:dyDescent="0.25">
      <c r="A1844" s="7" t="s">
        <v>7717</v>
      </c>
      <c r="B1844" s="8" t="s">
        <v>7718</v>
      </c>
      <c r="C1844" s="8" t="s">
        <v>7719</v>
      </c>
      <c r="D1844" s="8" t="s">
        <v>3163</v>
      </c>
      <c r="E1844" s="8" t="s">
        <v>412</v>
      </c>
      <c r="F1844" s="12" t="s">
        <v>7720</v>
      </c>
      <c r="G1844" s="8" t="s">
        <v>7721</v>
      </c>
      <c r="H1844" s="8" t="s">
        <v>15</v>
      </c>
      <c r="I1844" s="8" t="s">
        <v>4039</v>
      </c>
    </row>
    <row r="1845" spans="1:9" ht="14.25" customHeight="1" x14ac:dyDescent="0.25">
      <c r="A1845" s="7" t="s">
        <v>7722</v>
      </c>
      <c r="B1845" s="8" t="s">
        <v>4064</v>
      </c>
      <c r="C1845" s="8" t="s">
        <v>7723</v>
      </c>
      <c r="D1845" s="8" t="s">
        <v>3163</v>
      </c>
      <c r="E1845" s="8" t="s">
        <v>3890</v>
      </c>
      <c r="F1845" s="12" t="s">
        <v>7724</v>
      </c>
      <c r="G1845" s="8" t="s">
        <v>7725</v>
      </c>
      <c r="H1845" s="8" t="s">
        <v>72</v>
      </c>
      <c r="I1845" s="8" t="s">
        <v>3756</v>
      </c>
    </row>
    <row r="1846" spans="1:9" ht="14.25" customHeight="1" x14ac:dyDescent="0.25">
      <c r="A1846" s="7" t="s">
        <v>7726</v>
      </c>
      <c r="B1846" s="8" t="s">
        <v>1826</v>
      </c>
      <c r="C1846" s="8" t="s">
        <v>7727</v>
      </c>
      <c r="D1846" s="8" t="s">
        <v>411</v>
      </c>
      <c r="E1846" s="8" t="s">
        <v>3890</v>
      </c>
      <c r="G1846" s="8" t="s">
        <v>7725</v>
      </c>
      <c r="H1846" s="8" t="s">
        <v>72</v>
      </c>
      <c r="I1846" s="8" t="s">
        <v>3756</v>
      </c>
    </row>
    <row r="1847" spans="1:9" ht="14.25" customHeight="1" x14ac:dyDescent="0.25">
      <c r="A1847" s="7" t="s">
        <v>7728</v>
      </c>
      <c r="B1847" s="8" t="s">
        <v>7729</v>
      </c>
      <c r="C1847" s="8" t="s">
        <v>7730</v>
      </c>
      <c r="D1847" s="8" t="s">
        <v>411</v>
      </c>
      <c r="E1847" s="8" t="s">
        <v>412</v>
      </c>
      <c r="F1847" s="12" t="s">
        <v>7731</v>
      </c>
      <c r="G1847" s="8" t="s">
        <v>7732</v>
      </c>
      <c r="H1847" s="8" t="s">
        <v>6921</v>
      </c>
      <c r="I1847" s="8" t="s">
        <v>3756</v>
      </c>
    </row>
    <row r="1848" spans="1:9" ht="14.25" customHeight="1" x14ac:dyDescent="0.25">
      <c r="A1848" s="7" t="s">
        <v>7733</v>
      </c>
      <c r="B1848" s="8" t="s">
        <v>5405</v>
      </c>
      <c r="C1848" s="8" t="s">
        <v>7734</v>
      </c>
      <c r="D1848" s="8" t="s">
        <v>411</v>
      </c>
      <c r="E1848" s="8" t="s">
        <v>412</v>
      </c>
      <c r="F1848" s="11" t="s">
        <v>7735</v>
      </c>
      <c r="I1848" s="8" t="s">
        <v>3756</v>
      </c>
    </row>
    <row r="1849" spans="1:9" ht="14.25" customHeight="1" x14ac:dyDescent="0.25">
      <c r="A1849" s="7" t="s">
        <v>7736</v>
      </c>
      <c r="B1849" s="8" t="s">
        <v>276</v>
      </c>
      <c r="C1849" s="8" t="s">
        <v>1284</v>
      </c>
      <c r="D1849" s="8" t="s">
        <v>3163</v>
      </c>
      <c r="E1849" s="8" t="s">
        <v>3890</v>
      </c>
      <c r="F1849" s="12" t="s">
        <v>7737</v>
      </c>
      <c r="G1849" s="8" t="s">
        <v>7738</v>
      </c>
      <c r="H1849" s="8" t="s">
        <v>4199</v>
      </c>
      <c r="I1849" s="8" t="s">
        <v>4039</v>
      </c>
    </row>
    <row r="1850" spans="1:9" ht="14.25" customHeight="1" x14ac:dyDescent="0.25">
      <c r="A1850" s="7" t="s">
        <v>7739</v>
      </c>
      <c r="B1850" s="8" t="s">
        <v>1222</v>
      </c>
      <c r="C1850" s="8" t="s">
        <v>7740</v>
      </c>
      <c r="D1850" s="8" t="s">
        <v>411</v>
      </c>
      <c r="E1850" s="8" t="s">
        <v>3890</v>
      </c>
      <c r="G1850" s="8" t="s">
        <v>7738</v>
      </c>
      <c r="H1850" s="8" t="s">
        <v>4199</v>
      </c>
      <c r="I1850" s="8" t="s">
        <v>4039</v>
      </c>
    </row>
    <row r="1851" spans="1:9" ht="14.25" customHeight="1" x14ac:dyDescent="0.25">
      <c r="A1851" s="7" t="s">
        <v>7741</v>
      </c>
      <c r="B1851" s="8" t="s">
        <v>691</v>
      </c>
      <c r="C1851" s="8" t="s">
        <v>5319</v>
      </c>
      <c r="D1851" s="8" t="s">
        <v>3163</v>
      </c>
      <c r="E1851" s="8" t="s">
        <v>412</v>
      </c>
      <c r="F1851" s="12" t="s">
        <v>5320</v>
      </c>
      <c r="G1851" s="8" t="s">
        <v>7742</v>
      </c>
      <c r="H1851" s="8" t="s">
        <v>82</v>
      </c>
      <c r="I1851" s="8" t="s">
        <v>3756</v>
      </c>
    </row>
    <row r="1852" spans="1:9" ht="14.25" customHeight="1" x14ac:dyDescent="0.25">
      <c r="A1852" s="7" t="s">
        <v>7743</v>
      </c>
      <c r="B1852" s="8" t="s">
        <v>7744</v>
      </c>
      <c r="C1852" s="8" t="s">
        <v>7745</v>
      </c>
      <c r="D1852" s="8" t="s">
        <v>411</v>
      </c>
      <c r="E1852" s="8" t="s">
        <v>412</v>
      </c>
      <c r="F1852" s="12" t="s">
        <v>7746</v>
      </c>
      <c r="G1852" s="8" t="s">
        <v>7747</v>
      </c>
      <c r="H1852" s="8" t="s">
        <v>7748</v>
      </c>
      <c r="I1852" s="8" t="s">
        <v>4039</v>
      </c>
    </row>
    <row r="1853" spans="1:9" ht="14.25" customHeight="1" x14ac:dyDescent="0.25">
      <c r="A1853" s="7" t="s">
        <v>7749</v>
      </c>
      <c r="B1853" s="8" t="s">
        <v>4079</v>
      </c>
      <c r="C1853" s="8" t="s">
        <v>457</v>
      </c>
      <c r="D1853" s="8" t="s">
        <v>3163</v>
      </c>
      <c r="E1853" s="8" t="s">
        <v>3890</v>
      </c>
      <c r="F1853" s="12" t="s">
        <v>7750</v>
      </c>
      <c r="G1853" s="8" t="s">
        <v>7751</v>
      </c>
      <c r="H1853" s="8" t="s">
        <v>4199</v>
      </c>
      <c r="I1853" s="8" t="s">
        <v>3756</v>
      </c>
    </row>
    <row r="1854" spans="1:9" ht="14.25" customHeight="1" x14ac:dyDescent="0.25">
      <c r="A1854" s="7" t="s">
        <v>7752</v>
      </c>
      <c r="B1854" s="8" t="s">
        <v>7753</v>
      </c>
      <c r="C1854" s="8" t="s">
        <v>462</v>
      </c>
      <c r="D1854" s="8" t="s">
        <v>411</v>
      </c>
      <c r="E1854" s="8" t="s">
        <v>3890</v>
      </c>
      <c r="G1854" s="8" t="s">
        <v>7751</v>
      </c>
      <c r="H1854" s="8" t="s">
        <v>4199</v>
      </c>
      <c r="I1854" s="8" t="s">
        <v>3756</v>
      </c>
    </row>
    <row r="1855" spans="1:9" ht="14.25" customHeight="1" x14ac:dyDescent="0.25">
      <c r="A1855" s="7" t="s">
        <v>7754</v>
      </c>
      <c r="B1855" s="8" t="s">
        <v>7755</v>
      </c>
      <c r="C1855" s="8" t="s">
        <v>7756</v>
      </c>
      <c r="D1855" s="8" t="s">
        <v>3163</v>
      </c>
      <c r="E1855" s="8" t="s">
        <v>3890</v>
      </c>
      <c r="F1855" s="12" t="s">
        <v>7757</v>
      </c>
      <c r="G1855" s="8" t="s">
        <v>7758</v>
      </c>
      <c r="H1855" s="8" t="s">
        <v>37</v>
      </c>
      <c r="I1855" s="8" t="s">
        <v>3756</v>
      </c>
    </row>
    <row r="1856" spans="1:9" ht="14.25" customHeight="1" x14ac:dyDescent="0.25">
      <c r="A1856" s="7" t="s">
        <v>7759</v>
      </c>
      <c r="B1856" s="8" t="s">
        <v>2656</v>
      </c>
      <c r="C1856" s="8" t="s">
        <v>7756</v>
      </c>
      <c r="D1856" s="8" t="s">
        <v>411</v>
      </c>
      <c r="E1856" s="8" t="s">
        <v>3890</v>
      </c>
      <c r="G1856" s="8" t="s">
        <v>7758</v>
      </c>
      <c r="H1856" s="8" t="s">
        <v>37</v>
      </c>
      <c r="I1856" s="8" t="s">
        <v>3756</v>
      </c>
    </row>
    <row r="1857" spans="1:9" ht="14.25" customHeight="1" x14ac:dyDescent="0.25">
      <c r="A1857" s="7" t="s">
        <v>7760</v>
      </c>
      <c r="B1857" s="8" t="s">
        <v>4261</v>
      </c>
      <c r="C1857" s="8" t="s">
        <v>4262</v>
      </c>
      <c r="D1857" s="8" t="s">
        <v>411</v>
      </c>
      <c r="E1857" s="8" t="s">
        <v>412</v>
      </c>
      <c r="F1857" s="12" t="s">
        <v>4263</v>
      </c>
      <c r="G1857" s="8" t="s">
        <v>7761</v>
      </c>
      <c r="H1857" s="8" t="s">
        <v>4317</v>
      </c>
      <c r="I1857" s="8" t="s">
        <v>4371</v>
      </c>
    </row>
    <row r="1858" spans="1:9" ht="14.25" customHeight="1" x14ac:dyDescent="0.25">
      <c r="A1858" s="7" t="s">
        <v>7762</v>
      </c>
      <c r="B1858" s="8" t="s">
        <v>4687</v>
      </c>
      <c r="C1858" s="8" t="s">
        <v>7763</v>
      </c>
      <c r="D1858" s="8" t="s">
        <v>411</v>
      </c>
      <c r="E1858" s="8" t="s">
        <v>412</v>
      </c>
      <c r="F1858" s="11" t="s">
        <v>7764</v>
      </c>
      <c r="G1858" s="8" t="s">
        <v>7765</v>
      </c>
      <c r="H1858" s="8" t="s">
        <v>2212</v>
      </c>
      <c r="I1858" s="8" t="s">
        <v>5347</v>
      </c>
    </row>
    <row r="1859" spans="1:9" ht="14.25" customHeight="1" x14ac:dyDescent="0.25">
      <c r="A1859" s="7" t="s">
        <v>7766</v>
      </c>
      <c r="B1859" s="8" t="s">
        <v>2507</v>
      </c>
      <c r="C1859" s="8" t="s">
        <v>7767</v>
      </c>
      <c r="D1859" s="8" t="s">
        <v>411</v>
      </c>
      <c r="E1859" s="8" t="s">
        <v>412</v>
      </c>
      <c r="F1859" s="12" t="s">
        <v>7768</v>
      </c>
      <c r="G1859" s="8" t="s">
        <v>7769</v>
      </c>
      <c r="H1859" s="8" t="s">
        <v>4317</v>
      </c>
      <c r="I1859" s="8" t="s">
        <v>3756</v>
      </c>
    </row>
    <row r="1860" spans="1:9" ht="14.25" customHeight="1" x14ac:dyDescent="0.25">
      <c r="A1860" s="19" t="s">
        <v>7770</v>
      </c>
      <c r="B1860" s="8" t="s">
        <v>7771</v>
      </c>
      <c r="C1860" s="8" t="s">
        <v>7772</v>
      </c>
      <c r="D1860" s="8" t="s">
        <v>411</v>
      </c>
      <c r="E1860" s="8" t="s">
        <v>412</v>
      </c>
      <c r="F1860" s="12" t="s">
        <v>7773</v>
      </c>
    </row>
    <row r="1861" spans="1:9" ht="14.25" customHeight="1" x14ac:dyDescent="0.25">
      <c r="A1861" s="7" t="s">
        <v>7774</v>
      </c>
      <c r="B1861" s="8" t="s">
        <v>4700</v>
      </c>
      <c r="C1861" s="8" t="s">
        <v>7775</v>
      </c>
      <c r="D1861" s="8" t="s">
        <v>411</v>
      </c>
      <c r="E1861" s="8" t="s">
        <v>412</v>
      </c>
      <c r="F1861" s="12" t="s">
        <v>7776</v>
      </c>
      <c r="G1861" s="8" t="s">
        <v>7777</v>
      </c>
      <c r="H1861" s="8" t="s">
        <v>7778</v>
      </c>
      <c r="I1861" s="8" t="s">
        <v>5347</v>
      </c>
    </row>
    <row r="1862" spans="1:9" ht="14.25" customHeight="1" x14ac:dyDescent="0.25">
      <c r="A1862" s="7" t="s">
        <v>7779</v>
      </c>
      <c r="B1862" s="8" t="s">
        <v>7780</v>
      </c>
      <c r="C1862" s="8" t="s">
        <v>7781</v>
      </c>
      <c r="D1862" s="8" t="s">
        <v>3163</v>
      </c>
      <c r="E1862" s="8" t="s">
        <v>3890</v>
      </c>
      <c r="F1862" s="12" t="s">
        <v>7782</v>
      </c>
      <c r="G1862" s="8" t="s">
        <v>7783</v>
      </c>
      <c r="H1862" s="8" t="s">
        <v>7784</v>
      </c>
      <c r="I1862" s="8" t="s">
        <v>4039</v>
      </c>
    </row>
    <row r="1863" spans="1:9" ht="14.25" customHeight="1" x14ac:dyDescent="0.25">
      <c r="A1863" s="7" t="s">
        <v>7785</v>
      </c>
      <c r="B1863" s="8" t="s">
        <v>5586</v>
      </c>
      <c r="C1863" s="8" t="s">
        <v>7781</v>
      </c>
      <c r="D1863" s="8" t="s">
        <v>411</v>
      </c>
      <c r="E1863" s="8" t="s">
        <v>3890</v>
      </c>
      <c r="F1863" s="12" t="s">
        <v>7786</v>
      </c>
      <c r="G1863" s="8" t="s">
        <v>7783</v>
      </c>
      <c r="H1863" s="8" t="s">
        <v>7784</v>
      </c>
      <c r="I1863" s="8" t="s">
        <v>4039</v>
      </c>
    </row>
    <row r="1864" spans="1:9" ht="14.25" customHeight="1" x14ac:dyDescent="0.25">
      <c r="A1864" s="7" t="s">
        <v>7787</v>
      </c>
      <c r="B1864" s="8" t="s">
        <v>3019</v>
      </c>
      <c r="C1864" s="8" t="s">
        <v>2748</v>
      </c>
      <c r="D1864" s="8" t="s">
        <v>411</v>
      </c>
      <c r="E1864" s="8" t="s">
        <v>412</v>
      </c>
      <c r="F1864" s="12" t="s">
        <v>7788</v>
      </c>
      <c r="H1864" s="8" t="s">
        <v>7789</v>
      </c>
      <c r="I1864" s="8" t="s">
        <v>3756</v>
      </c>
    </row>
    <row r="1865" spans="1:9" ht="14.25" customHeight="1" x14ac:dyDescent="0.25">
      <c r="A1865" s="7" t="s">
        <v>7790</v>
      </c>
      <c r="B1865" s="8" t="s">
        <v>1767</v>
      </c>
      <c r="C1865" s="8" t="s">
        <v>7791</v>
      </c>
      <c r="D1865" s="8" t="s">
        <v>3163</v>
      </c>
      <c r="E1865" s="8" t="s">
        <v>412</v>
      </c>
      <c r="F1865" s="12" t="s">
        <v>7792</v>
      </c>
      <c r="H1865" s="8" t="s">
        <v>2212</v>
      </c>
      <c r="I1865" s="8" t="s">
        <v>4039</v>
      </c>
    </row>
    <row r="1866" spans="1:9" ht="14.25" customHeight="1" x14ac:dyDescent="0.25">
      <c r="A1866" s="7" t="s">
        <v>7793</v>
      </c>
      <c r="B1866" s="8" t="s">
        <v>7794</v>
      </c>
      <c r="C1866" s="8" t="s">
        <v>7795</v>
      </c>
      <c r="D1866" s="8" t="s">
        <v>411</v>
      </c>
      <c r="E1866" s="8" t="s">
        <v>412</v>
      </c>
      <c r="F1866" s="12" t="s">
        <v>7796</v>
      </c>
      <c r="G1866" s="8"/>
      <c r="H1866" s="8" t="s">
        <v>2212</v>
      </c>
      <c r="I1866" s="8" t="s">
        <v>4039</v>
      </c>
    </row>
    <row r="1867" spans="1:9" ht="14.25" customHeight="1" x14ac:dyDescent="0.25">
      <c r="A1867" s="7" t="s">
        <v>7797</v>
      </c>
      <c r="B1867" s="8" t="s">
        <v>4515</v>
      </c>
      <c r="C1867" s="8" t="s">
        <v>7798</v>
      </c>
      <c r="D1867" s="8" t="s">
        <v>411</v>
      </c>
      <c r="E1867" s="8" t="s">
        <v>412</v>
      </c>
      <c r="F1867" s="12" t="s">
        <v>7799</v>
      </c>
      <c r="G1867" s="8" t="s">
        <v>7800</v>
      </c>
      <c r="H1867" s="8" t="s">
        <v>92</v>
      </c>
      <c r="I1867" s="8" t="s">
        <v>4039</v>
      </c>
    </row>
    <row r="1868" spans="1:9" ht="14.25" customHeight="1" x14ac:dyDescent="0.25">
      <c r="A1868" s="7" t="s">
        <v>7801</v>
      </c>
      <c r="B1868" s="8" t="s">
        <v>4729</v>
      </c>
      <c r="C1868" s="8" t="s">
        <v>7802</v>
      </c>
      <c r="D1868" s="8" t="s">
        <v>3163</v>
      </c>
      <c r="E1868" s="8" t="s">
        <v>412</v>
      </c>
      <c r="F1868" s="12" t="s">
        <v>7803</v>
      </c>
      <c r="G1868" s="8" t="s">
        <v>7804</v>
      </c>
      <c r="H1868" s="8" t="s">
        <v>5213</v>
      </c>
      <c r="I1868" s="8" t="s">
        <v>3756</v>
      </c>
    </row>
    <row r="1869" spans="1:9" ht="14.25" customHeight="1" x14ac:dyDescent="0.25">
      <c r="A1869" s="7" t="s">
        <v>7805</v>
      </c>
      <c r="B1869" s="8" t="s">
        <v>7806</v>
      </c>
      <c r="C1869" s="8" t="s">
        <v>7807</v>
      </c>
      <c r="D1869" s="8" t="s">
        <v>3163</v>
      </c>
      <c r="E1869" s="8" t="s">
        <v>412</v>
      </c>
      <c r="F1869" s="12" t="s">
        <v>7808</v>
      </c>
      <c r="G1869" s="8" t="s">
        <v>7809</v>
      </c>
      <c r="H1869" s="8" t="s">
        <v>92</v>
      </c>
      <c r="I1869" s="8" t="s">
        <v>4039</v>
      </c>
    </row>
    <row r="1870" spans="1:9" ht="14.25" customHeight="1" x14ac:dyDescent="0.25">
      <c r="A1870" s="7" t="s">
        <v>7810</v>
      </c>
      <c r="B1870" s="8" t="s">
        <v>7811</v>
      </c>
      <c r="C1870" s="8" t="s">
        <v>7812</v>
      </c>
      <c r="D1870" s="8" t="s">
        <v>411</v>
      </c>
      <c r="E1870" s="8" t="s">
        <v>412</v>
      </c>
      <c r="F1870" s="12" t="s">
        <v>7813</v>
      </c>
      <c r="G1870" s="8" t="s">
        <v>7814</v>
      </c>
      <c r="H1870" s="8" t="s">
        <v>61</v>
      </c>
      <c r="I1870" s="8" t="s">
        <v>3756</v>
      </c>
    </row>
    <row r="1871" spans="1:9" ht="14.25" customHeight="1" x14ac:dyDescent="0.25">
      <c r="A1871" s="7" t="s">
        <v>7815</v>
      </c>
      <c r="B1871" s="8" t="s">
        <v>7816</v>
      </c>
      <c r="C1871" s="8" t="s">
        <v>7817</v>
      </c>
      <c r="D1871" s="8" t="s">
        <v>411</v>
      </c>
      <c r="E1871" s="8" t="s">
        <v>412</v>
      </c>
      <c r="F1871" s="12" t="s">
        <v>7818</v>
      </c>
      <c r="G1871" s="8" t="s">
        <v>7819</v>
      </c>
      <c r="H1871" s="8" t="s">
        <v>72</v>
      </c>
      <c r="I1871" s="8" t="s">
        <v>3756</v>
      </c>
    </row>
    <row r="1872" spans="1:9" ht="14.25" customHeight="1" x14ac:dyDescent="0.25">
      <c r="A1872" s="7" t="s">
        <v>7820</v>
      </c>
      <c r="B1872" s="8" t="s">
        <v>606</v>
      </c>
      <c r="C1872" s="8" t="s">
        <v>7821</v>
      </c>
      <c r="D1872" s="8" t="s">
        <v>411</v>
      </c>
      <c r="E1872" s="8" t="s">
        <v>412</v>
      </c>
      <c r="F1872" s="12" t="s">
        <v>7822</v>
      </c>
      <c r="G1872" s="8"/>
      <c r="H1872" s="8" t="s">
        <v>3918</v>
      </c>
      <c r="I1872" s="8" t="s">
        <v>4039</v>
      </c>
    </row>
    <row r="1873" spans="1:9" ht="14.25" customHeight="1" x14ac:dyDescent="0.25">
      <c r="A1873" s="7" t="s">
        <v>7823</v>
      </c>
      <c r="B1873" s="8" t="s">
        <v>6235</v>
      </c>
      <c r="C1873" s="8" t="s">
        <v>7824</v>
      </c>
      <c r="D1873" s="8" t="s">
        <v>411</v>
      </c>
      <c r="E1873" s="8" t="s">
        <v>412</v>
      </c>
      <c r="G1873" s="8"/>
      <c r="I1873" s="8" t="s">
        <v>3756</v>
      </c>
    </row>
    <row r="1874" spans="1:9" ht="14.25" customHeight="1" x14ac:dyDescent="0.25">
      <c r="A1874" s="7" t="s">
        <v>7825</v>
      </c>
      <c r="B1874" s="8" t="s">
        <v>7826</v>
      </c>
      <c r="C1874" s="8" t="s">
        <v>7827</v>
      </c>
      <c r="D1874" s="8" t="s">
        <v>3163</v>
      </c>
      <c r="E1874" s="8" t="s">
        <v>412</v>
      </c>
      <c r="F1874" s="12" t="s">
        <v>7828</v>
      </c>
      <c r="G1874" s="8"/>
      <c r="H1874" s="8" t="s">
        <v>2212</v>
      </c>
      <c r="I1874" s="8" t="s">
        <v>4039</v>
      </c>
    </row>
    <row r="1875" spans="1:9" ht="14.25" customHeight="1" x14ac:dyDescent="0.25">
      <c r="A1875" s="7" t="s">
        <v>7829</v>
      </c>
      <c r="B1875" s="8" t="s">
        <v>7830</v>
      </c>
      <c r="C1875" s="8" t="s">
        <v>1173</v>
      </c>
      <c r="D1875" s="8" t="s">
        <v>411</v>
      </c>
      <c r="E1875" s="8" t="s">
        <v>412</v>
      </c>
      <c r="F1875" s="12" t="s">
        <v>7831</v>
      </c>
      <c r="G1875" s="8" t="s">
        <v>7832</v>
      </c>
      <c r="H1875" s="8" t="s">
        <v>2212</v>
      </c>
      <c r="I1875" s="8" t="s">
        <v>4039</v>
      </c>
    </row>
    <row r="1876" spans="1:9" ht="14.25" customHeight="1" x14ac:dyDescent="0.25">
      <c r="A1876" s="7" t="s">
        <v>7833</v>
      </c>
      <c r="B1876" s="8" t="s">
        <v>7834</v>
      </c>
      <c r="C1876" s="8" t="s">
        <v>7835</v>
      </c>
      <c r="D1876" s="8" t="s">
        <v>3163</v>
      </c>
      <c r="E1876" s="8" t="s">
        <v>412</v>
      </c>
      <c r="F1876" s="12" t="s">
        <v>7836</v>
      </c>
      <c r="G1876" s="8" t="s">
        <v>7837</v>
      </c>
      <c r="H1876" s="8" t="s">
        <v>7838</v>
      </c>
      <c r="I1876" s="8" t="s">
        <v>4039</v>
      </c>
    </row>
    <row r="1877" spans="1:9" ht="14.25" customHeight="1" x14ac:dyDescent="0.25">
      <c r="A1877" s="7" t="s">
        <v>7839</v>
      </c>
      <c r="B1877" s="8" t="s">
        <v>3829</v>
      </c>
      <c r="C1877" s="8" t="s">
        <v>7840</v>
      </c>
      <c r="D1877" s="8" t="s">
        <v>411</v>
      </c>
      <c r="E1877" s="8" t="s">
        <v>412</v>
      </c>
      <c r="F1877" s="12" t="s">
        <v>7841</v>
      </c>
      <c r="G1877" s="8" t="s">
        <v>7842</v>
      </c>
      <c r="H1877" s="8" t="s">
        <v>2212</v>
      </c>
      <c r="I1877" s="8" t="s">
        <v>3756</v>
      </c>
    </row>
    <row r="1878" spans="1:9" ht="14.25" customHeight="1" x14ac:dyDescent="0.25">
      <c r="A1878" s="7" t="s">
        <v>7843</v>
      </c>
      <c r="B1878" s="8" t="s">
        <v>7844</v>
      </c>
      <c r="C1878" s="8" t="s">
        <v>7845</v>
      </c>
      <c r="D1878" s="8" t="s">
        <v>411</v>
      </c>
      <c r="E1878" s="8" t="s">
        <v>3890</v>
      </c>
      <c r="F1878" s="12" t="s">
        <v>7846</v>
      </c>
      <c r="G1878" s="8" t="s">
        <v>7847</v>
      </c>
      <c r="H1878" s="8" t="s">
        <v>61</v>
      </c>
      <c r="I1878" s="8" t="s">
        <v>4039</v>
      </c>
    </row>
    <row r="1879" spans="1:9" ht="14.25" customHeight="1" x14ac:dyDescent="0.25">
      <c r="A1879" s="7" t="s">
        <v>7848</v>
      </c>
      <c r="B1879" s="8" t="s">
        <v>7849</v>
      </c>
      <c r="C1879" s="8" t="s">
        <v>7850</v>
      </c>
      <c r="D1879" s="8" t="s">
        <v>3163</v>
      </c>
      <c r="E1879" s="8" t="s">
        <v>3890</v>
      </c>
      <c r="F1879" s="12" t="s">
        <v>7851</v>
      </c>
      <c r="G1879" s="8" t="s">
        <v>7847</v>
      </c>
      <c r="H1879" s="8" t="s">
        <v>61</v>
      </c>
      <c r="I1879" s="8" t="s">
        <v>4039</v>
      </c>
    </row>
    <row r="1880" spans="1:9" ht="14.25" customHeight="1" x14ac:dyDescent="0.25">
      <c r="A1880" s="7" t="s">
        <v>7852</v>
      </c>
      <c r="B1880" s="8" t="s">
        <v>447</v>
      </c>
      <c r="C1880" s="8" t="s">
        <v>337</v>
      </c>
      <c r="D1880" s="8" t="s">
        <v>3163</v>
      </c>
      <c r="E1880" s="8" t="s">
        <v>3890</v>
      </c>
      <c r="F1880" s="11" t="s">
        <v>7853</v>
      </c>
      <c r="G1880" s="8" t="s">
        <v>7854</v>
      </c>
      <c r="H1880" s="8" t="s">
        <v>37</v>
      </c>
      <c r="I1880" s="8" t="s">
        <v>3756</v>
      </c>
    </row>
    <row r="1881" spans="1:9" ht="14.25" customHeight="1" x14ac:dyDescent="0.25">
      <c r="A1881" s="7" t="s">
        <v>7855</v>
      </c>
      <c r="B1881" s="8" t="s">
        <v>944</v>
      </c>
      <c r="C1881" s="8" t="s">
        <v>3536</v>
      </c>
      <c r="D1881" s="8" t="s">
        <v>411</v>
      </c>
      <c r="E1881" s="8" t="s">
        <v>3890</v>
      </c>
      <c r="F1881" s="12" t="s">
        <v>7856</v>
      </c>
      <c r="G1881" s="8" t="s">
        <v>7857</v>
      </c>
      <c r="H1881" s="8" t="s">
        <v>49</v>
      </c>
      <c r="I1881" s="8" t="s">
        <v>3756</v>
      </c>
    </row>
    <row r="1882" spans="1:9" ht="14.25" customHeight="1" x14ac:dyDescent="0.25">
      <c r="A1882" s="7" t="s">
        <v>7858</v>
      </c>
      <c r="B1882" s="8" t="s">
        <v>2006</v>
      </c>
      <c r="C1882" s="8" t="s">
        <v>7859</v>
      </c>
      <c r="D1882" s="8" t="s">
        <v>3163</v>
      </c>
      <c r="E1882" s="8" t="s">
        <v>412</v>
      </c>
      <c r="F1882" s="12" t="s">
        <v>7860</v>
      </c>
      <c r="G1882" s="8" t="s">
        <v>7861</v>
      </c>
      <c r="H1882" s="8" t="s">
        <v>4272</v>
      </c>
      <c r="I1882" s="8" t="s">
        <v>3756</v>
      </c>
    </row>
    <row r="1883" spans="1:9" ht="14.25" customHeight="1" x14ac:dyDescent="0.25">
      <c r="A1883" s="7" t="s">
        <v>7862</v>
      </c>
      <c r="B1883" s="8" t="s">
        <v>7863</v>
      </c>
      <c r="C1883" s="8" t="s">
        <v>7864</v>
      </c>
      <c r="D1883" s="8" t="s">
        <v>3163</v>
      </c>
      <c r="E1883" s="8" t="s">
        <v>412</v>
      </c>
      <c r="F1883" s="12" t="s">
        <v>7865</v>
      </c>
      <c r="G1883" s="8" t="s">
        <v>7866</v>
      </c>
      <c r="H1883" s="8" t="s">
        <v>7867</v>
      </c>
      <c r="I1883" s="8" t="s">
        <v>3756</v>
      </c>
    </row>
    <row r="1884" spans="1:9" ht="14.25" customHeight="1" x14ac:dyDescent="0.25">
      <c r="A1884" s="7" t="s">
        <v>7868</v>
      </c>
      <c r="B1884" s="8" t="s">
        <v>2972</v>
      </c>
      <c r="C1884" s="8" t="s">
        <v>7869</v>
      </c>
      <c r="D1884" s="8" t="s">
        <v>411</v>
      </c>
      <c r="E1884" s="8" t="s">
        <v>3890</v>
      </c>
      <c r="F1884" s="12" t="s">
        <v>7870</v>
      </c>
      <c r="G1884" s="8" t="s">
        <v>7871</v>
      </c>
      <c r="H1884" s="8" t="s">
        <v>72</v>
      </c>
      <c r="I1884" s="8" t="s">
        <v>3756</v>
      </c>
    </row>
    <row r="1885" spans="1:9" ht="14.25" customHeight="1" x14ac:dyDescent="0.25">
      <c r="A1885" s="7" t="s">
        <v>7872</v>
      </c>
      <c r="B1885" s="8" t="s">
        <v>966</v>
      </c>
      <c r="C1885" s="8" t="s">
        <v>7869</v>
      </c>
      <c r="D1885" s="8" t="s">
        <v>3163</v>
      </c>
      <c r="E1885" s="8" t="s">
        <v>3890</v>
      </c>
      <c r="G1885" s="8" t="s">
        <v>7871</v>
      </c>
      <c r="H1885" s="8" t="s">
        <v>72</v>
      </c>
      <c r="I1885" s="8" t="s">
        <v>3756</v>
      </c>
    </row>
    <row r="1886" spans="1:9" ht="14.25" customHeight="1" x14ac:dyDescent="0.25">
      <c r="A1886" s="7" t="s">
        <v>7873</v>
      </c>
      <c r="B1886" s="8" t="s">
        <v>7874</v>
      </c>
      <c r="C1886" s="8" t="s">
        <v>7875</v>
      </c>
      <c r="D1886" s="8" t="s">
        <v>411</v>
      </c>
      <c r="E1886" s="8" t="s">
        <v>412</v>
      </c>
      <c r="F1886" s="12" t="s">
        <v>7876</v>
      </c>
      <c r="G1886" s="8" t="s">
        <v>7877</v>
      </c>
      <c r="H1886" s="8" t="s">
        <v>37</v>
      </c>
      <c r="I1886" s="8" t="s">
        <v>4371</v>
      </c>
    </row>
    <row r="1887" spans="1:9" ht="14.25" customHeight="1" x14ac:dyDescent="0.25">
      <c r="A1887" s="7" t="s">
        <v>7878</v>
      </c>
      <c r="B1887" s="8" t="s">
        <v>7879</v>
      </c>
      <c r="C1887" s="8" t="s">
        <v>7880</v>
      </c>
      <c r="D1887" s="8" t="s">
        <v>3163</v>
      </c>
      <c r="E1887" s="8" t="s">
        <v>3890</v>
      </c>
      <c r="F1887" s="12" t="s">
        <v>7881</v>
      </c>
      <c r="G1887" s="23" t="s">
        <v>7882</v>
      </c>
      <c r="H1887" s="8" t="s">
        <v>5213</v>
      </c>
      <c r="I1887" s="8" t="s">
        <v>4039</v>
      </c>
    </row>
    <row r="1888" spans="1:9" ht="14.25" customHeight="1" x14ac:dyDescent="0.25">
      <c r="A1888" s="7" t="s">
        <v>7883</v>
      </c>
      <c r="B1888" s="8" t="s">
        <v>1458</v>
      </c>
      <c r="C1888" s="8" t="s">
        <v>7880</v>
      </c>
      <c r="D1888" s="8" t="s">
        <v>411</v>
      </c>
      <c r="E1888" s="8" t="s">
        <v>3890</v>
      </c>
      <c r="G1888" s="23" t="s">
        <v>7882</v>
      </c>
      <c r="H1888" s="8" t="s">
        <v>5213</v>
      </c>
      <c r="I1888" s="8" t="s">
        <v>4039</v>
      </c>
    </row>
    <row r="1889" spans="1:9" ht="14.25" customHeight="1" x14ac:dyDescent="0.25">
      <c r="A1889" s="7" t="s">
        <v>7884</v>
      </c>
      <c r="B1889" s="8" t="s">
        <v>1567</v>
      </c>
      <c r="C1889" s="8" t="s">
        <v>7885</v>
      </c>
      <c r="D1889" s="8" t="s">
        <v>411</v>
      </c>
      <c r="E1889" s="8" t="s">
        <v>412</v>
      </c>
      <c r="F1889" s="12" t="s">
        <v>7886</v>
      </c>
      <c r="G1889" s="23" t="s">
        <v>7887</v>
      </c>
      <c r="H1889" s="8" t="s">
        <v>7888</v>
      </c>
      <c r="I1889" s="8" t="s">
        <v>4039</v>
      </c>
    </row>
    <row r="1890" spans="1:9" ht="14.25" customHeight="1" x14ac:dyDescent="0.25">
      <c r="A1890" s="7" t="s">
        <v>7889</v>
      </c>
      <c r="B1890" s="8" t="s">
        <v>1529</v>
      </c>
      <c r="C1890" s="8" t="s">
        <v>7890</v>
      </c>
      <c r="D1890" s="8" t="s">
        <v>411</v>
      </c>
      <c r="E1890" s="8" t="s">
        <v>412</v>
      </c>
      <c r="F1890" s="12" t="s">
        <v>7891</v>
      </c>
      <c r="G1890" s="23" t="s">
        <v>7892</v>
      </c>
      <c r="H1890" s="8" t="s">
        <v>2212</v>
      </c>
      <c r="I1890" s="8" t="s">
        <v>4039</v>
      </c>
    </row>
    <row r="1891" spans="1:9" ht="14.25" customHeight="1" x14ac:dyDescent="0.25">
      <c r="A1891" s="7" t="s">
        <v>7893</v>
      </c>
      <c r="B1891" s="8" t="s">
        <v>7894</v>
      </c>
      <c r="C1891" s="8" t="s">
        <v>7895</v>
      </c>
      <c r="D1891" s="8" t="s">
        <v>3163</v>
      </c>
      <c r="E1891" s="8" t="s">
        <v>3890</v>
      </c>
    </row>
    <row r="1892" spans="1:9" ht="14.25" customHeight="1" x14ac:dyDescent="0.25">
      <c r="A1892" s="7" t="s">
        <v>7896</v>
      </c>
      <c r="B1892" s="8" t="s">
        <v>6360</v>
      </c>
      <c r="C1892" s="8" t="s">
        <v>7897</v>
      </c>
      <c r="D1892" s="8" t="s">
        <v>411</v>
      </c>
      <c r="E1892" s="8" t="s">
        <v>3890</v>
      </c>
      <c r="F1892" s="11"/>
    </row>
    <row r="1893" spans="1:9" ht="14.25" customHeight="1" x14ac:dyDescent="0.25">
      <c r="A1893" s="7" t="s">
        <v>7898</v>
      </c>
      <c r="B1893" s="8" t="s">
        <v>1072</v>
      </c>
      <c r="C1893" s="8" t="s">
        <v>7899</v>
      </c>
      <c r="D1893" s="8" t="s">
        <v>3163</v>
      </c>
      <c r="E1893" s="8" t="s">
        <v>412</v>
      </c>
      <c r="F1893" s="11" t="s">
        <v>7900</v>
      </c>
      <c r="G1893" s="8" t="s">
        <v>7901</v>
      </c>
      <c r="H1893" s="8" t="s">
        <v>5570</v>
      </c>
      <c r="I1893" s="8" t="s">
        <v>3756</v>
      </c>
    </row>
    <row r="1894" spans="1:9" ht="14.25" customHeight="1" x14ac:dyDescent="0.25">
      <c r="A1894" s="7" t="s">
        <v>7902</v>
      </c>
      <c r="B1894" s="8" t="s">
        <v>349</v>
      </c>
      <c r="C1894" s="8" t="s">
        <v>7903</v>
      </c>
      <c r="D1894" s="8" t="s">
        <v>411</v>
      </c>
      <c r="E1894" s="8" t="s">
        <v>3890</v>
      </c>
      <c r="F1894" s="11" t="s">
        <v>7904</v>
      </c>
      <c r="G1894" s="8" t="s">
        <v>7905</v>
      </c>
      <c r="H1894" s="8" t="s">
        <v>4330</v>
      </c>
      <c r="I1894" s="8" t="s">
        <v>3756</v>
      </c>
    </row>
    <row r="1895" spans="1:9" ht="14.25" customHeight="1" x14ac:dyDescent="0.25">
      <c r="A1895" s="7" t="s">
        <v>7906</v>
      </c>
      <c r="B1895" s="8" t="s">
        <v>7907</v>
      </c>
      <c r="C1895" s="8" t="s">
        <v>7908</v>
      </c>
      <c r="D1895" s="8" t="s">
        <v>3163</v>
      </c>
      <c r="E1895" s="8" t="s">
        <v>3890</v>
      </c>
      <c r="F1895" s="11"/>
      <c r="I1895" s="8" t="s">
        <v>3756</v>
      </c>
    </row>
    <row r="1896" spans="1:9" ht="14.25" customHeight="1" x14ac:dyDescent="0.25">
      <c r="A1896" s="7" t="s">
        <v>7909</v>
      </c>
      <c r="B1896" s="8" t="s">
        <v>57</v>
      </c>
      <c r="C1896" s="8" t="s">
        <v>7910</v>
      </c>
      <c r="D1896" s="8" t="s">
        <v>3163</v>
      </c>
      <c r="E1896" s="8" t="s">
        <v>412</v>
      </c>
      <c r="F1896" s="11" t="s">
        <v>7911</v>
      </c>
      <c r="I1896" s="8" t="s">
        <v>3756</v>
      </c>
    </row>
    <row r="1897" spans="1:9" ht="14.25" customHeight="1" x14ac:dyDescent="0.25">
      <c r="A1897" s="7" t="s">
        <v>7912</v>
      </c>
      <c r="B1897" s="8" t="s">
        <v>7913</v>
      </c>
      <c r="C1897" s="8" t="s">
        <v>7914</v>
      </c>
      <c r="D1897" s="8" t="s">
        <v>3163</v>
      </c>
      <c r="E1897" s="8" t="s">
        <v>3890</v>
      </c>
      <c r="F1897" s="11" t="s">
        <v>7915</v>
      </c>
      <c r="G1897" s="8" t="s">
        <v>7916</v>
      </c>
      <c r="H1897" s="8" t="s">
        <v>7917</v>
      </c>
      <c r="I1897" s="8" t="s">
        <v>4039</v>
      </c>
    </row>
    <row r="1898" spans="1:9" ht="14.25" customHeight="1" x14ac:dyDescent="0.25">
      <c r="A1898" s="7" t="s">
        <v>7918</v>
      </c>
      <c r="B1898" s="8" t="s">
        <v>7919</v>
      </c>
      <c r="C1898" s="8" t="s">
        <v>7920</v>
      </c>
      <c r="D1898" s="8" t="s">
        <v>411</v>
      </c>
      <c r="E1898" s="8" t="s">
        <v>3890</v>
      </c>
      <c r="F1898" s="11"/>
      <c r="I1898" s="8" t="s">
        <v>4039</v>
      </c>
    </row>
    <row r="1899" spans="1:9" ht="14.25" customHeight="1" x14ac:dyDescent="0.25">
      <c r="A1899" s="7" t="s">
        <v>12049</v>
      </c>
      <c r="B1899" s="8" t="s">
        <v>7921</v>
      </c>
      <c r="C1899" s="8" t="s">
        <v>7922</v>
      </c>
      <c r="D1899" s="8" t="s">
        <v>411</v>
      </c>
      <c r="E1899" s="8" t="s">
        <v>412</v>
      </c>
      <c r="F1899" s="11" t="s">
        <v>7923</v>
      </c>
      <c r="G1899" s="8" t="s">
        <v>7924</v>
      </c>
      <c r="H1899" s="8" t="s">
        <v>82</v>
      </c>
      <c r="I1899" s="8" t="s">
        <v>4039</v>
      </c>
    </row>
    <row r="1900" spans="1:9" ht="14.25" customHeight="1" x14ac:dyDescent="0.25">
      <c r="A1900" s="7" t="s">
        <v>7925</v>
      </c>
      <c r="B1900" s="8" t="s">
        <v>7926</v>
      </c>
      <c r="C1900" s="8" t="s">
        <v>7927</v>
      </c>
      <c r="D1900" s="8" t="s">
        <v>411</v>
      </c>
      <c r="E1900" s="8" t="s">
        <v>412</v>
      </c>
      <c r="F1900" s="11" t="s">
        <v>7928</v>
      </c>
      <c r="G1900" s="8" t="s">
        <v>7929</v>
      </c>
      <c r="H1900" s="8" t="s">
        <v>25</v>
      </c>
      <c r="I1900" s="8" t="s">
        <v>4039</v>
      </c>
    </row>
    <row r="1901" spans="1:9" ht="14.25" customHeight="1" x14ac:dyDescent="0.25">
      <c r="A1901" s="7" t="s">
        <v>7930</v>
      </c>
      <c r="B1901" s="8" t="s">
        <v>7931</v>
      </c>
      <c r="C1901" s="8" t="s">
        <v>7932</v>
      </c>
      <c r="D1901" s="8" t="s">
        <v>3163</v>
      </c>
      <c r="E1901" s="8" t="s">
        <v>3890</v>
      </c>
      <c r="F1901" s="11" t="s">
        <v>7933</v>
      </c>
      <c r="G1901" s="8" t="s">
        <v>7934</v>
      </c>
      <c r="H1901" s="8" t="s">
        <v>72</v>
      </c>
      <c r="I1901" s="8" t="s">
        <v>3756</v>
      </c>
    </row>
    <row r="1902" spans="1:9" ht="14.25" customHeight="1" x14ac:dyDescent="0.25">
      <c r="A1902" s="7" t="s">
        <v>7935</v>
      </c>
      <c r="B1902" s="8" t="s">
        <v>7936</v>
      </c>
      <c r="C1902" s="8" t="s">
        <v>7937</v>
      </c>
      <c r="D1902" s="8" t="s">
        <v>411</v>
      </c>
      <c r="E1902" s="8" t="s">
        <v>3890</v>
      </c>
      <c r="F1902" s="11"/>
      <c r="I1902" s="8" t="s">
        <v>3756</v>
      </c>
    </row>
    <row r="1903" spans="1:9" ht="14.25" customHeight="1" x14ac:dyDescent="0.25">
      <c r="A1903" s="7" t="s">
        <v>7938</v>
      </c>
      <c r="B1903" s="8" t="s">
        <v>7435</v>
      </c>
      <c r="C1903" s="8" t="s">
        <v>7939</v>
      </c>
      <c r="D1903" s="8" t="s">
        <v>411</v>
      </c>
      <c r="E1903" s="8" t="s">
        <v>3890</v>
      </c>
      <c r="F1903" s="12" t="s">
        <v>7940</v>
      </c>
      <c r="G1903" s="24" t="s">
        <v>7941</v>
      </c>
      <c r="H1903" s="8" t="s">
        <v>72</v>
      </c>
      <c r="I1903" s="8" t="s">
        <v>4039</v>
      </c>
    </row>
    <row r="1904" spans="1:9" ht="14.25" customHeight="1" x14ac:dyDescent="0.25">
      <c r="A1904" s="7" t="s">
        <v>7942</v>
      </c>
      <c r="B1904" s="8" t="s">
        <v>447</v>
      </c>
      <c r="C1904" s="8" t="s">
        <v>7939</v>
      </c>
      <c r="D1904" s="8" t="s">
        <v>3163</v>
      </c>
      <c r="E1904" s="8" t="s">
        <v>3890</v>
      </c>
      <c r="F1904" s="12" t="s">
        <v>7943</v>
      </c>
      <c r="G1904" s="24" t="s">
        <v>7941</v>
      </c>
      <c r="H1904" s="8" t="s">
        <v>72</v>
      </c>
      <c r="I1904" s="8" t="s">
        <v>4039</v>
      </c>
    </row>
    <row r="1905" spans="1:9" ht="14.25" customHeight="1" x14ac:dyDescent="0.25">
      <c r="A1905" s="7" t="s">
        <v>7944</v>
      </c>
      <c r="B1905" s="8" t="s">
        <v>7643</v>
      </c>
      <c r="C1905" s="8" t="s">
        <v>7945</v>
      </c>
      <c r="D1905" s="8" t="s">
        <v>3163</v>
      </c>
      <c r="E1905" s="8" t="s">
        <v>412</v>
      </c>
      <c r="F1905" s="12" t="s">
        <v>7946</v>
      </c>
      <c r="G1905" s="23" t="s">
        <v>7947</v>
      </c>
      <c r="H1905" s="8" t="s">
        <v>4199</v>
      </c>
      <c r="I1905" s="8" t="s">
        <v>3756</v>
      </c>
    </row>
    <row r="1906" spans="1:9" ht="14.25" customHeight="1" x14ac:dyDescent="0.25">
      <c r="A1906" s="7" t="s">
        <v>7948</v>
      </c>
      <c r="B1906" s="8" t="s">
        <v>4056</v>
      </c>
      <c r="C1906" s="8" t="s">
        <v>7949</v>
      </c>
      <c r="D1906" s="8" t="s">
        <v>3163</v>
      </c>
      <c r="E1906" s="8" t="s">
        <v>412</v>
      </c>
    </row>
    <row r="1907" spans="1:9" ht="14.25" customHeight="1" x14ac:dyDescent="0.25">
      <c r="A1907" s="7" t="s">
        <v>7950</v>
      </c>
      <c r="B1907" s="8" t="s">
        <v>4064</v>
      </c>
      <c r="C1907" s="8" t="s">
        <v>7951</v>
      </c>
      <c r="D1907" s="8" t="s">
        <v>3163</v>
      </c>
      <c r="E1907" s="8" t="s">
        <v>412</v>
      </c>
      <c r="F1907" s="11"/>
    </row>
    <row r="1908" spans="1:9" ht="14.25" customHeight="1" x14ac:dyDescent="0.25">
      <c r="A1908" s="7" t="s">
        <v>7952</v>
      </c>
      <c r="B1908" s="8" t="s">
        <v>7953</v>
      </c>
      <c r="C1908" s="8" t="s">
        <v>7954</v>
      </c>
      <c r="D1908" s="8" t="s">
        <v>411</v>
      </c>
      <c r="E1908" s="8" t="s">
        <v>412</v>
      </c>
      <c r="F1908" s="11"/>
    </row>
    <row r="1909" spans="1:9" ht="14.25" customHeight="1" x14ac:dyDescent="0.25">
      <c r="A1909" s="7" t="s">
        <v>7955</v>
      </c>
      <c r="B1909" s="8" t="s">
        <v>7956</v>
      </c>
      <c r="C1909" s="8" t="s">
        <v>7957</v>
      </c>
      <c r="D1909" s="8" t="s">
        <v>3163</v>
      </c>
      <c r="E1909" s="8" t="s">
        <v>412</v>
      </c>
      <c r="F1909" s="12" t="s">
        <v>7958</v>
      </c>
      <c r="G1909" s="23" t="s">
        <v>7959</v>
      </c>
      <c r="H1909" s="8" t="s">
        <v>37</v>
      </c>
      <c r="I1909" s="8" t="s">
        <v>4039</v>
      </c>
    </row>
    <row r="1910" spans="1:9" ht="14.25" customHeight="1" x14ac:dyDescent="0.25">
      <c r="A1910" s="7" t="s">
        <v>7960</v>
      </c>
      <c r="B1910" s="8" t="s">
        <v>7961</v>
      </c>
      <c r="C1910" s="8" t="s">
        <v>7962</v>
      </c>
      <c r="D1910" s="8" t="s">
        <v>3163</v>
      </c>
      <c r="E1910" s="8" t="s">
        <v>412</v>
      </c>
      <c r="F1910" s="11" t="s">
        <v>7963</v>
      </c>
      <c r="H1910" s="8" t="s">
        <v>49</v>
      </c>
      <c r="I1910" s="8" t="s">
        <v>4039</v>
      </c>
    </row>
    <row r="1911" spans="1:9" ht="14.25" customHeight="1" x14ac:dyDescent="0.25">
      <c r="A1911" s="7" t="s">
        <v>7964</v>
      </c>
      <c r="B1911" s="8" t="s">
        <v>7965</v>
      </c>
      <c r="C1911" s="8" t="s">
        <v>7966</v>
      </c>
      <c r="D1911" s="8" t="s">
        <v>411</v>
      </c>
      <c r="E1911" s="8" t="s">
        <v>412</v>
      </c>
      <c r="F1911" s="11" t="s">
        <v>7967</v>
      </c>
      <c r="H1911" s="8" t="s">
        <v>5915</v>
      </c>
      <c r="I1911" s="8" t="s">
        <v>3756</v>
      </c>
    </row>
    <row r="1912" spans="1:9" ht="14.25" customHeight="1" x14ac:dyDescent="0.25">
      <c r="A1912" s="7" t="s">
        <v>7968</v>
      </c>
      <c r="B1912" s="8" t="s">
        <v>133</v>
      </c>
      <c r="C1912" s="8" t="s">
        <v>7969</v>
      </c>
      <c r="D1912" s="8" t="s">
        <v>411</v>
      </c>
      <c r="E1912" s="8" t="s">
        <v>412</v>
      </c>
      <c r="F1912" s="12" t="s">
        <v>7970</v>
      </c>
      <c r="H1912" s="8" t="s">
        <v>7971</v>
      </c>
      <c r="I1912" s="8" t="s">
        <v>3756</v>
      </c>
    </row>
    <row r="1913" spans="1:9" ht="14.25" customHeight="1" x14ac:dyDescent="0.25">
      <c r="A1913" s="7" t="s">
        <v>7972</v>
      </c>
      <c r="B1913" s="8" t="s">
        <v>1773</v>
      </c>
      <c r="C1913" s="8" t="s">
        <v>7973</v>
      </c>
      <c r="D1913" s="8" t="s">
        <v>411</v>
      </c>
      <c r="E1913" s="8" t="s">
        <v>412</v>
      </c>
      <c r="F1913" s="12" t="s">
        <v>7974</v>
      </c>
      <c r="H1913" s="8" t="s">
        <v>7975</v>
      </c>
      <c r="I1913" s="8" t="s">
        <v>3756</v>
      </c>
    </row>
    <row r="1914" spans="1:9" ht="14.25" customHeight="1" x14ac:dyDescent="0.25">
      <c r="A1914" s="7" t="s">
        <v>7976</v>
      </c>
      <c r="B1914" s="8" t="s">
        <v>7977</v>
      </c>
      <c r="C1914" s="8" t="s">
        <v>7978</v>
      </c>
      <c r="D1914" s="8" t="s">
        <v>3163</v>
      </c>
      <c r="E1914" s="8" t="s">
        <v>3890</v>
      </c>
      <c r="F1914" s="11" t="s">
        <v>7979</v>
      </c>
      <c r="G1914" s="8" t="s">
        <v>7980</v>
      </c>
      <c r="H1914" s="8" t="s">
        <v>92</v>
      </c>
      <c r="I1914" s="8" t="s">
        <v>3756</v>
      </c>
    </row>
    <row r="1915" spans="1:9" ht="14.25" customHeight="1" x14ac:dyDescent="0.25">
      <c r="A1915" s="7" t="s">
        <v>7981</v>
      </c>
      <c r="B1915" s="8" t="s">
        <v>4897</v>
      </c>
      <c r="C1915" s="8" t="s">
        <v>7982</v>
      </c>
      <c r="D1915" s="8" t="s">
        <v>411</v>
      </c>
      <c r="E1915" s="8" t="s">
        <v>3890</v>
      </c>
    </row>
    <row r="1916" spans="1:9" ht="14.25" customHeight="1" x14ac:dyDescent="0.25">
      <c r="A1916" s="7" t="s">
        <v>7983</v>
      </c>
      <c r="B1916" s="8" t="s">
        <v>7984</v>
      </c>
      <c r="C1916" s="8" t="s">
        <v>7985</v>
      </c>
      <c r="D1916" s="8" t="s">
        <v>3163</v>
      </c>
      <c r="E1916" s="8" t="s">
        <v>3890</v>
      </c>
      <c r="F1916" s="11" t="s">
        <v>7986</v>
      </c>
      <c r="G1916" s="8" t="s">
        <v>7987</v>
      </c>
      <c r="H1916" s="8" t="s">
        <v>25</v>
      </c>
      <c r="I1916" s="8" t="s">
        <v>4039</v>
      </c>
    </row>
    <row r="1917" spans="1:9" ht="14.25" customHeight="1" x14ac:dyDescent="0.25">
      <c r="A1917" s="7" t="s">
        <v>7988</v>
      </c>
      <c r="B1917" s="8" t="s">
        <v>4670</v>
      </c>
      <c r="C1917" s="8" t="s">
        <v>7989</v>
      </c>
      <c r="D1917" s="8" t="s">
        <v>411</v>
      </c>
      <c r="E1917" s="8" t="s">
        <v>3890</v>
      </c>
      <c r="F1917" s="11" t="s">
        <v>7990</v>
      </c>
      <c r="G1917" s="8" t="s">
        <v>7987</v>
      </c>
      <c r="H1917" s="8" t="s">
        <v>25</v>
      </c>
      <c r="I1917" s="8" t="s">
        <v>4039</v>
      </c>
    </row>
    <row r="1918" spans="1:9" ht="14.25" customHeight="1" x14ac:dyDescent="0.25">
      <c r="A1918" s="7" t="s">
        <v>7991</v>
      </c>
      <c r="B1918" s="8" t="s">
        <v>590</v>
      </c>
      <c r="C1918" s="8" t="s">
        <v>7992</v>
      </c>
      <c r="D1918" s="8" t="s">
        <v>3163</v>
      </c>
      <c r="E1918" s="8" t="s">
        <v>3890</v>
      </c>
      <c r="F1918" s="11" t="s">
        <v>7993</v>
      </c>
      <c r="G1918" s="8" t="s">
        <v>7987</v>
      </c>
      <c r="H1918" s="8" t="s">
        <v>25</v>
      </c>
      <c r="I1918" s="8" t="s">
        <v>4039</v>
      </c>
    </row>
    <row r="1919" spans="1:9" ht="14.25" customHeight="1" x14ac:dyDescent="0.25">
      <c r="A1919" s="7" t="s">
        <v>7994</v>
      </c>
      <c r="B1919" s="8" t="s">
        <v>3799</v>
      </c>
      <c r="C1919" s="8" t="s">
        <v>7995</v>
      </c>
      <c r="D1919" s="8" t="s">
        <v>411</v>
      </c>
      <c r="E1919" s="8" t="s">
        <v>3890</v>
      </c>
      <c r="F1919" s="11" t="s">
        <v>7996</v>
      </c>
      <c r="G1919" s="8" t="s">
        <v>7987</v>
      </c>
      <c r="H1919" s="8" t="s">
        <v>25</v>
      </c>
      <c r="I1919" s="8" t="s">
        <v>4039</v>
      </c>
    </row>
    <row r="1920" spans="1:9" ht="14.25" customHeight="1" x14ac:dyDescent="0.25">
      <c r="A1920" s="7" t="s">
        <v>7997</v>
      </c>
      <c r="B1920" s="8" t="s">
        <v>3089</v>
      </c>
      <c r="C1920" s="8" t="s">
        <v>7998</v>
      </c>
      <c r="D1920" s="8" t="s">
        <v>411</v>
      </c>
      <c r="E1920" s="8" t="s">
        <v>3890</v>
      </c>
      <c r="F1920" s="11" t="s">
        <v>7999</v>
      </c>
      <c r="G1920" s="8" t="s">
        <v>8000</v>
      </c>
      <c r="H1920" s="8" t="s">
        <v>7748</v>
      </c>
      <c r="I1920" s="8" t="s">
        <v>4039</v>
      </c>
    </row>
    <row r="1921" spans="1:9" ht="14.25" customHeight="1" x14ac:dyDescent="0.25">
      <c r="A1921" s="7" t="s">
        <v>8001</v>
      </c>
      <c r="B1921" s="8" t="s">
        <v>2502</v>
      </c>
      <c r="C1921" s="8" t="s">
        <v>8002</v>
      </c>
      <c r="D1921" s="8" t="s">
        <v>3163</v>
      </c>
      <c r="E1921" s="8" t="s">
        <v>3890</v>
      </c>
      <c r="F1921" s="11"/>
      <c r="G1921" s="8"/>
      <c r="H1921" s="8"/>
      <c r="I1921" s="8"/>
    </row>
    <row r="1922" spans="1:9" ht="14.25" customHeight="1" x14ac:dyDescent="0.25">
      <c r="A1922" s="7" t="s">
        <v>8003</v>
      </c>
      <c r="B1922" s="8" t="s">
        <v>8004</v>
      </c>
      <c r="C1922" s="8" t="s">
        <v>4865</v>
      </c>
      <c r="D1922" s="8" t="s">
        <v>411</v>
      </c>
      <c r="E1922" s="8" t="s">
        <v>412</v>
      </c>
      <c r="F1922" s="11" t="s">
        <v>8005</v>
      </c>
      <c r="G1922" s="8" t="s">
        <v>8006</v>
      </c>
      <c r="H1922" s="8" t="s">
        <v>5915</v>
      </c>
      <c r="I1922" s="8" t="s">
        <v>4039</v>
      </c>
    </row>
    <row r="1923" spans="1:9" ht="14.25" customHeight="1" x14ac:dyDescent="0.25">
      <c r="A1923" s="7" t="s">
        <v>8007</v>
      </c>
      <c r="B1923" s="8" t="s">
        <v>1375</v>
      </c>
      <c r="C1923" s="8" t="s">
        <v>1376</v>
      </c>
      <c r="D1923" s="8" t="s">
        <v>411</v>
      </c>
      <c r="E1923" s="8" t="s">
        <v>3890</v>
      </c>
      <c r="F1923" s="11" t="s">
        <v>8008</v>
      </c>
      <c r="G1923" s="8" t="s">
        <v>8009</v>
      </c>
      <c r="H1923" s="8" t="s">
        <v>2212</v>
      </c>
      <c r="I1923" s="8" t="s">
        <v>4039</v>
      </c>
    </row>
    <row r="1924" spans="1:9" ht="14.25" customHeight="1" x14ac:dyDescent="0.25">
      <c r="A1924" s="7" t="s">
        <v>8010</v>
      </c>
      <c r="B1924" s="8" t="s">
        <v>8011</v>
      </c>
      <c r="C1924" s="8" t="s">
        <v>8012</v>
      </c>
      <c r="D1924" s="8" t="s">
        <v>3163</v>
      </c>
      <c r="E1924" s="8" t="s">
        <v>3890</v>
      </c>
      <c r="F1924" s="11" t="s">
        <v>8013</v>
      </c>
      <c r="G1924" s="8"/>
      <c r="H1924" s="8"/>
      <c r="I1924" s="8"/>
    </row>
    <row r="1925" spans="1:9" ht="14.25" customHeight="1" x14ac:dyDescent="0.25">
      <c r="A1925" s="7" t="s">
        <v>8014</v>
      </c>
      <c r="B1925" s="8" t="s">
        <v>1584</v>
      </c>
      <c r="C1925" s="8" t="s">
        <v>8015</v>
      </c>
      <c r="D1925" s="8" t="s">
        <v>3163</v>
      </c>
      <c r="E1925" s="8" t="s">
        <v>412</v>
      </c>
      <c r="F1925" s="11" t="s">
        <v>8016</v>
      </c>
      <c r="G1925" s="8" t="s">
        <v>8017</v>
      </c>
      <c r="H1925" s="8" t="s">
        <v>6950</v>
      </c>
      <c r="I1925" s="8" t="s">
        <v>4039</v>
      </c>
    </row>
    <row r="1926" spans="1:9" ht="14.25" customHeight="1" x14ac:dyDescent="0.25">
      <c r="A1926" s="7" t="s">
        <v>8018</v>
      </c>
      <c r="B1926" s="8" t="s">
        <v>4064</v>
      </c>
      <c r="C1926" s="8" t="s">
        <v>8019</v>
      </c>
      <c r="D1926" s="8" t="s">
        <v>3163</v>
      </c>
      <c r="E1926" s="8" t="s">
        <v>412</v>
      </c>
      <c r="F1926" s="11" t="s">
        <v>8020</v>
      </c>
      <c r="G1926" s="8" t="s">
        <v>8021</v>
      </c>
      <c r="H1926" s="8" t="s">
        <v>61</v>
      </c>
      <c r="I1926" s="8" t="s">
        <v>3756</v>
      </c>
    </row>
    <row r="1927" spans="1:9" ht="14.25" customHeight="1" x14ac:dyDescent="0.25">
      <c r="A1927" s="7" t="s">
        <v>8022</v>
      </c>
      <c r="B1927" s="8" t="s">
        <v>8023</v>
      </c>
      <c r="C1927" s="8" t="s">
        <v>8024</v>
      </c>
      <c r="D1927" s="8" t="s">
        <v>411</v>
      </c>
      <c r="E1927" s="8" t="s">
        <v>412</v>
      </c>
      <c r="F1927" s="12" t="s">
        <v>8025</v>
      </c>
      <c r="G1927" s="8"/>
      <c r="H1927" s="8" t="s">
        <v>8026</v>
      </c>
      <c r="I1927" s="8" t="s">
        <v>4039</v>
      </c>
    </row>
    <row r="1928" spans="1:9" ht="14.25" customHeight="1" x14ac:dyDescent="0.25">
      <c r="A1928" s="7" t="s">
        <v>8027</v>
      </c>
      <c r="B1928" s="8" t="s">
        <v>5266</v>
      </c>
      <c r="C1928" s="8" t="s">
        <v>8028</v>
      </c>
      <c r="D1928" s="8" t="s">
        <v>411</v>
      </c>
      <c r="E1928" s="8" t="s">
        <v>412</v>
      </c>
      <c r="F1928" s="11" t="s">
        <v>8029</v>
      </c>
      <c r="G1928" s="8" t="s">
        <v>8030</v>
      </c>
      <c r="H1928" s="8" t="s">
        <v>6233</v>
      </c>
      <c r="I1928" s="8" t="s">
        <v>4039</v>
      </c>
    </row>
    <row r="1929" spans="1:9" ht="14.25" customHeight="1" x14ac:dyDescent="0.25">
      <c r="A1929" s="7" t="s">
        <v>8031</v>
      </c>
      <c r="B1929" s="8" t="s">
        <v>6918</v>
      </c>
      <c r="C1929" s="8" t="s">
        <v>8032</v>
      </c>
      <c r="D1929" s="8" t="s">
        <v>411</v>
      </c>
      <c r="E1929" s="8" t="s">
        <v>412</v>
      </c>
      <c r="F1929" s="11" t="s">
        <v>8033</v>
      </c>
      <c r="G1929" s="8"/>
      <c r="H1929" s="8" t="s">
        <v>37</v>
      </c>
      <c r="I1929" s="8" t="s">
        <v>4039</v>
      </c>
    </row>
    <row r="1930" spans="1:9" ht="14.25" customHeight="1" x14ac:dyDescent="0.25">
      <c r="A1930" s="7" t="s">
        <v>8034</v>
      </c>
      <c r="B1930" s="8" t="s">
        <v>7834</v>
      </c>
      <c r="C1930" s="8" t="s">
        <v>3978</v>
      </c>
      <c r="D1930" s="8" t="s">
        <v>3163</v>
      </c>
      <c r="E1930" s="8" t="s">
        <v>412</v>
      </c>
      <c r="F1930" s="11" t="s">
        <v>8035</v>
      </c>
      <c r="G1930" s="8" t="s">
        <v>6813</v>
      </c>
      <c r="H1930" s="8" t="s">
        <v>5570</v>
      </c>
      <c r="I1930" s="8" t="s">
        <v>3756</v>
      </c>
    </row>
    <row r="1931" spans="1:9" ht="14.25" customHeight="1" x14ac:dyDescent="0.25">
      <c r="A1931" s="7" t="s">
        <v>8036</v>
      </c>
      <c r="B1931" s="8" t="s">
        <v>4629</v>
      </c>
      <c r="C1931" s="8" t="s">
        <v>8037</v>
      </c>
      <c r="D1931" s="8" t="s">
        <v>411</v>
      </c>
      <c r="E1931" s="8" t="s">
        <v>412</v>
      </c>
      <c r="F1931" s="11" t="s">
        <v>8038</v>
      </c>
      <c r="G1931" s="8" t="s">
        <v>8039</v>
      </c>
      <c r="H1931" s="8" t="s">
        <v>5772</v>
      </c>
      <c r="I1931" s="8" t="s">
        <v>4039</v>
      </c>
    </row>
    <row r="1932" spans="1:9" ht="14.25" customHeight="1" x14ac:dyDescent="0.25">
      <c r="A1932" s="7" t="s">
        <v>8040</v>
      </c>
      <c r="B1932" s="8" t="s">
        <v>8041</v>
      </c>
      <c r="C1932" s="8" t="s">
        <v>8042</v>
      </c>
      <c r="D1932" s="8" t="s">
        <v>411</v>
      </c>
      <c r="E1932" s="8" t="s">
        <v>412</v>
      </c>
      <c r="F1932" s="12" t="s">
        <v>8043</v>
      </c>
      <c r="G1932" s="8" t="s">
        <v>8044</v>
      </c>
      <c r="H1932" s="8" t="s">
        <v>8045</v>
      </c>
      <c r="I1932" s="8" t="s">
        <v>4039</v>
      </c>
    </row>
    <row r="1933" spans="1:9" ht="14.25" customHeight="1" x14ac:dyDescent="0.25">
      <c r="A1933" s="7" t="s">
        <v>8046</v>
      </c>
      <c r="B1933" s="8" t="s">
        <v>2230</v>
      </c>
      <c r="C1933" s="8" t="s">
        <v>8047</v>
      </c>
      <c r="D1933" s="8" t="s">
        <v>411</v>
      </c>
      <c r="E1933" s="8" t="s">
        <v>412</v>
      </c>
      <c r="F1933" s="12" t="s">
        <v>8048</v>
      </c>
      <c r="G1933" s="8" t="s">
        <v>8049</v>
      </c>
      <c r="H1933" s="8" t="s">
        <v>6233</v>
      </c>
      <c r="I1933" s="8" t="s">
        <v>4039</v>
      </c>
    </row>
    <row r="1934" spans="1:9" ht="14.25" customHeight="1" x14ac:dyDescent="0.25">
      <c r="A1934" s="7" t="s">
        <v>8050</v>
      </c>
      <c r="B1934" s="8" t="s">
        <v>3040</v>
      </c>
      <c r="C1934" s="8" t="s">
        <v>8051</v>
      </c>
      <c r="D1934" s="8" t="s">
        <v>411</v>
      </c>
      <c r="E1934" s="8" t="s">
        <v>3890</v>
      </c>
      <c r="F1934" s="12" t="s">
        <v>8052</v>
      </c>
      <c r="G1934" s="8" t="s">
        <v>8053</v>
      </c>
      <c r="H1934" s="8" t="s">
        <v>8054</v>
      </c>
      <c r="I1934" s="8" t="s">
        <v>3756</v>
      </c>
    </row>
    <row r="1935" spans="1:9" ht="14.25" customHeight="1" x14ac:dyDescent="0.25">
      <c r="A1935" s="7" t="s">
        <v>8055</v>
      </c>
      <c r="B1935" s="8" t="s">
        <v>3241</v>
      </c>
      <c r="C1935" s="8" t="s">
        <v>8056</v>
      </c>
      <c r="D1935" s="8" t="s">
        <v>411</v>
      </c>
      <c r="E1935" s="8" t="s">
        <v>412</v>
      </c>
      <c r="F1935" s="12" t="s">
        <v>8057</v>
      </c>
      <c r="G1935" s="8" t="s">
        <v>8058</v>
      </c>
      <c r="H1935" s="8" t="s">
        <v>8059</v>
      </c>
      <c r="I1935" s="8" t="s">
        <v>3756</v>
      </c>
    </row>
    <row r="1936" spans="1:9" ht="14.25" customHeight="1" x14ac:dyDescent="0.25">
      <c r="A1936" s="7" t="s">
        <v>8060</v>
      </c>
      <c r="B1936" s="8" t="s">
        <v>3623</v>
      </c>
      <c r="C1936" s="8" t="s">
        <v>8061</v>
      </c>
      <c r="D1936" s="8" t="s">
        <v>411</v>
      </c>
      <c r="E1936" s="8" t="s">
        <v>412</v>
      </c>
      <c r="F1936" s="12" t="s">
        <v>8062</v>
      </c>
      <c r="G1936" s="8" t="s">
        <v>8063</v>
      </c>
      <c r="H1936" s="8" t="s">
        <v>15</v>
      </c>
      <c r="I1936" s="8" t="s">
        <v>4039</v>
      </c>
    </row>
    <row r="1937" spans="1:9" ht="14.25" customHeight="1" x14ac:dyDescent="0.25">
      <c r="A1937" s="7" t="s">
        <v>8064</v>
      </c>
      <c r="B1937" s="8" t="s">
        <v>8065</v>
      </c>
      <c r="C1937" s="8" t="s">
        <v>8066</v>
      </c>
      <c r="D1937" s="8" t="s">
        <v>411</v>
      </c>
      <c r="E1937" s="8" t="s">
        <v>3890</v>
      </c>
      <c r="F1937" s="12" t="s">
        <v>8067</v>
      </c>
      <c r="G1937" s="8" t="s">
        <v>8068</v>
      </c>
      <c r="H1937" s="8" t="s">
        <v>25</v>
      </c>
      <c r="I1937" s="8" t="s">
        <v>4371</v>
      </c>
    </row>
    <row r="1938" spans="1:9" ht="14.25" customHeight="1" x14ac:dyDescent="0.25">
      <c r="A1938" s="7" t="s">
        <v>8069</v>
      </c>
      <c r="B1938" s="8" t="s">
        <v>933</v>
      </c>
      <c r="C1938" s="8" t="s">
        <v>7260</v>
      </c>
      <c r="D1938" s="8" t="s">
        <v>3163</v>
      </c>
      <c r="E1938" s="8" t="s">
        <v>3890</v>
      </c>
      <c r="F1938" s="11"/>
      <c r="G1938" s="8" t="s">
        <v>8068</v>
      </c>
      <c r="H1938" s="8" t="s">
        <v>25</v>
      </c>
      <c r="I1938" s="8" t="s">
        <v>4371</v>
      </c>
    </row>
    <row r="1939" spans="1:9" ht="14.25" customHeight="1" x14ac:dyDescent="0.25">
      <c r="A1939" s="7" t="s">
        <v>8070</v>
      </c>
      <c r="B1939" s="8" t="s">
        <v>6360</v>
      </c>
      <c r="C1939" s="8" t="s">
        <v>8071</v>
      </c>
      <c r="D1939" s="8" t="s">
        <v>411</v>
      </c>
      <c r="E1939" s="8" t="s">
        <v>412</v>
      </c>
      <c r="F1939" s="12" t="s">
        <v>8072</v>
      </c>
      <c r="G1939" s="8" t="s">
        <v>8073</v>
      </c>
      <c r="H1939" s="8" t="s">
        <v>37</v>
      </c>
      <c r="I1939" s="8" t="s">
        <v>3756</v>
      </c>
    </row>
    <row r="1940" spans="1:9" ht="14.25" customHeight="1" x14ac:dyDescent="0.25">
      <c r="A1940" s="7" t="s">
        <v>8074</v>
      </c>
      <c r="B1940" s="8" t="s">
        <v>1228</v>
      </c>
      <c r="C1940" s="8" t="s">
        <v>8075</v>
      </c>
      <c r="D1940" s="8" t="s">
        <v>411</v>
      </c>
      <c r="E1940" s="8" t="s">
        <v>412</v>
      </c>
      <c r="F1940" s="12" t="s">
        <v>8076</v>
      </c>
      <c r="G1940" s="8" t="s">
        <v>6714</v>
      </c>
      <c r="H1940" s="8" t="s">
        <v>82</v>
      </c>
      <c r="I1940" s="8" t="s">
        <v>4039</v>
      </c>
    </row>
    <row r="1941" spans="1:9" ht="14.25" customHeight="1" x14ac:dyDescent="0.25">
      <c r="A1941" s="7" t="s">
        <v>8077</v>
      </c>
      <c r="B1941" s="8" t="s">
        <v>3490</v>
      </c>
      <c r="C1941" s="8" t="s">
        <v>150</v>
      </c>
      <c r="D1941" s="8" t="s">
        <v>411</v>
      </c>
      <c r="E1941" s="8" t="s">
        <v>412</v>
      </c>
      <c r="F1941" s="12" t="s">
        <v>8078</v>
      </c>
      <c r="G1941" s="8" t="s">
        <v>8079</v>
      </c>
      <c r="H1941" s="8" t="s">
        <v>4651</v>
      </c>
      <c r="I1941" s="8" t="s">
        <v>4039</v>
      </c>
    </row>
    <row r="1942" spans="1:9" ht="14.25" customHeight="1" x14ac:dyDescent="0.25">
      <c r="A1942" s="7" t="s">
        <v>8080</v>
      </c>
      <c r="B1942" s="8" t="s">
        <v>5337</v>
      </c>
      <c r="C1942" s="8" t="s">
        <v>8081</v>
      </c>
      <c r="D1942" s="8" t="s">
        <v>3163</v>
      </c>
      <c r="E1942" s="8" t="s">
        <v>3890</v>
      </c>
      <c r="F1942" s="12" t="s">
        <v>8082</v>
      </c>
      <c r="G1942" s="8" t="s">
        <v>8083</v>
      </c>
      <c r="H1942" s="8" t="s">
        <v>8084</v>
      </c>
      <c r="I1942" s="8" t="s">
        <v>3756</v>
      </c>
    </row>
    <row r="1943" spans="1:9" ht="14.25" customHeight="1" x14ac:dyDescent="0.25">
      <c r="A1943" s="7" t="s">
        <v>8085</v>
      </c>
      <c r="B1943" s="8" t="s">
        <v>8086</v>
      </c>
      <c r="C1943" s="8" t="s">
        <v>8087</v>
      </c>
      <c r="D1943" s="8" t="s">
        <v>3163</v>
      </c>
      <c r="E1943" s="8" t="s">
        <v>412</v>
      </c>
      <c r="F1943" s="11" t="s">
        <v>8088</v>
      </c>
      <c r="G1943" s="8" t="s">
        <v>8089</v>
      </c>
      <c r="H1943" s="8" t="s">
        <v>8090</v>
      </c>
      <c r="I1943" s="8" t="s">
        <v>4039</v>
      </c>
    </row>
    <row r="1944" spans="1:9" ht="14.25" customHeight="1" x14ac:dyDescent="0.25">
      <c r="A1944" s="7" t="s">
        <v>8091</v>
      </c>
      <c r="B1944" s="8" t="s">
        <v>8092</v>
      </c>
      <c r="C1944" s="8" t="s">
        <v>8093</v>
      </c>
      <c r="D1944" s="8" t="s">
        <v>411</v>
      </c>
      <c r="E1944" s="8" t="s">
        <v>412</v>
      </c>
      <c r="F1944" s="11" t="s">
        <v>8094</v>
      </c>
      <c r="G1944" s="8"/>
      <c r="H1944" s="8"/>
      <c r="I1944" s="8" t="s">
        <v>3756</v>
      </c>
    </row>
    <row r="1945" spans="1:9" ht="14.25" customHeight="1" x14ac:dyDescent="0.25">
      <c r="A1945" s="7" t="s">
        <v>8095</v>
      </c>
      <c r="B1945" s="8" t="s">
        <v>8096</v>
      </c>
      <c r="C1945" s="8" t="s">
        <v>8097</v>
      </c>
      <c r="D1945" s="8" t="s">
        <v>411</v>
      </c>
      <c r="E1945" s="8" t="s">
        <v>412</v>
      </c>
      <c r="F1945" s="11" t="s">
        <v>8098</v>
      </c>
      <c r="G1945" s="8" t="s">
        <v>8099</v>
      </c>
      <c r="H1945" s="8" t="s">
        <v>6921</v>
      </c>
      <c r="I1945" s="8" t="s">
        <v>4404</v>
      </c>
    </row>
    <row r="1946" spans="1:9" ht="14.25" customHeight="1" x14ac:dyDescent="0.25">
      <c r="A1946" s="7" t="s">
        <v>8100</v>
      </c>
      <c r="B1946" s="8" t="s">
        <v>3089</v>
      </c>
      <c r="C1946" s="8" t="s">
        <v>3093</v>
      </c>
      <c r="D1946" s="8" t="s">
        <v>411</v>
      </c>
      <c r="E1946" s="8" t="s">
        <v>412</v>
      </c>
      <c r="F1946" s="11" t="s">
        <v>3094</v>
      </c>
      <c r="G1946" s="8" t="s">
        <v>8101</v>
      </c>
      <c r="H1946" s="8" t="s">
        <v>5652</v>
      </c>
      <c r="I1946" s="8" t="s">
        <v>4371</v>
      </c>
    </row>
    <row r="1947" spans="1:9" ht="14.25" customHeight="1" x14ac:dyDescent="0.25">
      <c r="A1947" s="7" t="s">
        <v>8102</v>
      </c>
      <c r="B1947" s="8" t="s">
        <v>359</v>
      </c>
      <c r="C1947" s="8" t="s">
        <v>8103</v>
      </c>
      <c r="D1947" s="8" t="s">
        <v>411</v>
      </c>
      <c r="E1947" s="8" t="s">
        <v>412</v>
      </c>
      <c r="F1947" s="11" t="s">
        <v>8104</v>
      </c>
      <c r="G1947" s="8" t="s">
        <v>8105</v>
      </c>
      <c r="H1947" s="8" t="s">
        <v>2212</v>
      </c>
      <c r="I1947" s="8" t="s">
        <v>4039</v>
      </c>
    </row>
    <row r="1948" spans="1:9" ht="14.25" customHeight="1" x14ac:dyDescent="0.25">
      <c r="A1948" s="7" t="s">
        <v>8106</v>
      </c>
      <c r="B1948" s="8" t="s">
        <v>8107</v>
      </c>
      <c r="C1948" s="8" t="s">
        <v>8108</v>
      </c>
      <c r="D1948" s="8" t="s">
        <v>411</v>
      </c>
      <c r="E1948" s="8" t="s">
        <v>412</v>
      </c>
      <c r="F1948" s="11" t="s">
        <v>8109</v>
      </c>
      <c r="G1948" s="8" t="s">
        <v>8110</v>
      </c>
      <c r="H1948" s="8" t="s">
        <v>4059</v>
      </c>
      <c r="I1948" s="8" t="s">
        <v>4039</v>
      </c>
    </row>
    <row r="1949" spans="1:9" ht="14.25" customHeight="1" x14ac:dyDescent="0.25">
      <c r="A1949" s="7" t="s">
        <v>8111</v>
      </c>
      <c r="B1949" s="8" t="s">
        <v>8112</v>
      </c>
      <c r="C1949" s="8" t="s">
        <v>8113</v>
      </c>
      <c r="D1949" s="8" t="s">
        <v>3163</v>
      </c>
      <c r="E1949" s="8" t="s">
        <v>412</v>
      </c>
      <c r="F1949" s="11" t="s">
        <v>8114</v>
      </c>
      <c r="G1949" s="8" t="s">
        <v>8115</v>
      </c>
      <c r="H1949" s="8" t="s">
        <v>4951</v>
      </c>
      <c r="I1949" s="8" t="s">
        <v>4371</v>
      </c>
    </row>
    <row r="1950" spans="1:9" ht="14.25" customHeight="1" x14ac:dyDescent="0.25">
      <c r="A1950" s="7" t="s">
        <v>8116</v>
      </c>
      <c r="B1950" s="8" t="s">
        <v>8117</v>
      </c>
      <c r="C1950" s="8" t="s">
        <v>8118</v>
      </c>
      <c r="D1950" s="8" t="s">
        <v>411</v>
      </c>
      <c r="E1950" s="8" t="s">
        <v>3890</v>
      </c>
      <c r="F1950" s="11" t="s">
        <v>8119</v>
      </c>
      <c r="G1950" s="8" t="s">
        <v>8120</v>
      </c>
      <c r="H1950" s="8" t="s">
        <v>15</v>
      </c>
      <c r="I1950" s="8" t="s">
        <v>3756</v>
      </c>
    </row>
    <row r="1951" spans="1:9" ht="14.25" customHeight="1" x14ac:dyDescent="0.25">
      <c r="A1951" s="7" t="s">
        <v>8121</v>
      </c>
      <c r="B1951" s="8" t="s">
        <v>8122</v>
      </c>
      <c r="C1951" s="8" t="s">
        <v>8118</v>
      </c>
      <c r="D1951" s="8" t="s">
        <v>3163</v>
      </c>
      <c r="E1951" s="8" t="s">
        <v>3890</v>
      </c>
      <c r="F1951" s="11"/>
      <c r="G1951" s="8" t="s">
        <v>8120</v>
      </c>
      <c r="H1951" s="8" t="s">
        <v>15</v>
      </c>
      <c r="I1951" s="8" t="s">
        <v>3756</v>
      </c>
    </row>
    <row r="1952" spans="1:9" ht="14.25" customHeight="1" x14ac:dyDescent="0.25">
      <c r="A1952" s="7" t="s">
        <v>8123</v>
      </c>
      <c r="B1952" s="8" t="s">
        <v>2656</v>
      </c>
      <c r="C1952" s="8" t="s">
        <v>8124</v>
      </c>
      <c r="D1952" s="8" t="s">
        <v>411</v>
      </c>
      <c r="E1952" s="8" t="s">
        <v>412</v>
      </c>
      <c r="F1952" s="11"/>
      <c r="G1952" s="8"/>
      <c r="H1952" s="8"/>
      <c r="I1952" s="8"/>
    </row>
    <row r="1953" spans="1:9" ht="14.25" customHeight="1" x14ac:dyDescent="0.25">
      <c r="A1953" s="7" t="s">
        <v>8125</v>
      </c>
      <c r="B1953" s="8" t="s">
        <v>993</v>
      </c>
      <c r="C1953" s="8" t="s">
        <v>8126</v>
      </c>
      <c r="D1953" s="8" t="s">
        <v>3163</v>
      </c>
      <c r="E1953" s="8" t="s">
        <v>412</v>
      </c>
      <c r="F1953" s="12" t="s">
        <v>8127</v>
      </c>
      <c r="G1953" s="8" t="s">
        <v>8128</v>
      </c>
      <c r="H1953" s="8" t="s">
        <v>2212</v>
      </c>
      <c r="I1953" s="8" t="s">
        <v>3756</v>
      </c>
    </row>
    <row r="1954" spans="1:9" ht="14.25" customHeight="1" x14ac:dyDescent="0.25">
      <c r="A1954" s="7" t="s">
        <v>8129</v>
      </c>
      <c r="B1954" s="8" t="s">
        <v>3934</v>
      </c>
      <c r="C1954" s="8" t="s">
        <v>8130</v>
      </c>
      <c r="D1954" s="8" t="s">
        <v>3163</v>
      </c>
      <c r="E1954" s="8" t="s">
        <v>412</v>
      </c>
      <c r="F1954" s="11"/>
      <c r="G1954" s="8"/>
      <c r="H1954" s="8" t="s">
        <v>5652</v>
      </c>
      <c r="I1954" s="8" t="s">
        <v>3756</v>
      </c>
    </row>
    <row r="1955" spans="1:9" ht="14.25" customHeight="1" x14ac:dyDescent="0.25">
      <c r="A1955" s="7" t="s">
        <v>8131</v>
      </c>
      <c r="B1955" s="8" t="s">
        <v>6680</v>
      </c>
      <c r="C1955" s="8" t="s">
        <v>8132</v>
      </c>
      <c r="D1955" s="8" t="s">
        <v>411</v>
      </c>
      <c r="E1955" s="8" t="s">
        <v>412</v>
      </c>
      <c r="F1955" s="12" t="s">
        <v>8133</v>
      </c>
      <c r="G1955" s="22"/>
      <c r="H1955" s="8">
        <v>4434</v>
      </c>
      <c r="I1955" s="8" t="s">
        <v>4039</v>
      </c>
    </row>
    <row r="1956" spans="1:9" ht="14.25" customHeight="1" x14ac:dyDescent="0.25">
      <c r="A1956" s="7" t="s">
        <v>8134</v>
      </c>
      <c r="B1956" s="8" t="s">
        <v>8135</v>
      </c>
      <c r="C1956" s="8" t="s">
        <v>8136</v>
      </c>
      <c r="D1956" s="8" t="s">
        <v>3163</v>
      </c>
      <c r="E1956" s="8" t="s">
        <v>3890</v>
      </c>
      <c r="F1956" s="12" t="s">
        <v>8137</v>
      </c>
      <c r="G1956" s="8" t="s">
        <v>8138</v>
      </c>
      <c r="H1956" s="8" t="s">
        <v>37</v>
      </c>
      <c r="I1956" s="8" t="s">
        <v>4371</v>
      </c>
    </row>
    <row r="1957" spans="1:9" ht="14.25" customHeight="1" x14ac:dyDescent="0.25">
      <c r="A1957" s="7" t="s">
        <v>8139</v>
      </c>
      <c r="B1957" s="8" t="s">
        <v>8140</v>
      </c>
      <c r="C1957" s="8" t="s">
        <v>8141</v>
      </c>
      <c r="D1957" s="8" t="s">
        <v>411</v>
      </c>
      <c r="E1957" s="8" t="s">
        <v>3890</v>
      </c>
      <c r="F1957" s="11"/>
      <c r="G1957" s="8" t="s">
        <v>8138</v>
      </c>
      <c r="H1957" s="8" t="s">
        <v>37</v>
      </c>
      <c r="I1957" s="8" t="s">
        <v>4371</v>
      </c>
    </row>
    <row r="1958" spans="1:9" ht="14.25" customHeight="1" x14ac:dyDescent="0.25">
      <c r="A1958" s="19" t="s">
        <v>8142</v>
      </c>
      <c r="B1958" s="8" t="s">
        <v>5388</v>
      </c>
      <c r="C1958" s="8" t="s">
        <v>7998</v>
      </c>
      <c r="D1958" s="8" t="s">
        <v>3163</v>
      </c>
      <c r="E1958" s="8"/>
      <c r="F1958" s="11"/>
      <c r="G1958" s="8"/>
      <c r="H1958" s="8"/>
      <c r="I1958" s="8" t="s">
        <v>3756</v>
      </c>
    </row>
    <row r="1959" spans="1:9" ht="14.25" customHeight="1" x14ac:dyDescent="0.25">
      <c r="A1959" s="7" t="s">
        <v>8143</v>
      </c>
      <c r="B1959" s="8" t="s">
        <v>8144</v>
      </c>
      <c r="C1959" s="8" t="s">
        <v>4085</v>
      </c>
      <c r="D1959" s="8" t="s">
        <v>411</v>
      </c>
      <c r="E1959" s="8" t="s">
        <v>412</v>
      </c>
      <c r="F1959" s="11" t="s">
        <v>8145</v>
      </c>
      <c r="G1959" s="8"/>
      <c r="H1959" s="8"/>
      <c r="I1959" s="8" t="s">
        <v>4039</v>
      </c>
    </row>
    <row r="1960" spans="1:9" ht="14.25" customHeight="1" x14ac:dyDescent="0.25">
      <c r="A1960" s="7" t="s">
        <v>8146</v>
      </c>
      <c r="B1960" s="8" t="s">
        <v>3241</v>
      </c>
      <c r="C1960" s="8" t="s">
        <v>8147</v>
      </c>
      <c r="D1960" s="8" t="s">
        <v>411</v>
      </c>
      <c r="E1960" s="8" t="s">
        <v>412</v>
      </c>
      <c r="F1960" s="11" t="s">
        <v>8148</v>
      </c>
      <c r="G1960" s="8" t="s">
        <v>8149</v>
      </c>
      <c r="H1960" s="8" t="s">
        <v>8150</v>
      </c>
      <c r="I1960" s="8" t="s">
        <v>4039</v>
      </c>
    </row>
    <row r="1961" spans="1:9" ht="14.25" customHeight="1" x14ac:dyDescent="0.25">
      <c r="A1961" s="7" t="s">
        <v>8151</v>
      </c>
      <c r="B1961" s="8" t="s">
        <v>8152</v>
      </c>
      <c r="C1961" s="8" t="s">
        <v>8153</v>
      </c>
      <c r="D1961" s="8" t="s">
        <v>411</v>
      </c>
      <c r="E1961" s="8" t="s">
        <v>412</v>
      </c>
      <c r="F1961" s="11"/>
      <c r="G1961" s="8"/>
      <c r="H1961" s="8"/>
      <c r="I1961" s="8" t="s">
        <v>3756</v>
      </c>
    </row>
    <row r="1962" spans="1:9" ht="14.25" customHeight="1" x14ac:dyDescent="0.25">
      <c r="A1962" s="7" t="s">
        <v>8154</v>
      </c>
      <c r="B1962" s="8" t="s">
        <v>3743</v>
      </c>
      <c r="C1962" s="8" t="s">
        <v>8155</v>
      </c>
      <c r="D1962" s="8" t="s">
        <v>411</v>
      </c>
      <c r="E1962" s="8" t="s">
        <v>412</v>
      </c>
      <c r="F1962" s="11"/>
      <c r="G1962" s="8"/>
      <c r="H1962" s="8"/>
      <c r="I1962" s="8" t="s">
        <v>3756</v>
      </c>
    </row>
    <row r="1963" spans="1:9" ht="14.25" customHeight="1" x14ac:dyDescent="0.25">
      <c r="A1963" s="7" t="s">
        <v>8156</v>
      </c>
      <c r="B1963" s="8" t="s">
        <v>8157</v>
      </c>
      <c r="C1963" s="8" t="s">
        <v>8158</v>
      </c>
      <c r="D1963" s="8" t="s">
        <v>3163</v>
      </c>
      <c r="E1963" s="8" t="s">
        <v>412</v>
      </c>
      <c r="F1963" s="11"/>
      <c r="G1963" s="8"/>
      <c r="H1963" s="8"/>
      <c r="I1963" s="8" t="s">
        <v>3756</v>
      </c>
    </row>
    <row r="1964" spans="1:9" ht="14.25" customHeight="1" x14ac:dyDescent="0.25">
      <c r="A1964" s="19" t="s">
        <v>8159</v>
      </c>
      <c r="B1964" s="8" t="s">
        <v>8160</v>
      </c>
      <c r="C1964" s="8" t="s">
        <v>8161</v>
      </c>
      <c r="D1964" s="8" t="s">
        <v>3163</v>
      </c>
      <c r="E1964" s="8" t="s">
        <v>412</v>
      </c>
      <c r="F1964" s="11"/>
      <c r="G1964" s="8"/>
      <c r="H1964" s="8"/>
      <c r="I1964" s="8" t="s">
        <v>3756</v>
      </c>
    </row>
    <row r="1965" spans="1:9" ht="14.25" customHeight="1" x14ac:dyDescent="0.25">
      <c r="A1965" s="7" t="s">
        <v>8162</v>
      </c>
      <c r="B1965" s="8" t="s">
        <v>1717</v>
      </c>
      <c r="C1965" s="8" t="s">
        <v>8163</v>
      </c>
      <c r="D1965" s="8" t="s">
        <v>411</v>
      </c>
      <c r="E1965" s="8" t="s">
        <v>412</v>
      </c>
      <c r="F1965" s="12" t="s">
        <v>8164</v>
      </c>
      <c r="G1965" s="8" t="s">
        <v>8165</v>
      </c>
      <c r="H1965" s="8" t="s">
        <v>8166</v>
      </c>
      <c r="I1965" s="8" t="s">
        <v>4039</v>
      </c>
    </row>
    <row r="1966" spans="1:9" ht="14.25" customHeight="1" x14ac:dyDescent="0.25">
      <c r="A1966" s="7" t="s">
        <v>8167</v>
      </c>
      <c r="B1966" s="8" t="s">
        <v>8168</v>
      </c>
      <c r="C1966" s="8" t="s">
        <v>6184</v>
      </c>
      <c r="D1966" s="8" t="s">
        <v>411</v>
      </c>
      <c r="E1966" s="8" t="s">
        <v>412</v>
      </c>
      <c r="F1966" s="12" t="s">
        <v>8169</v>
      </c>
      <c r="G1966" s="8" t="s">
        <v>8170</v>
      </c>
      <c r="H1966" s="8" t="s">
        <v>49</v>
      </c>
      <c r="I1966" s="8" t="s">
        <v>4039</v>
      </c>
    </row>
    <row r="1967" spans="1:9" ht="14.25" customHeight="1" x14ac:dyDescent="0.25">
      <c r="A1967" s="7" t="s">
        <v>8171</v>
      </c>
      <c r="B1967" s="8" t="s">
        <v>6235</v>
      </c>
      <c r="C1967" s="8" t="s">
        <v>8172</v>
      </c>
      <c r="D1967" s="8" t="s">
        <v>411</v>
      </c>
      <c r="E1967" s="8" t="s">
        <v>412</v>
      </c>
      <c r="F1967" s="12" t="s">
        <v>8173</v>
      </c>
      <c r="G1967" s="8" t="s">
        <v>8174</v>
      </c>
      <c r="H1967" s="8" t="s">
        <v>3820</v>
      </c>
      <c r="I1967" s="8" t="s">
        <v>4039</v>
      </c>
    </row>
    <row r="1968" spans="1:9" ht="14.25" customHeight="1" x14ac:dyDescent="0.25">
      <c r="A1968" s="7" t="s">
        <v>8175</v>
      </c>
      <c r="B1968" s="8" t="s">
        <v>8176</v>
      </c>
      <c r="C1968" s="8" t="s">
        <v>8177</v>
      </c>
      <c r="D1968" s="8" t="s">
        <v>411</v>
      </c>
      <c r="E1968" s="8" t="s">
        <v>3890</v>
      </c>
      <c r="F1968" s="11" t="s">
        <v>8178</v>
      </c>
      <c r="G1968" s="8" t="s">
        <v>8179</v>
      </c>
      <c r="H1968" s="8" t="s">
        <v>8166</v>
      </c>
      <c r="I1968" s="8" t="s">
        <v>3756</v>
      </c>
    </row>
    <row r="1969" spans="1:9" ht="14.25" customHeight="1" x14ac:dyDescent="0.25">
      <c r="A1969" s="7" t="s">
        <v>8180</v>
      </c>
      <c r="B1969" s="8" t="s">
        <v>2365</v>
      </c>
      <c r="C1969" s="8" t="s">
        <v>8181</v>
      </c>
      <c r="D1969" s="8" t="s">
        <v>3163</v>
      </c>
      <c r="E1969" s="8" t="s">
        <v>3890</v>
      </c>
      <c r="F1969" s="11" t="s">
        <v>8182</v>
      </c>
      <c r="G1969" s="8" t="s">
        <v>8179</v>
      </c>
      <c r="H1969" s="8" t="s">
        <v>8166</v>
      </c>
      <c r="I1969" s="8" t="s">
        <v>3756</v>
      </c>
    </row>
    <row r="1970" spans="1:9" ht="14.25" customHeight="1" x14ac:dyDescent="0.25">
      <c r="A1970" s="7" t="s">
        <v>8183</v>
      </c>
      <c r="B1970" s="8" t="s">
        <v>4119</v>
      </c>
      <c r="C1970" s="8" t="s">
        <v>8184</v>
      </c>
      <c r="D1970" s="8" t="s">
        <v>411</v>
      </c>
      <c r="E1970" s="8" t="s">
        <v>412</v>
      </c>
      <c r="F1970" s="12" t="s">
        <v>8185</v>
      </c>
      <c r="G1970" s="8" t="s">
        <v>8186</v>
      </c>
      <c r="H1970" s="8" t="s">
        <v>4199</v>
      </c>
      <c r="I1970" s="8" t="s">
        <v>4039</v>
      </c>
    </row>
    <row r="1971" spans="1:9" ht="14.25" customHeight="1" x14ac:dyDescent="0.25">
      <c r="A1971" s="7" t="s">
        <v>8187</v>
      </c>
      <c r="B1971" s="8" t="s">
        <v>8188</v>
      </c>
      <c r="C1971" s="8" t="s">
        <v>8189</v>
      </c>
      <c r="D1971" s="8" t="s">
        <v>3163</v>
      </c>
      <c r="E1971" s="8" t="s">
        <v>3890</v>
      </c>
      <c r="F1971" s="12" t="s">
        <v>8190</v>
      </c>
      <c r="G1971" s="8" t="s">
        <v>8191</v>
      </c>
      <c r="H1971" s="8" t="s">
        <v>2212</v>
      </c>
      <c r="I1971" s="8" t="s">
        <v>3756</v>
      </c>
    </row>
    <row r="1972" spans="1:9" ht="14.25" customHeight="1" x14ac:dyDescent="0.25">
      <c r="A1972" s="7" t="s">
        <v>8192</v>
      </c>
      <c r="B1972" s="8" t="s">
        <v>8193</v>
      </c>
      <c r="C1972" s="8" t="s">
        <v>8194</v>
      </c>
      <c r="D1972" s="8" t="s">
        <v>411</v>
      </c>
      <c r="E1972" s="8" t="s">
        <v>3890</v>
      </c>
      <c r="F1972" s="12" t="s">
        <v>8195</v>
      </c>
      <c r="G1972" s="8" t="s">
        <v>8191</v>
      </c>
      <c r="H1972" s="8" t="s">
        <v>2212</v>
      </c>
      <c r="I1972" s="8" t="s">
        <v>3756</v>
      </c>
    </row>
    <row r="1973" spans="1:9" ht="14.25" customHeight="1" x14ac:dyDescent="0.25">
      <c r="A1973" s="7" t="s">
        <v>8196</v>
      </c>
      <c r="B1973" s="8" t="s">
        <v>8197</v>
      </c>
      <c r="C1973" s="8" t="s">
        <v>8198</v>
      </c>
      <c r="D1973" s="8" t="s">
        <v>411</v>
      </c>
      <c r="E1973" s="8" t="s">
        <v>412</v>
      </c>
      <c r="F1973" s="12" t="s">
        <v>8199</v>
      </c>
      <c r="G1973" s="23" t="s">
        <v>8200</v>
      </c>
      <c r="H1973" s="8" t="s">
        <v>61</v>
      </c>
      <c r="I1973" s="8" t="s">
        <v>3756</v>
      </c>
    </row>
    <row r="1974" spans="1:9" ht="14.25" customHeight="1" x14ac:dyDescent="0.25">
      <c r="A1974" s="7" t="s">
        <v>8201</v>
      </c>
      <c r="B1974" s="8" t="s">
        <v>8202</v>
      </c>
      <c r="C1974" s="8" t="s">
        <v>8203</v>
      </c>
      <c r="D1974" s="8" t="s">
        <v>411</v>
      </c>
      <c r="E1974" s="8" t="s">
        <v>3865</v>
      </c>
      <c r="F1974" s="12" t="s">
        <v>8204</v>
      </c>
      <c r="G1974" s="8" t="s">
        <v>8205</v>
      </c>
      <c r="H1974" s="8" t="s">
        <v>37</v>
      </c>
      <c r="I1974" s="8" t="s">
        <v>4039</v>
      </c>
    </row>
    <row r="1975" spans="1:9" ht="14.25" customHeight="1" x14ac:dyDescent="0.25">
      <c r="A1975" s="7" t="s">
        <v>8206</v>
      </c>
      <c r="B1975" s="8" t="s">
        <v>3078</v>
      </c>
      <c r="C1975" s="8" t="s">
        <v>2250</v>
      </c>
      <c r="D1975" s="8" t="s">
        <v>3163</v>
      </c>
      <c r="E1975" s="8" t="s">
        <v>3890</v>
      </c>
      <c r="F1975" s="11" t="s">
        <v>8207</v>
      </c>
      <c r="G1975" s="8" t="s">
        <v>8205</v>
      </c>
      <c r="H1975" s="8" t="s">
        <v>37</v>
      </c>
      <c r="I1975" s="8" t="s">
        <v>4039</v>
      </c>
    </row>
    <row r="1976" spans="1:9" ht="14.25" customHeight="1" x14ac:dyDescent="0.25">
      <c r="A1976" s="7" t="s">
        <v>8208</v>
      </c>
      <c r="B1976" s="8" t="s">
        <v>8209</v>
      </c>
      <c r="C1976" s="8" t="s">
        <v>8210</v>
      </c>
      <c r="D1976" s="8" t="s">
        <v>3163</v>
      </c>
      <c r="E1976" s="8" t="s">
        <v>412</v>
      </c>
      <c r="F1976" s="12" t="s">
        <v>8211</v>
      </c>
      <c r="G1976" s="8" t="s">
        <v>8212</v>
      </c>
      <c r="H1976" s="8" t="s">
        <v>6255</v>
      </c>
      <c r="I1976" s="8" t="s">
        <v>4371</v>
      </c>
    </row>
    <row r="1977" spans="1:9" ht="14.25" customHeight="1" x14ac:dyDescent="0.25">
      <c r="A1977" s="7" t="s">
        <v>8213</v>
      </c>
      <c r="B1977" s="8" t="s">
        <v>838</v>
      </c>
      <c r="C1977" s="8" t="s">
        <v>8214</v>
      </c>
      <c r="D1977" s="8" t="s">
        <v>411</v>
      </c>
      <c r="E1977" s="8" t="s">
        <v>412</v>
      </c>
      <c r="F1977" s="11" t="s">
        <v>8215</v>
      </c>
      <c r="G1977" s="8" t="s">
        <v>8216</v>
      </c>
      <c r="H1977" s="8" t="s">
        <v>61</v>
      </c>
      <c r="I1977" s="8" t="s">
        <v>4039</v>
      </c>
    </row>
    <row r="1978" spans="1:9" ht="14.25" customHeight="1" x14ac:dyDescent="0.25">
      <c r="A1978" s="7" t="s">
        <v>8217</v>
      </c>
      <c r="B1978" s="8" t="s">
        <v>832</v>
      </c>
      <c r="C1978" s="8" t="s">
        <v>8218</v>
      </c>
      <c r="D1978" s="8" t="s">
        <v>411</v>
      </c>
      <c r="E1978" s="8" t="s">
        <v>412</v>
      </c>
      <c r="F1978" s="12" t="s">
        <v>8219</v>
      </c>
      <c r="G1978" s="8" t="s">
        <v>8220</v>
      </c>
      <c r="H1978" s="8" t="s">
        <v>20</v>
      </c>
      <c r="I1978" s="8" t="s">
        <v>4039</v>
      </c>
    </row>
    <row r="1979" spans="1:9" ht="14.25" customHeight="1" x14ac:dyDescent="0.25">
      <c r="A1979" s="7" t="s">
        <v>8221</v>
      </c>
      <c r="B1979" s="8" t="s">
        <v>8222</v>
      </c>
      <c r="C1979" s="8" t="s">
        <v>2575</v>
      </c>
      <c r="D1979" s="8" t="s">
        <v>411</v>
      </c>
      <c r="E1979" s="8" t="s">
        <v>412</v>
      </c>
      <c r="F1979" s="12" t="s">
        <v>8223</v>
      </c>
      <c r="G1979" s="8" t="s">
        <v>8224</v>
      </c>
      <c r="H1979" s="8" t="s">
        <v>6255</v>
      </c>
      <c r="I1979" s="8" t="s">
        <v>4371</v>
      </c>
    </row>
    <row r="1980" spans="1:9" ht="14.25" customHeight="1" x14ac:dyDescent="0.25">
      <c r="A1980" s="7" t="s">
        <v>8225</v>
      </c>
      <c r="B1980" s="8" t="s">
        <v>4919</v>
      </c>
      <c r="C1980" s="8" t="s">
        <v>2319</v>
      </c>
      <c r="D1980" s="8" t="s">
        <v>411</v>
      </c>
      <c r="E1980" s="8" t="s">
        <v>412</v>
      </c>
      <c r="F1980" s="12" t="s">
        <v>8226</v>
      </c>
      <c r="G1980" s="8" t="s">
        <v>8227</v>
      </c>
      <c r="H1980" s="8" t="s">
        <v>2212</v>
      </c>
      <c r="I1980" s="8" t="s">
        <v>3756</v>
      </c>
    </row>
    <row r="1981" spans="1:9" ht="14.25" customHeight="1" x14ac:dyDescent="0.25">
      <c r="A1981" s="7" t="s">
        <v>8228</v>
      </c>
      <c r="B1981" s="8" t="s">
        <v>3478</v>
      </c>
      <c r="C1981" s="8" t="s">
        <v>8229</v>
      </c>
      <c r="D1981" s="8" t="s">
        <v>411</v>
      </c>
      <c r="E1981" s="8" t="s">
        <v>412</v>
      </c>
      <c r="F1981" s="11" t="s">
        <v>8230</v>
      </c>
      <c r="G1981" s="8" t="s">
        <v>8231</v>
      </c>
      <c r="H1981" s="8" t="s">
        <v>37</v>
      </c>
      <c r="I1981" s="8" t="s">
        <v>3756</v>
      </c>
    </row>
    <row r="1982" spans="1:9" ht="14.25" customHeight="1" x14ac:dyDescent="0.25">
      <c r="A1982" s="7" t="s">
        <v>8232</v>
      </c>
      <c r="B1982" s="8" t="s">
        <v>3718</v>
      </c>
      <c r="C1982" s="8" t="s">
        <v>8233</v>
      </c>
      <c r="D1982" s="8" t="s">
        <v>411</v>
      </c>
      <c r="E1982" s="8" t="s">
        <v>412</v>
      </c>
      <c r="F1982" s="12" t="s">
        <v>8234</v>
      </c>
      <c r="G1982" s="8" t="s">
        <v>8235</v>
      </c>
      <c r="H1982" s="8" t="s">
        <v>2212</v>
      </c>
      <c r="I1982" s="8" t="s">
        <v>4039</v>
      </c>
    </row>
    <row r="1983" spans="1:9" ht="14.25" customHeight="1" x14ac:dyDescent="0.25">
      <c r="A1983" s="7" t="s">
        <v>8236</v>
      </c>
      <c r="B1983" s="8" t="s">
        <v>8237</v>
      </c>
      <c r="C1983" s="8" t="s">
        <v>8238</v>
      </c>
      <c r="D1983" s="8" t="s">
        <v>411</v>
      </c>
      <c r="E1983" s="8" t="s">
        <v>412</v>
      </c>
      <c r="F1983" s="12" t="s">
        <v>8239</v>
      </c>
      <c r="G1983" s="8" t="s">
        <v>8240</v>
      </c>
      <c r="H1983" s="8" t="s">
        <v>20</v>
      </c>
      <c r="I1983" s="8" t="s">
        <v>3756</v>
      </c>
    </row>
    <row r="1984" spans="1:9" ht="14.25" customHeight="1" x14ac:dyDescent="0.25">
      <c r="A1984" s="7" t="s">
        <v>8241</v>
      </c>
      <c r="B1984" s="8" t="s">
        <v>1473</v>
      </c>
      <c r="C1984" s="8" t="s">
        <v>607</v>
      </c>
      <c r="D1984" s="8" t="s">
        <v>411</v>
      </c>
      <c r="E1984" s="8" t="s">
        <v>3890</v>
      </c>
      <c r="F1984" s="12" t="s">
        <v>8242</v>
      </c>
      <c r="G1984" s="8" t="s">
        <v>8243</v>
      </c>
      <c r="H1984" s="8" t="s">
        <v>5915</v>
      </c>
      <c r="I1984" s="8" t="s">
        <v>4039</v>
      </c>
    </row>
    <row r="1985" spans="1:9" ht="14.25" customHeight="1" x14ac:dyDescent="0.25">
      <c r="A1985" s="7" t="s">
        <v>8244</v>
      </c>
      <c r="B1985" s="8" t="s">
        <v>8245</v>
      </c>
      <c r="C1985" s="8" t="s">
        <v>8246</v>
      </c>
      <c r="D1985" s="8" t="s">
        <v>3163</v>
      </c>
      <c r="E1985" s="8" t="s">
        <v>3890</v>
      </c>
      <c r="F1985" s="11"/>
      <c r="G1985" s="8" t="s">
        <v>8243</v>
      </c>
      <c r="H1985" s="8" t="s">
        <v>5915</v>
      </c>
      <c r="I1985" s="8" t="s">
        <v>4039</v>
      </c>
    </row>
    <row r="1986" spans="1:9" ht="14.25" customHeight="1" x14ac:dyDescent="0.25">
      <c r="A1986" s="7" t="s">
        <v>8247</v>
      </c>
      <c r="B1986" s="8" t="s">
        <v>2847</v>
      </c>
      <c r="C1986" s="8" t="s">
        <v>8248</v>
      </c>
      <c r="D1986" s="8" t="s">
        <v>411</v>
      </c>
      <c r="E1986" s="8" t="s">
        <v>412</v>
      </c>
      <c r="F1986" s="12" t="s">
        <v>8249</v>
      </c>
      <c r="G1986" s="8" t="s">
        <v>8250</v>
      </c>
      <c r="H1986" s="8" t="s">
        <v>61</v>
      </c>
      <c r="I1986" s="8" t="s">
        <v>3756</v>
      </c>
    </row>
    <row r="1987" spans="1:9" ht="14.25" customHeight="1" x14ac:dyDescent="0.25">
      <c r="A1987" s="7" t="s">
        <v>8251</v>
      </c>
      <c r="B1987" s="8" t="s">
        <v>553</v>
      </c>
      <c r="C1987" s="8" t="s">
        <v>491</v>
      </c>
      <c r="D1987" s="8" t="s">
        <v>411</v>
      </c>
      <c r="E1987" s="8" t="s">
        <v>412</v>
      </c>
      <c r="F1987" s="11"/>
      <c r="G1987" s="8"/>
      <c r="H1987" s="8"/>
      <c r="I1987" s="8"/>
    </row>
    <row r="1988" spans="1:9" ht="14.25" customHeight="1" x14ac:dyDescent="0.25">
      <c r="A1988" s="7" t="s">
        <v>8252</v>
      </c>
      <c r="B1988" s="8" t="s">
        <v>4881</v>
      </c>
      <c r="C1988" s="8" t="s">
        <v>8253</v>
      </c>
      <c r="D1988" s="8" t="s">
        <v>411</v>
      </c>
      <c r="E1988" s="8" t="s">
        <v>412</v>
      </c>
      <c r="F1988" s="12" t="s">
        <v>8254</v>
      </c>
      <c r="G1988" s="8" t="s">
        <v>8255</v>
      </c>
      <c r="H1988" s="8" t="s">
        <v>6162</v>
      </c>
      <c r="I1988" s="8" t="s">
        <v>3756</v>
      </c>
    </row>
    <row r="1989" spans="1:9" ht="14.25" customHeight="1" x14ac:dyDescent="0.25">
      <c r="A1989" s="7" t="s">
        <v>8256</v>
      </c>
      <c r="B1989" s="8" t="s">
        <v>8257</v>
      </c>
      <c r="C1989" s="8" t="s">
        <v>462</v>
      </c>
      <c r="D1989" s="8" t="s">
        <v>411</v>
      </c>
      <c r="E1989" s="8" t="s">
        <v>412</v>
      </c>
      <c r="F1989" s="12" t="s">
        <v>8258</v>
      </c>
      <c r="G1989" s="8" t="s">
        <v>8259</v>
      </c>
      <c r="H1989" s="8" t="s">
        <v>8260</v>
      </c>
      <c r="I1989" s="8" t="s">
        <v>4039</v>
      </c>
    </row>
    <row r="1990" spans="1:9" ht="14.25" customHeight="1" x14ac:dyDescent="0.25">
      <c r="A1990" s="7" t="s">
        <v>8261</v>
      </c>
      <c r="B1990" s="8" t="s">
        <v>8262</v>
      </c>
      <c r="C1990" s="8" t="s">
        <v>8263</v>
      </c>
      <c r="D1990" s="8" t="s">
        <v>411</v>
      </c>
      <c r="E1990" s="8" t="s">
        <v>412</v>
      </c>
      <c r="F1990" s="12" t="s">
        <v>8264</v>
      </c>
      <c r="G1990" s="8" t="s">
        <v>8265</v>
      </c>
      <c r="H1990" s="8" t="s">
        <v>8266</v>
      </c>
      <c r="I1990" s="8" t="s">
        <v>3756</v>
      </c>
    </row>
    <row r="1991" spans="1:9" ht="14.25" customHeight="1" x14ac:dyDescent="0.25">
      <c r="A1991" s="7" t="s">
        <v>8267</v>
      </c>
      <c r="B1991" s="8" t="s">
        <v>1912</v>
      </c>
      <c r="C1991" s="8" t="s">
        <v>8268</v>
      </c>
      <c r="D1991" s="8" t="s">
        <v>3163</v>
      </c>
      <c r="E1991" s="8" t="s">
        <v>3890</v>
      </c>
      <c r="F1991" s="11" t="s">
        <v>8269</v>
      </c>
      <c r="G1991" s="8" t="s">
        <v>8270</v>
      </c>
      <c r="H1991" s="8" t="s">
        <v>82</v>
      </c>
      <c r="I1991" s="8" t="s">
        <v>4039</v>
      </c>
    </row>
    <row r="1992" spans="1:9" ht="14.25" customHeight="1" x14ac:dyDescent="0.25">
      <c r="A1992" s="7" t="s">
        <v>8271</v>
      </c>
      <c r="B1992" s="8" t="s">
        <v>8272</v>
      </c>
      <c r="C1992" s="8" t="s">
        <v>8273</v>
      </c>
      <c r="D1992" s="8" t="s">
        <v>411</v>
      </c>
      <c r="E1992" s="8" t="s">
        <v>3890</v>
      </c>
      <c r="F1992" s="11" t="s">
        <v>8274</v>
      </c>
      <c r="G1992" s="8" t="s">
        <v>8270</v>
      </c>
      <c r="H1992" s="8" t="s">
        <v>82</v>
      </c>
      <c r="I1992" s="8" t="s">
        <v>4039</v>
      </c>
    </row>
    <row r="1993" spans="1:9" ht="14.25" customHeight="1" x14ac:dyDescent="0.25">
      <c r="A1993" s="7" t="s">
        <v>8275</v>
      </c>
      <c r="B1993" s="8" t="s">
        <v>602</v>
      </c>
      <c r="C1993" s="8" t="s">
        <v>7821</v>
      </c>
      <c r="D1993" s="8" t="s">
        <v>3163</v>
      </c>
      <c r="E1993" s="8" t="s">
        <v>412</v>
      </c>
      <c r="F1993" s="11" t="s">
        <v>8276</v>
      </c>
      <c r="G1993" s="8" t="s">
        <v>8277</v>
      </c>
      <c r="H1993" s="8" t="s">
        <v>3918</v>
      </c>
      <c r="I1993" s="8" t="s">
        <v>4039</v>
      </c>
    </row>
    <row r="1994" spans="1:9" ht="14.25" customHeight="1" x14ac:dyDescent="0.25">
      <c r="A1994" s="7" t="s">
        <v>8278</v>
      </c>
      <c r="B1994" s="8" t="s">
        <v>1095</v>
      </c>
      <c r="C1994" s="8" t="s">
        <v>8279</v>
      </c>
      <c r="D1994" s="8" t="s">
        <v>411</v>
      </c>
      <c r="E1994" s="8" t="s">
        <v>412</v>
      </c>
      <c r="F1994" s="11" t="s">
        <v>8280</v>
      </c>
      <c r="G1994" s="8" t="s">
        <v>8281</v>
      </c>
      <c r="H1994" s="8" t="s">
        <v>82</v>
      </c>
      <c r="I1994" s="8" t="s">
        <v>3756</v>
      </c>
    </row>
    <row r="1995" spans="1:9" ht="14.25" customHeight="1" x14ac:dyDescent="0.25">
      <c r="A1995" s="7" t="s">
        <v>8282</v>
      </c>
      <c r="B1995" s="8" t="s">
        <v>2070</v>
      </c>
      <c r="C1995" s="8" t="s">
        <v>8283</v>
      </c>
      <c r="D1995" s="8" t="s">
        <v>411</v>
      </c>
      <c r="E1995" s="8" t="s">
        <v>412</v>
      </c>
      <c r="F1995" s="11" t="s">
        <v>8284</v>
      </c>
      <c r="G1995" s="8"/>
      <c r="H1995" s="8"/>
      <c r="I1995" s="8"/>
    </row>
    <row r="1996" spans="1:9" ht="14.25" customHeight="1" x14ac:dyDescent="0.25">
      <c r="A1996" s="7" t="s">
        <v>8285</v>
      </c>
      <c r="B1996" s="8" t="s">
        <v>7625</v>
      </c>
      <c r="C1996" s="8" t="s">
        <v>8286</v>
      </c>
      <c r="D1996" s="8" t="s">
        <v>411</v>
      </c>
      <c r="E1996" s="8" t="s">
        <v>412</v>
      </c>
      <c r="F1996" s="11" t="s">
        <v>8287</v>
      </c>
      <c r="G1996" s="8" t="s">
        <v>8288</v>
      </c>
      <c r="H1996" s="8" t="s">
        <v>8289</v>
      </c>
      <c r="I1996" s="8" t="s">
        <v>3756</v>
      </c>
    </row>
    <row r="1997" spans="1:9" ht="14.25" customHeight="1" x14ac:dyDescent="0.25">
      <c r="A1997" s="7" t="s">
        <v>8290</v>
      </c>
      <c r="B1997" s="8" t="s">
        <v>842</v>
      </c>
      <c r="C1997" s="8" t="s">
        <v>8291</v>
      </c>
      <c r="D1997" s="8" t="s">
        <v>411</v>
      </c>
      <c r="E1997" s="8" t="s">
        <v>412</v>
      </c>
      <c r="F1997" s="11" t="s">
        <v>8292</v>
      </c>
      <c r="G1997" s="8" t="s">
        <v>8293</v>
      </c>
      <c r="H1997" s="8" t="s">
        <v>2212</v>
      </c>
      <c r="I1997" s="8" t="s">
        <v>4039</v>
      </c>
    </row>
    <row r="1998" spans="1:9" ht="14.25" customHeight="1" x14ac:dyDescent="0.25">
      <c r="A1998" s="7" t="s">
        <v>8294</v>
      </c>
      <c r="B1998" s="8" t="s">
        <v>4729</v>
      </c>
      <c r="C1998" s="8" t="s">
        <v>8295</v>
      </c>
      <c r="D1998" s="8" t="s">
        <v>3163</v>
      </c>
      <c r="E1998" s="8" t="s">
        <v>412</v>
      </c>
      <c r="F1998" s="11" t="s">
        <v>8296</v>
      </c>
      <c r="G1998" s="8"/>
      <c r="H1998" s="8" t="s">
        <v>92</v>
      </c>
      <c r="I1998" s="8" t="s">
        <v>4404</v>
      </c>
    </row>
    <row r="1999" spans="1:9" ht="14.25" customHeight="1" x14ac:dyDescent="0.25">
      <c r="A1999" s="7" t="s">
        <v>8297</v>
      </c>
      <c r="B1999" s="8" t="s">
        <v>8298</v>
      </c>
      <c r="C1999" s="8" t="s">
        <v>8299</v>
      </c>
      <c r="D1999" s="8" t="s">
        <v>411</v>
      </c>
      <c r="E1999" s="8" t="s">
        <v>3890</v>
      </c>
      <c r="F1999" s="12" t="s">
        <v>8300</v>
      </c>
      <c r="G1999" s="8" t="s">
        <v>8301</v>
      </c>
      <c r="H1999" s="8" t="s">
        <v>20</v>
      </c>
      <c r="I1999" s="8" t="s">
        <v>4039</v>
      </c>
    </row>
    <row r="2000" spans="1:9" ht="14.25" customHeight="1" x14ac:dyDescent="0.25">
      <c r="A2000" s="7" t="s">
        <v>8302</v>
      </c>
      <c r="B2000" s="8" t="s">
        <v>8303</v>
      </c>
      <c r="C2000" s="8" t="s">
        <v>8304</v>
      </c>
      <c r="D2000" s="8" t="s">
        <v>3163</v>
      </c>
      <c r="E2000" s="8" t="s">
        <v>3890</v>
      </c>
      <c r="F2000" s="12" t="s">
        <v>8305</v>
      </c>
      <c r="G2000" s="8" t="s">
        <v>8301</v>
      </c>
      <c r="H2000" s="8" t="s">
        <v>20</v>
      </c>
      <c r="I2000" s="8" t="s">
        <v>4039</v>
      </c>
    </row>
    <row r="2001" spans="1:9" ht="14.25" customHeight="1" x14ac:dyDescent="0.25">
      <c r="A2001" s="7" t="s">
        <v>8306</v>
      </c>
      <c r="B2001" s="8" t="s">
        <v>7625</v>
      </c>
      <c r="C2001" s="8" t="s">
        <v>8307</v>
      </c>
      <c r="D2001" s="8" t="s">
        <v>411</v>
      </c>
      <c r="E2001" s="8" t="s">
        <v>3890</v>
      </c>
      <c r="F2001" s="12" t="s">
        <v>8308</v>
      </c>
      <c r="G2001" s="8"/>
      <c r="H2001" s="8" t="s">
        <v>8309</v>
      </c>
      <c r="I2001" s="8" t="s">
        <v>4371</v>
      </c>
    </row>
    <row r="2002" spans="1:9" ht="14.25" customHeight="1" x14ac:dyDescent="0.25">
      <c r="A2002" s="7" t="s">
        <v>8310</v>
      </c>
      <c r="B2002" s="8" t="s">
        <v>6982</v>
      </c>
      <c r="C2002" s="8" t="s">
        <v>8311</v>
      </c>
      <c r="D2002" s="8" t="s">
        <v>411</v>
      </c>
      <c r="E2002" s="8" t="s">
        <v>1359</v>
      </c>
      <c r="F2002" s="11" t="s">
        <v>8312</v>
      </c>
      <c r="G2002" s="8" t="s">
        <v>8313</v>
      </c>
      <c r="H2002" s="8" t="s">
        <v>15</v>
      </c>
      <c r="I2002" s="8" t="s">
        <v>4039</v>
      </c>
    </row>
    <row r="2003" spans="1:9" ht="14.25" customHeight="1" x14ac:dyDescent="0.25">
      <c r="A2003" s="7" t="s">
        <v>8314</v>
      </c>
      <c r="B2003" s="8" t="s">
        <v>8315</v>
      </c>
      <c r="C2003" s="8" t="s">
        <v>8316</v>
      </c>
      <c r="D2003" s="8" t="s">
        <v>3163</v>
      </c>
      <c r="E2003" s="8" t="s">
        <v>3890</v>
      </c>
      <c r="F2003" s="12" t="s">
        <v>8317</v>
      </c>
      <c r="G2003" s="8"/>
      <c r="H2003" s="8" t="s">
        <v>8309</v>
      </c>
      <c r="I2003" s="8" t="s">
        <v>4371</v>
      </c>
    </row>
    <row r="2004" spans="1:9" ht="14.25" customHeight="1" x14ac:dyDescent="0.25">
      <c r="A2004" s="7" t="s">
        <v>8318</v>
      </c>
      <c r="B2004" s="8" t="s">
        <v>3788</v>
      </c>
      <c r="C2004" s="8" t="s">
        <v>5765</v>
      </c>
      <c r="D2004" s="8" t="s">
        <v>3163</v>
      </c>
      <c r="E2004" s="8" t="s">
        <v>412</v>
      </c>
      <c r="F2004" s="12" t="s">
        <v>8319</v>
      </c>
      <c r="G2004" s="8" t="s">
        <v>8320</v>
      </c>
      <c r="H2004" s="8" t="s">
        <v>61</v>
      </c>
      <c r="I2004" s="8" t="s">
        <v>4039</v>
      </c>
    </row>
    <row r="2005" spans="1:9" ht="14.25" customHeight="1" x14ac:dyDescent="0.25">
      <c r="A2005" s="7" t="s">
        <v>8321</v>
      </c>
      <c r="B2005" s="8" t="s">
        <v>8322</v>
      </c>
      <c r="C2005" s="8" t="s">
        <v>8323</v>
      </c>
      <c r="D2005" s="8" t="s">
        <v>3163</v>
      </c>
      <c r="E2005" s="8" t="s">
        <v>412</v>
      </c>
      <c r="F2005" s="12" t="s">
        <v>8324</v>
      </c>
      <c r="G2005" s="8" t="s">
        <v>8325</v>
      </c>
      <c r="H2005" s="8" t="s">
        <v>25</v>
      </c>
      <c r="I2005" s="8" t="s">
        <v>3756</v>
      </c>
    </row>
    <row r="2006" spans="1:9" ht="14.25" customHeight="1" x14ac:dyDescent="0.25">
      <c r="A2006" s="7" t="s">
        <v>8326</v>
      </c>
      <c r="B2006" s="8" t="s">
        <v>1398</v>
      </c>
      <c r="C2006" s="8" t="s">
        <v>607</v>
      </c>
      <c r="D2006" s="8" t="s">
        <v>3163</v>
      </c>
      <c r="E2006" s="8" t="s">
        <v>412</v>
      </c>
      <c r="F2006" s="11" t="s">
        <v>8327</v>
      </c>
      <c r="G2006" s="8" t="s">
        <v>8328</v>
      </c>
      <c r="H2006" s="8" t="s">
        <v>5915</v>
      </c>
      <c r="I2006" s="8" t="s">
        <v>3756</v>
      </c>
    </row>
    <row r="2007" spans="1:9" ht="14.25" customHeight="1" x14ac:dyDescent="0.25">
      <c r="A2007" s="7" t="s">
        <v>8329</v>
      </c>
      <c r="B2007" s="8" t="s">
        <v>8330</v>
      </c>
      <c r="C2007" s="8" t="s">
        <v>8331</v>
      </c>
      <c r="D2007" s="8" t="s">
        <v>411</v>
      </c>
      <c r="E2007" s="8" t="s">
        <v>412</v>
      </c>
      <c r="F2007" s="12" t="s">
        <v>8332</v>
      </c>
      <c r="G2007" s="8" t="s">
        <v>8333</v>
      </c>
      <c r="H2007" s="8" t="s">
        <v>15</v>
      </c>
      <c r="I2007" s="8" t="s">
        <v>3756</v>
      </c>
    </row>
    <row r="2008" spans="1:9" ht="14.25" customHeight="1" x14ac:dyDescent="0.25">
      <c r="A2008" s="7" t="s">
        <v>8334</v>
      </c>
      <c r="B2008" s="8" t="s">
        <v>8335</v>
      </c>
      <c r="C2008" s="8" t="s">
        <v>8336</v>
      </c>
      <c r="D2008" s="8" t="s">
        <v>3163</v>
      </c>
      <c r="E2008" s="8" t="s">
        <v>412</v>
      </c>
      <c r="F2008" s="11"/>
      <c r="G2008" s="8"/>
      <c r="H2008" s="8"/>
      <c r="I2008" s="8" t="s">
        <v>4039</v>
      </c>
    </row>
    <row r="2009" spans="1:9" ht="14.25" customHeight="1" x14ac:dyDescent="0.25">
      <c r="A2009" s="7" t="s">
        <v>8337</v>
      </c>
      <c r="B2009" s="8" t="s">
        <v>2006</v>
      </c>
      <c r="C2009" s="8" t="s">
        <v>4236</v>
      </c>
      <c r="D2009" s="8" t="s">
        <v>3163</v>
      </c>
      <c r="E2009" s="8" t="s">
        <v>412</v>
      </c>
      <c r="F2009" s="11"/>
      <c r="G2009" s="8"/>
      <c r="H2009" s="8"/>
      <c r="I2009" s="8" t="s">
        <v>4039</v>
      </c>
    </row>
    <row r="2010" spans="1:9" ht="14.25" customHeight="1" x14ac:dyDescent="0.25">
      <c r="A2010" s="7" t="s">
        <v>8338</v>
      </c>
      <c r="B2010" s="8" t="s">
        <v>8339</v>
      </c>
      <c r="C2010" s="8" t="s">
        <v>5798</v>
      </c>
      <c r="D2010" s="8" t="s">
        <v>3163</v>
      </c>
      <c r="E2010" s="8" t="s">
        <v>3890</v>
      </c>
      <c r="F2010" s="12" t="s">
        <v>8340</v>
      </c>
      <c r="G2010" s="8" t="s">
        <v>8341</v>
      </c>
      <c r="H2010" s="8" t="s">
        <v>37</v>
      </c>
      <c r="I2010" s="8" t="s">
        <v>3756</v>
      </c>
    </row>
    <row r="2011" spans="1:9" ht="14.25" customHeight="1" x14ac:dyDescent="0.25">
      <c r="A2011" s="7" t="s">
        <v>8342</v>
      </c>
      <c r="B2011" s="8" t="s">
        <v>8343</v>
      </c>
      <c r="C2011" s="8" t="s">
        <v>1358</v>
      </c>
      <c r="D2011" s="8" t="s">
        <v>411</v>
      </c>
      <c r="E2011" s="8" t="s">
        <v>3890</v>
      </c>
      <c r="F2011" s="12" t="s">
        <v>8344</v>
      </c>
      <c r="G2011" s="8" t="s">
        <v>8341</v>
      </c>
      <c r="H2011" s="8" t="s">
        <v>37</v>
      </c>
      <c r="I2011" s="8" t="s">
        <v>3756</v>
      </c>
    </row>
    <row r="2012" spans="1:9" ht="14.25" customHeight="1" x14ac:dyDescent="0.25">
      <c r="A2012" s="7" t="s">
        <v>8345</v>
      </c>
      <c r="B2012" s="8" t="s">
        <v>8346</v>
      </c>
      <c r="C2012" s="8" t="s">
        <v>8347</v>
      </c>
      <c r="D2012" s="8" t="s">
        <v>411</v>
      </c>
      <c r="E2012" s="8" t="s">
        <v>412</v>
      </c>
      <c r="F2012" s="12" t="s">
        <v>8348</v>
      </c>
      <c r="G2012" s="8" t="s">
        <v>8349</v>
      </c>
      <c r="H2012" s="8" t="s">
        <v>2212</v>
      </c>
      <c r="I2012" s="8" t="s">
        <v>4371</v>
      </c>
    </row>
    <row r="2013" spans="1:9" ht="14.25" customHeight="1" x14ac:dyDescent="0.25">
      <c r="A2013" s="7" t="s">
        <v>8350</v>
      </c>
      <c r="B2013" s="8" t="s">
        <v>5512</v>
      </c>
      <c r="C2013" s="8" t="s">
        <v>8351</v>
      </c>
      <c r="D2013" s="8" t="s">
        <v>411</v>
      </c>
      <c r="E2013" s="8" t="s">
        <v>412</v>
      </c>
      <c r="F2013" s="12" t="s">
        <v>8352</v>
      </c>
      <c r="G2013" s="8"/>
      <c r="H2013" s="8"/>
      <c r="I2013" s="8"/>
    </row>
    <row r="2014" spans="1:9" ht="14.25" customHeight="1" x14ac:dyDescent="0.25">
      <c r="A2014" s="7" t="s">
        <v>8353</v>
      </c>
      <c r="B2014" s="8" t="s">
        <v>5947</v>
      </c>
      <c r="C2014" s="8" t="s">
        <v>8354</v>
      </c>
      <c r="D2014" s="8" t="s">
        <v>411</v>
      </c>
      <c r="E2014" s="8" t="s">
        <v>3890</v>
      </c>
      <c r="F2014" s="12" t="s">
        <v>8355</v>
      </c>
      <c r="G2014" s="8" t="s">
        <v>8356</v>
      </c>
      <c r="H2014" s="8" t="s">
        <v>8266</v>
      </c>
      <c r="I2014" s="8" t="s">
        <v>4039</v>
      </c>
    </row>
    <row r="2015" spans="1:9" ht="14.25" customHeight="1" x14ac:dyDescent="0.25">
      <c r="A2015" s="7" t="s">
        <v>8357</v>
      </c>
      <c r="B2015" s="8" t="s">
        <v>3535</v>
      </c>
      <c r="C2015" s="8" t="s">
        <v>8358</v>
      </c>
      <c r="D2015" s="8" t="s">
        <v>3163</v>
      </c>
      <c r="E2015" s="8" t="s">
        <v>3890</v>
      </c>
      <c r="F2015" s="11"/>
      <c r="G2015" s="8" t="s">
        <v>8356</v>
      </c>
      <c r="H2015" s="8" t="s">
        <v>8266</v>
      </c>
      <c r="I2015" s="8" t="s">
        <v>4039</v>
      </c>
    </row>
    <row r="2016" spans="1:9" ht="14.25" customHeight="1" x14ac:dyDescent="0.25">
      <c r="A2016" s="7" t="s">
        <v>8359</v>
      </c>
      <c r="B2016" s="8" t="s">
        <v>8360</v>
      </c>
      <c r="C2016" s="8" t="s">
        <v>8361</v>
      </c>
      <c r="D2016" s="8" t="s">
        <v>411</v>
      </c>
      <c r="E2016" s="8" t="s">
        <v>412</v>
      </c>
      <c r="F2016" s="12" t="s">
        <v>8362</v>
      </c>
      <c r="G2016" s="8" t="s">
        <v>8363</v>
      </c>
      <c r="H2016" s="8" t="s">
        <v>4380</v>
      </c>
      <c r="I2016" s="8" t="s">
        <v>4039</v>
      </c>
    </row>
    <row r="2017" spans="1:9" ht="14.25" customHeight="1" x14ac:dyDescent="0.25">
      <c r="A2017" s="7" t="s">
        <v>8364</v>
      </c>
      <c r="B2017" s="8" t="s">
        <v>4615</v>
      </c>
      <c r="C2017" s="8" t="s">
        <v>8365</v>
      </c>
      <c r="D2017" s="8" t="s">
        <v>411</v>
      </c>
      <c r="E2017" s="8" t="s">
        <v>412</v>
      </c>
      <c r="F2017" s="11" t="s">
        <v>8366</v>
      </c>
      <c r="G2017" s="8" t="s">
        <v>8367</v>
      </c>
      <c r="H2017" s="8" t="s">
        <v>61</v>
      </c>
      <c r="I2017" s="8" t="s">
        <v>3756</v>
      </c>
    </row>
    <row r="2018" spans="1:9" ht="14.25" customHeight="1" x14ac:dyDescent="0.25">
      <c r="A2018" s="7" t="s">
        <v>8368</v>
      </c>
      <c r="B2018" s="8" t="s">
        <v>4515</v>
      </c>
      <c r="C2018" s="8" t="s">
        <v>287</v>
      </c>
      <c r="D2018" s="8" t="s">
        <v>411</v>
      </c>
      <c r="E2018" s="8" t="s">
        <v>412</v>
      </c>
      <c r="F2018" s="11" t="s">
        <v>8369</v>
      </c>
      <c r="G2018" s="8" t="s">
        <v>8370</v>
      </c>
      <c r="H2018" s="8" t="s">
        <v>2212</v>
      </c>
      <c r="I2018" s="8" t="s">
        <v>4371</v>
      </c>
    </row>
    <row r="2019" spans="1:9" ht="14.25" customHeight="1" x14ac:dyDescent="0.25">
      <c r="A2019" s="7" t="s">
        <v>8371</v>
      </c>
      <c r="B2019" s="8" t="s">
        <v>518</v>
      </c>
      <c r="C2019" s="8" t="s">
        <v>7615</v>
      </c>
      <c r="D2019" s="8" t="s">
        <v>411</v>
      </c>
      <c r="E2019" s="8" t="s">
        <v>3890</v>
      </c>
      <c r="F2019" s="11" t="s">
        <v>8372</v>
      </c>
      <c r="G2019" s="8" t="s">
        <v>8373</v>
      </c>
      <c r="H2019" s="8" t="s">
        <v>92</v>
      </c>
      <c r="I2019" s="8" t="s">
        <v>3756</v>
      </c>
    </row>
    <row r="2020" spans="1:9" ht="14.25" customHeight="1" x14ac:dyDescent="0.25">
      <c r="A2020" s="7" t="s">
        <v>8374</v>
      </c>
      <c r="B2020" s="8" t="s">
        <v>8375</v>
      </c>
      <c r="C2020" s="8" t="s">
        <v>8376</v>
      </c>
      <c r="D2020" s="8" t="s">
        <v>3163</v>
      </c>
      <c r="E2020" s="8" t="s">
        <v>3890</v>
      </c>
      <c r="F2020" s="11"/>
      <c r="G2020" s="8" t="s">
        <v>8373</v>
      </c>
      <c r="H2020" s="8" t="s">
        <v>92</v>
      </c>
      <c r="I2020" s="8" t="s">
        <v>3756</v>
      </c>
    </row>
    <row r="2021" spans="1:9" ht="14.25" customHeight="1" x14ac:dyDescent="0.25">
      <c r="A2021" s="7" t="s">
        <v>8377</v>
      </c>
      <c r="B2021" s="8" t="s">
        <v>590</v>
      </c>
      <c r="C2021" s="8" t="s">
        <v>8378</v>
      </c>
      <c r="D2021" s="8" t="s">
        <v>3163</v>
      </c>
      <c r="E2021" s="8" t="s">
        <v>412</v>
      </c>
      <c r="F2021" s="11" t="s">
        <v>8379</v>
      </c>
      <c r="G2021" s="8" t="s">
        <v>8380</v>
      </c>
      <c r="H2021" s="8" t="s">
        <v>3820</v>
      </c>
      <c r="I2021" s="8" t="s">
        <v>4371</v>
      </c>
    </row>
    <row r="2022" spans="1:9" ht="14.25" customHeight="1" x14ac:dyDescent="0.25">
      <c r="A2022" s="7" t="s">
        <v>8381</v>
      </c>
      <c r="B2022" s="8" t="s">
        <v>5694</v>
      </c>
      <c r="C2022" s="8" t="s">
        <v>2308</v>
      </c>
      <c r="D2022" s="8" t="s">
        <v>3163</v>
      </c>
      <c r="E2022" s="8" t="s">
        <v>8382</v>
      </c>
      <c r="F2022" s="11" t="s">
        <v>8383</v>
      </c>
      <c r="G2022" s="8" t="s">
        <v>8384</v>
      </c>
      <c r="H2022" s="8" t="s">
        <v>6143</v>
      </c>
      <c r="I2022" s="8" t="s">
        <v>4039</v>
      </c>
    </row>
    <row r="2023" spans="1:9" ht="14.25" customHeight="1" x14ac:dyDescent="0.25">
      <c r="A2023" s="7" t="s">
        <v>8385</v>
      </c>
      <c r="B2023" s="8" t="s">
        <v>7266</v>
      </c>
      <c r="C2023" s="8" t="s">
        <v>8386</v>
      </c>
      <c r="D2023" s="8" t="s">
        <v>411</v>
      </c>
      <c r="E2023" s="8" t="s">
        <v>412</v>
      </c>
      <c r="F2023" s="11" t="s">
        <v>8387</v>
      </c>
      <c r="G2023" s="8" t="s">
        <v>8388</v>
      </c>
      <c r="H2023" s="8" t="s">
        <v>25</v>
      </c>
      <c r="I2023" s="8" t="s">
        <v>4039</v>
      </c>
    </row>
    <row r="2024" spans="1:9" ht="14.25" customHeight="1" x14ac:dyDescent="0.25">
      <c r="A2024" s="7" t="s">
        <v>8389</v>
      </c>
      <c r="B2024" s="8" t="s">
        <v>8390</v>
      </c>
      <c r="C2024" s="8" t="s">
        <v>8391</v>
      </c>
      <c r="D2024" s="8" t="s">
        <v>411</v>
      </c>
      <c r="E2024" s="8" t="s">
        <v>412</v>
      </c>
      <c r="F2024" s="11" t="s">
        <v>8392</v>
      </c>
      <c r="G2024" s="8" t="s">
        <v>8393</v>
      </c>
      <c r="H2024" s="8" t="s">
        <v>6128</v>
      </c>
      <c r="I2024" s="8" t="s">
        <v>4039</v>
      </c>
    </row>
    <row r="2025" spans="1:9" ht="14.25" customHeight="1" x14ac:dyDescent="0.25">
      <c r="A2025" s="7" t="s">
        <v>8394</v>
      </c>
      <c r="B2025" s="8" t="s">
        <v>1866</v>
      </c>
      <c r="C2025" s="8" t="s">
        <v>6849</v>
      </c>
      <c r="D2025" s="8" t="s">
        <v>411</v>
      </c>
      <c r="E2025" s="8" t="s">
        <v>412</v>
      </c>
      <c r="F2025" s="11" t="s">
        <v>8395</v>
      </c>
      <c r="G2025" s="8" t="s">
        <v>8396</v>
      </c>
      <c r="H2025" s="8" t="s">
        <v>3820</v>
      </c>
      <c r="I2025" s="8" t="s">
        <v>3756</v>
      </c>
    </row>
    <row r="2026" spans="1:9" ht="14.25" customHeight="1" x14ac:dyDescent="0.25">
      <c r="A2026" s="7" t="s">
        <v>8397</v>
      </c>
      <c r="B2026" s="8" t="s">
        <v>8398</v>
      </c>
      <c r="C2026" s="8" t="s">
        <v>6849</v>
      </c>
      <c r="D2026" s="8" t="s">
        <v>3163</v>
      </c>
      <c r="E2026" s="8" t="s">
        <v>412</v>
      </c>
      <c r="F2026" s="11" t="s">
        <v>8395</v>
      </c>
      <c r="G2026" s="8" t="s">
        <v>8396</v>
      </c>
      <c r="H2026" s="8" t="s">
        <v>3820</v>
      </c>
      <c r="I2026" s="8" t="s">
        <v>3756</v>
      </c>
    </row>
    <row r="2027" spans="1:9" ht="14.25" customHeight="1" x14ac:dyDescent="0.25">
      <c r="A2027" s="7" t="s">
        <v>8399</v>
      </c>
      <c r="B2027" s="8" t="s">
        <v>8400</v>
      </c>
      <c r="C2027" s="8" t="s">
        <v>8401</v>
      </c>
      <c r="D2027" s="8" t="s">
        <v>3163</v>
      </c>
      <c r="E2027" s="8" t="s">
        <v>412</v>
      </c>
      <c r="F2027" s="12" t="s">
        <v>8402</v>
      </c>
      <c r="G2027" s="8" t="s">
        <v>8403</v>
      </c>
      <c r="H2027" s="8" t="s">
        <v>8404</v>
      </c>
      <c r="I2027" s="8" t="s">
        <v>4039</v>
      </c>
    </row>
    <row r="2028" spans="1:9" ht="14.25" customHeight="1" x14ac:dyDescent="0.25">
      <c r="A2028" s="7" t="s">
        <v>8405</v>
      </c>
      <c r="B2028" s="8" t="s">
        <v>7351</v>
      </c>
      <c r="C2028" s="8" t="s">
        <v>8406</v>
      </c>
      <c r="D2028" s="8" t="s">
        <v>411</v>
      </c>
      <c r="E2028" s="8" t="s">
        <v>412</v>
      </c>
      <c r="F2028" s="11" t="s">
        <v>8407</v>
      </c>
      <c r="G2028" s="8" t="s">
        <v>8408</v>
      </c>
      <c r="H2028" s="8" t="s">
        <v>2212</v>
      </c>
      <c r="I2028" s="8" t="s">
        <v>3756</v>
      </c>
    </row>
    <row r="2029" spans="1:9" ht="14.25" customHeight="1" x14ac:dyDescent="0.25">
      <c r="A2029" s="7" t="s">
        <v>8409</v>
      </c>
      <c r="B2029" s="8" t="s">
        <v>1693</v>
      </c>
      <c r="C2029" s="8" t="s">
        <v>8410</v>
      </c>
      <c r="D2029" s="8" t="s">
        <v>411</v>
      </c>
      <c r="E2029" s="8" t="s">
        <v>1359</v>
      </c>
      <c r="F2029" s="11" t="s">
        <v>8411</v>
      </c>
      <c r="G2029" s="8" t="s">
        <v>8412</v>
      </c>
      <c r="H2029" s="8" t="s">
        <v>25</v>
      </c>
      <c r="I2029" s="8" t="s">
        <v>5347</v>
      </c>
    </row>
    <row r="2030" spans="1:9" ht="14.25" customHeight="1" x14ac:dyDescent="0.25">
      <c r="A2030" s="7" t="s">
        <v>8413</v>
      </c>
      <c r="B2030" s="8" t="s">
        <v>7648</v>
      </c>
      <c r="C2030" s="8" t="s">
        <v>8414</v>
      </c>
      <c r="D2030" s="8" t="s">
        <v>8415</v>
      </c>
      <c r="E2030" s="8" t="s">
        <v>412</v>
      </c>
      <c r="F2030" s="11" t="s">
        <v>7650</v>
      </c>
      <c r="G2030" s="8" t="s">
        <v>8416</v>
      </c>
      <c r="H2030" s="8" t="s">
        <v>2212</v>
      </c>
      <c r="I2030" s="8" t="s">
        <v>4039</v>
      </c>
    </row>
    <row r="2031" spans="1:9" ht="14.25" customHeight="1" x14ac:dyDescent="0.25">
      <c r="A2031" s="7" t="s">
        <v>8417</v>
      </c>
      <c r="B2031" s="8" t="s">
        <v>910</v>
      </c>
      <c r="C2031" s="8" t="s">
        <v>8418</v>
      </c>
      <c r="D2031" s="8" t="s">
        <v>411</v>
      </c>
      <c r="E2031" s="8" t="s">
        <v>412</v>
      </c>
      <c r="F2031" s="11" t="s">
        <v>8419</v>
      </c>
      <c r="G2031" s="8" t="s">
        <v>8420</v>
      </c>
      <c r="H2031" s="8" t="s">
        <v>92</v>
      </c>
      <c r="I2031" s="8" t="s">
        <v>3756</v>
      </c>
    </row>
    <row r="2032" spans="1:9" ht="14.25" customHeight="1" x14ac:dyDescent="0.25">
      <c r="A2032" s="7" t="s">
        <v>8421</v>
      </c>
      <c r="B2032" s="8" t="s">
        <v>2208</v>
      </c>
      <c r="C2032" s="8" t="s">
        <v>8422</v>
      </c>
      <c r="D2032" s="8" t="s">
        <v>411</v>
      </c>
      <c r="E2032" s="8" t="s">
        <v>412</v>
      </c>
      <c r="F2032" s="11" t="s">
        <v>8423</v>
      </c>
      <c r="G2032" s="8" t="s">
        <v>8424</v>
      </c>
      <c r="H2032" s="8" t="s">
        <v>4317</v>
      </c>
      <c r="I2032" s="8" t="s">
        <v>3756</v>
      </c>
    </row>
    <row r="2033" spans="1:9" ht="14.25" customHeight="1" x14ac:dyDescent="0.25">
      <c r="A2033" s="7" t="s">
        <v>8425</v>
      </c>
      <c r="B2033" s="8" t="s">
        <v>8426</v>
      </c>
      <c r="C2033" s="8" t="s">
        <v>4563</v>
      </c>
      <c r="D2033" s="8" t="s">
        <v>411</v>
      </c>
      <c r="E2033" s="8" t="s">
        <v>412</v>
      </c>
      <c r="F2033" s="11" t="s">
        <v>8427</v>
      </c>
      <c r="G2033" s="8" t="s">
        <v>8428</v>
      </c>
      <c r="H2033" s="8" t="s">
        <v>61</v>
      </c>
      <c r="I2033" s="8" t="s">
        <v>3756</v>
      </c>
    </row>
    <row r="2034" spans="1:9" ht="14.25" customHeight="1" x14ac:dyDescent="0.25">
      <c r="A2034" s="7" t="s">
        <v>8429</v>
      </c>
      <c r="B2034" s="8" t="s">
        <v>8430</v>
      </c>
      <c r="C2034" s="8" t="s">
        <v>7864</v>
      </c>
      <c r="D2034" s="8" t="s">
        <v>411</v>
      </c>
      <c r="E2034" s="8" t="s">
        <v>412</v>
      </c>
      <c r="F2034" s="11" t="s">
        <v>8431</v>
      </c>
      <c r="G2034" s="8" t="s">
        <v>8432</v>
      </c>
      <c r="H2034" s="8" t="s">
        <v>8166</v>
      </c>
      <c r="I2034" s="8" t="s">
        <v>3756</v>
      </c>
    </row>
    <row r="2035" spans="1:9" ht="14.25" customHeight="1" x14ac:dyDescent="0.25">
      <c r="A2035" s="19" t="s">
        <v>8433</v>
      </c>
      <c r="B2035" s="8" t="s">
        <v>3078</v>
      </c>
      <c r="C2035" s="8" t="s">
        <v>8434</v>
      </c>
      <c r="D2035" s="8" t="s">
        <v>3163</v>
      </c>
      <c r="E2035" s="8" t="s">
        <v>412</v>
      </c>
      <c r="F2035" s="11" t="s">
        <v>8435</v>
      </c>
      <c r="G2035" s="8" t="s">
        <v>8436</v>
      </c>
      <c r="H2035" s="8" t="s">
        <v>4199</v>
      </c>
      <c r="I2035" s="8" t="s">
        <v>3756</v>
      </c>
    </row>
    <row r="2036" spans="1:9" ht="14.25" customHeight="1" x14ac:dyDescent="0.25">
      <c r="A2036" s="7" t="s">
        <v>8437</v>
      </c>
      <c r="B2036" s="8" t="s">
        <v>7718</v>
      </c>
      <c r="C2036" s="8" t="s">
        <v>8438</v>
      </c>
      <c r="D2036" s="8" t="s">
        <v>3163</v>
      </c>
      <c r="E2036" s="8" t="s">
        <v>412</v>
      </c>
      <c r="F2036" s="11" t="s">
        <v>8439</v>
      </c>
      <c r="G2036" s="8" t="s">
        <v>8440</v>
      </c>
      <c r="H2036" s="8" t="s">
        <v>2212</v>
      </c>
      <c r="I2036" s="8" t="s">
        <v>3756</v>
      </c>
    </row>
    <row r="2037" spans="1:9" ht="14.25" customHeight="1" x14ac:dyDescent="0.25">
      <c r="A2037" s="19" t="s">
        <v>8441</v>
      </c>
      <c r="B2037" s="8" t="s">
        <v>8442</v>
      </c>
      <c r="C2037" s="8" t="s">
        <v>8443</v>
      </c>
      <c r="D2037" s="8" t="s">
        <v>3163</v>
      </c>
      <c r="E2037" s="8" t="s">
        <v>412</v>
      </c>
      <c r="F2037" s="11" t="s">
        <v>8444</v>
      </c>
      <c r="G2037" s="8" t="s">
        <v>8445</v>
      </c>
      <c r="H2037" s="8" t="s">
        <v>72</v>
      </c>
      <c r="I2037" s="8" t="s">
        <v>3756</v>
      </c>
    </row>
    <row r="2038" spans="1:9" ht="14.25" customHeight="1" x14ac:dyDescent="0.25">
      <c r="A2038" s="7" t="s">
        <v>8446</v>
      </c>
      <c r="B2038" s="8" t="s">
        <v>7281</v>
      </c>
      <c r="C2038" s="8" t="s">
        <v>8447</v>
      </c>
      <c r="D2038" s="8" t="s">
        <v>3163</v>
      </c>
      <c r="E2038" s="8" t="s">
        <v>412</v>
      </c>
      <c r="F2038" s="11" t="s">
        <v>8448</v>
      </c>
      <c r="G2038" s="8" t="s">
        <v>8449</v>
      </c>
      <c r="H2038" s="8" t="s">
        <v>72</v>
      </c>
      <c r="I2038" s="8" t="s">
        <v>4039</v>
      </c>
    </row>
    <row r="2039" spans="1:9" ht="14.25" customHeight="1" x14ac:dyDescent="0.25">
      <c r="A2039" s="7" t="s">
        <v>8450</v>
      </c>
      <c r="B2039" s="8" t="s">
        <v>8451</v>
      </c>
      <c r="C2039" s="8" t="s">
        <v>8452</v>
      </c>
      <c r="D2039" s="8" t="s">
        <v>411</v>
      </c>
      <c r="E2039" s="8" t="s">
        <v>412</v>
      </c>
      <c r="F2039" s="11" t="s">
        <v>8453</v>
      </c>
      <c r="G2039" s="8" t="s">
        <v>8449</v>
      </c>
      <c r="H2039" s="8" t="s">
        <v>72</v>
      </c>
      <c r="I2039" s="8" t="s">
        <v>4039</v>
      </c>
    </row>
    <row r="2040" spans="1:9" ht="14.25" customHeight="1" x14ac:dyDescent="0.25">
      <c r="A2040" s="7" t="s">
        <v>8454</v>
      </c>
      <c r="B2040" s="8" t="s">
        <v>8455</v>
      </c>
      <c r="C2040" s="8" t="s">
        <v>686</v>
      </c>
      <c r="D2040" s="8" t="s">
        <v>411</v>
      </c>
      <c r="E2040" s="8" t="s">
        <v>412</v>
      </c>
      <c r="F2040" s="11" t="s">
        <v>8456</v>
      </c>
      <c r="G2040" s="8" t="s">
        <v>8457</v>
      </c>
      <c r="H2040" s="8" t="s">
        <v>4059</v>
      </c>
      <c r="I2040" s="8" t="s">
        <v>3756</v>
      </c>
    </row>
    <row r="2041" spans="1:9" ht="14.25" customHeight="1" x14ac:dyDescent="0.25">
      <c r="A2041" s="7" t="s">
        <v>8458</v>
      </c>
      <c r="B2041" s="8" t="s">
        <v>2334</v>
      </c>
      <c r="C2041" s="8" t="s">
        <v>8459</v>
      </c>
      <c r="D2041" s="8" t="s">
        <v>411</v>
      </c>
      <c r="E2041" s="8" t="s">
        <v>412</v>
      </c>
      <c r="F2041" s="11" t="s">
        <v>8460</v>
      </c>
      <c r="G2041" s="8" t="s">
        <v>8461</v>
      </c>
      <c r="H2041" s="8" t="s">
        <v>6804</v>
      </c>
      <c r="I2041" s="8" t="s">
        <v>3756</v>
      </c>
    </row>
    <row r="2042" spans="1:9" ht="14.25" customHeight="1" x14ac:dyDescent="0.25">
      <c r="A2042" s="7" t="s">
        <v>8462</v>
      </c>
      <c r="B2042" s="8" t="s">
        <v>3490</v>
      </c>
      <c r="C2042" s="8" t="s">
        <v>8463</v>
      </c>
      <c r="D2042" s="8" t="s">
        <v>411</v>
      </c>
      <c r="E2042" s="8" t="s">
        <v>412</v>
      </c>
      <c r="F2042" s="11" t="s">
        <v>8464</v>
      </c>
      <c r="G2042" s="8" t="s">
        <v>8465</v>
      </c>
      <c r="H2042" s="8" t="s">
        <v>61</v>
      </c>
      <c r="I2042" s="8" t="s">
        <v>3756</v>
      </c>
    </row>
    <row r="2043" spans="1:9" ht="14.25" customHeight="1" x14ac:dyDescent="0.25">
      <c r="A2043" s="7" t="s">
        <v>8466</v>
      </c>
      <c r="B2043" s="8" t="s">
        <v>3115</v>
      </c>
      <c r="C2043" s="8" t="s">
        <v>8467</v>
      </c>
      <c r="D2043" s="8" t="s">
        <v>411</v>
      </c>
      <c r="E2043" s="8" t="s">
        <v>412</v>
      </c>
      <c r="F2043" s="11" t="s">
        <v>8468</v>
      </c>
      <c r="G2043" s="8" t="s">
        <v>8469</v>
      </c>
      <c r="H2043" s="8" t="s">
        <v>4317</v>
      </c>
      <c r="I2043" s="8" t="s">
        <v>4039</v>
      </c>
    </row>
    <row r="2044" spans="1:9" ht="14.25" customHeight="1" x14ac:dyDescent="0.25">
      <c r="A2044" s="7" t="s">
        <v>8470</v>
      </c>
      <c r="B2044" s="8" t="s">
        <v>8471</v>
      </c>
      <c r="C2044" s="8" t="s">
        <v>3645</v>
      </c>
      <c r="D2044" s="8" t="s">
        <v>411</v>
      </c>
      <c r="E2044" s="8" t="s">
        <v>3890</v>
      </c>
      <c r="F2044" s="11" t="s">
        <v>8472</v>
      </c>
      <c r="G2044" s="8" t="s">
        <v>8473</v>
      </c>
      <c r="H2044" s="8" t="s">
        <v>72</v>
      </c>
      <c r="I2044" s="8" t="s">
        <v>3756</v>
      </c>
    </row>
    <row r="2045" spans="1:9" ht="14.25" customHeight="1" x14ac:dyDescent="0.25">
      <c r="A2045" s="7" t="s">
        <v>8474</v>
      </c>
      <c r="B2045" s="8" t="s">
        <v>3569</v>
      </c>
      <c r="C2045" s="8" t="s">
        <v>2575</v>
      </c>
      <c r="D2045" s="8" t="s">
        <v>3163</v>
      </c>
      <c r="E2045" s="8" t="s">
        <v>3890</v>
      </c>
      <c r="F2045" s="11" t="s">
        <v>8475</v>
      </c>
      <c r="G2045" s="8" t="s">
        <v>8473</v>
      </c>
      <c r="H2045" s="8" t="s">
        <v>72</v>
      </c>
      <c r="I2045" s="8" t="s">
        <v>3756</v>
      </c>
    </row>
    <row r="2046" spans="1:9" ht="14.25" customHeight="1" x14ac:dyDescent="0.25">
      <c r="A2046" s="7" t="s">
        <v>8476</v>
      </c>
      <c r="B2046" s="8" t="s">
        <v>5138</v>
      </c>
      <c r="C2046" s="8" t="s">
        <v>8477</v>
      </c>
      <c r="D2046" s="8" t="s">
        <v>411</v>
      </c>
      <c r="E2046" s="8" t="s">
        <v>412</v>
      </c>
      <c r="F2046" s="11" t="s">
        <v>8478</v>
      </c>
      <c r="G2046" s="8" t="s">
        <v>8479</v>
      </c>
      <c r="H2046" s="8" t="s">
        <v>25</v>
      </c>
      <c r="I2046" s="8" t="s">
        <v>3756</v>
      </c>
    </row>
    <row r="2047" spans="1:9" ht="14.25" customHeight="1" x14ac:dyDescent="0.25">
      <c r="A2047" s="7" t="s">
        <v>8480</v>
      </c>
      <c r="B2047" s="8" t="s">
        <v>8481</v>
      </c>
      <c r="C2047" s="8" t="s">
        <v>1971</v>
      </c>
      <c r="D2047" s="8" t="s">
        <v>3163</v>
      </c>
      <c r="E2047" s="8" t="s">
        <v>3890</v>
      </c>
      <c r="F2047" s="11" t="s">
        <v>8482</v>
      </c>
      <c r="G2047" s="8" t="s">
        <v>8483</v>
      </c>
      <c r="H2047" s="8" t="s">
        <v>82</v>
      </c>
      <c r="I2047" s="8" t="s">
        <v>4039</v>
      </c>
    </row>
    <row r="2048" spans="1:9" ht="14.25" customHeight="1" x14ac:dyDescent="0.25">
      <c r="A2048" s="7" t="s">
        <v>8484</v>
      </c>
      <c r="B2048" s="8" t="s">
        <v>4156</v>
      </c>
      <c r="C2048" s="8" t="s">
        <v>1358</v>
      </c>
      <c r="D2048" s="8" t="s">
        <v>411</v>
      </c>
      <c r="E2048" s="8" t="s">
        <v>412</v>
      </c>
      <c r="F2048" s="11" t="s">
        <v>8485</v>
      </c>
      <c r="G2048" s="8" t="s">
        <v>8486</v>
      </c>
      <c r="H2048" s="8" t="s">
        <v>8487</v>
      </c>
      <c r="I2048" s="8" t="s">
        <v>3756</v>
      </c>
    </row>
    <row r="2049" spans="1:9" ht="14.25" customHeight="1" x14ac:dyDescent="0.25">
      <c r="A2049" s="7" t="s">
        <v>8488</v>
      </c>
      <c r="B2049" s="8" t="s">
        <v>3791</v>
      </c>
      <c r="C2049" s="8" t="s">
        <v>4167</v>
      </c>
      <c r="D2049" s="8" t="s">
        <v>3163</v>
      </c>
      <c r="E2049" s="8" t="s">
        <v>412</v>
      </c>
      <c r="F2049" s="11" t="s">
        <v>8489</v>
      </c>
      <c r="G2049" s="8" t="s">
        <v>8490</v>
      </c>
      <c r="H2049" s="8" t="s">
        <v>5213</v>
      </c>
      <c r="I2049" s="8" t="s">
        <v>3756</v>
      </c>
    </row>
    <row r="2050" spans="1:9" ht="14.25" customHeight="1" x14ac:dyDescent="0.25">
      <c r="A2050" s="7" t="s">
        <v>8491</v>
      </c>
      <c r="B2050" s="8" t="s">
        <v>8492</v>
      </c>
      <c r="C2050" s="8" t="s">
        <v>8493</v>
      </c>
      <c r="D2050" s="8" t="s">
        <v>411</v>
      </c>
      <c r="E2050" s="8" t="s">
        <v>412</v>
      </c>
      <c r="F2050" s="11" t="s">
        <v>8494</v>
      </c>
      <c r="G2050" s="8" t="s">
        <v>8495</v>
      </c>
      <c r="H2050" s="8" t="s">
        <v>2212</v>
      </c>
      <c r="I2050" s="8" t="s">
        <v>3756</v>
      </c>
    </row>
    <row r="2051" spans="1:9" ht="14.25" customHeight="1" x14ac:dyDescent="0.25">
      <c r="A2051" s="7" t="s">
        <v>8496</v>
      </c>
      <c r="B2051" s="8" t="s">
        <v>8497</v>
      </c>
      <c r="C2051" s="8" t="s">
        <v>8498</v>
      </c>
      <c r="D2051" s="8" t="s">
        <v>411</v>
      </c>
      <c r="E2051" s="8" t="s">
        <v>412</v>
      </c>
      <c r="F2051" s="11" t="s">
        <v>8499</v>
      </c>
      <c r="G2051" s="8" t="s">
        <v>8500</v>
      </c>
      <c r="H2051" s="8" t="s">
        <v>4059</v>
      </c>
      <c r="I2051" s="8" t="s">
        <v>3756</v>
      </c>
    </row>
    <row r="2052" spans="1:9" ht="14.25" customHeight="1" x14ac:dyDescent="0.25">
      <c r="A2052" s="7" t="s">
        <v>8501</v>
      </c>
      <c r="B2052" s="8" t="s">
        <v>8502</v>
      </c>
      <c r="C2052" s="8" t="s">
        <v>8503</v>
      </c>
      <c r="D2052" s="8" t="s">
        <v>411</v>
      </c>
      <c r="E2052" s="8" t="s">
        <v>412</v>
      </c>
      <c r="F2052" s="11" t="s">
        <v>8504</v>
      </c>
      <c r="G2052" s="8" t="s">
        <v>8505</v>
      </c>
      <c r="H2052" s="8" t="s">
        <v>8506</v>
      </c>
      <c r="I2052" s="8" t="s">
        <v>4039</v>
      </c>
    </row>
    <row r="2053" spans="1:9" ht="14.25" customHeight="1" x14ac:dyDescent="0.25">
      <c r="A2053" s="7" t="s">
        <v>8507</v>
      </c>
      <c r="B2053" s="8" t="s">
        <v>2972</v>
      </c>
      <c r="C2053" s="8" t="s">
        <v>7998</v>
      </c>
      <c r="D2053" s="8" t="s">
        <v>411</v>
      </c>
      <c r="E2053" s="8" t="s">
        <v>3890</v>
      </c>
      <c r="F2053" s="11" t="s">
        <v>8508</v>
      </c>
      <c r="G2053" s="8" t="s">
        <v>8509</v>
      </c>
      <c r="H2053" s="8" t="s">
        <v>61</v>
      </c>
      <c r="I2053" s="8" t="s">
        <v>4371</v>
      </c>
    </row>
    <row r="2054" spans="1:9" ht="14.25" customHeight="1" x14ac:dyDescent="0.25">
      <c r="A2054" s="7" t="s">
        <v>8510</v>
      </c>
      <c r="B2054" s="8" t="s">
        <v>8511</v>
      </c>
      <c r="C2054" s="8" t="s">
        <v>8512</v>
      </c>
      <c r="D2054" s="8" t="s">
        <v>3163</v>
      </c>
      <c r="E2054" s="8" t="s">
        <v>3890</v>
      </c>
      <c r="F2054" s="11" t="s">
        <v>8513</v>
      </c>
      <c r="G2054" s="8" t="s">
        <v>8509</v>
      </c>
      <c r="H2054" s="8" t="s">
        <v>61</v>
      </c>
      <c r="I2054" s="8" t="s">
        <v>4371</v>
      </c>
    </row>
    <row r="2055" spans="1:9" ht="14.25" customHeight="1" x14ac:dyDescent="0.25">
      <c r="A2055" s="7" t="s">
        <v>8514</v>
      </c>
      <c r="B2055" s="8" t="s">
        <v>8515</v>
      </c>
      <c r="C2055" s="8" t="s">
        <v>8516</v>
      </c>
      <c r="D2055" s="8" t="s">
        <v>3163</v>
      </c>
      <c r="E2055" s="8" t="s">
        <v>1359</v>
      </c>
      <c r="F2055" s="11" t="s">
        <v>8517</v>
      </c>
      <c r="G2055" s="8" t="s">
        <v>8518</v>
      </c>
      <c r="H2055" s="8" t="s">
        <v>2212</v>
      </c>
      <c r="I2055" s="8" t="s">
        <v>3756</v>
      </c>
    </row>
    <row r="2056" spans="1:9" ht="14.25" customHeight="1" x14ac:dyDescent="0.25">
      <c r="A2056" s="7" t="s">
        <v>8519</v>
      </c>
      <c r="B2056" s="8" t="s">
        <v>7566</v>
      </c>
      <c r="C2056" s="8" t="s">
        <v>7567</v>
      </c>
      <c r="D2056" s="8" t="s">
        <v>411</v>
      </c>
      <c r="E2056" s="8" t="s">
        <v>412</v>
      </c>
      <c r="F2056" s="11" t="s">
        <v>8520</v>
      </c>
      <c r="G2056" s="8" t="s">
        <v>8521</v>
      </c>
      <c r="H2056" s="8" t="s">
        <v>4330</v>
      </c>
      <c r="I2056" s="8" t="s">
        <v>4039</v>
      </c>
    </row>
    <row r="2057" spans="1:9" ht="14.25" customHeight="1" x14ac:dyDescent="0.25">
      <c r="A2057" s="7" t="s">
        <v>8522</v>
      </c>
      <c r="B2057" s="8" t="s">
        <v>8188</v>
      </c>
      <c r="C2057" s="8" t="s">
        <v>8523</v>
      </c>
      <c r="D2057" s="8" t="s">
        <v>3163</v>
      </c>
      <c r="E2057" s="8" t="s">
        <v>3890</v>
      </c>
      <c r="F2057" s="11" t="s">
        <v>8524</v>
      </c>
      <c r="G2057" s="8" t="s">
        <v>8525</v>
      </c>
      <c r="H2057" s="8" t="s">
        <v>8526</v>
      </c>
      <c r="I2057" s="8"/>
    </row>
    <row r="2058" spans="1:9" ht="14.25" customHeight="1" x14ac:dyDescent="0.25">
      <c r="A2058" s="7" t="s">
        <v>8527</v>
      </c>
      <c r="B2058" s="8" t="s">
        <v>8528</v>
      </c>
      <c r="C2058" s="8" t="s">
        <v>8529</v>
      </c>
      <c r="D2058" s="8" t="s">
        <v>411</v>
      </c>
      <c r="E2058" s="8" t="s">
        <v>412</v>
      </c>
      <c r="F2058" s="11" t="s">
        <v>8530</v>
      </c>
      <c r="G2058" s="8" t="s">
        <v>8531</v>
      </c>
      <c r="H2058" s="8" t="s">
        <v>4951</v>
      </c>
      <c r="I2058" s="8" t="s">
        <v>5347</v>
      </c>
    </row>
    <row r="2059" spans="1:9" ht="14.25" customHeight="1" x14ac:dyDescent="0.25">
      <c r="A2059" s="7" t="s">
        <v>8532</v>
      </c>
      <c r="B2059" s="8" t="s">
        <v>8343</v>
      </c>
      <c r="C2059" s="8" t="s">
        <v>8533</v>
      </c>
      <c r="D2059" s="8" t="s">
        <v>411</v>
      </c>
      <c r="E2059" s="8" t="s">
        <v>412</v>
      </c>
      <c r="F2059" s="11" t="s">
        <v>8534</v>
      </c>
      <c r="G2059" s="8" t="s">
        <v>8535</v>
      </c>
      <c r="H2059" s="8" t="s">
        <v>8536</v>
      </c>
      <c r="I2059" s="8" t="s">
        <v>3756</v>
      </c>
    </row>
    <row r="2060" spans="1:9" ht="14.25" customHeight="1" x14ac:dyDescent="0.25">
      <c r="A2060" s="7" t="s">
        <v>8537</v>
      </c>
      <c r="B2060" s="8" t="s">
        <v>4700</v>
      </c>
      <c r="C2060" s="8" t="s">
        <v>8538</v>
      </c>
      <c r="D2060" s="8" t="s">
        <v>411</v>
      </c>
      <c r="E2060" s="8" t="s">
        <v>412</v>
      </c>
      <c r="F2060" s="11" t="s">
        <v>8539</v>
      </c>
      <c r="G2060" s="8" t="s">
        <v>8540</v>
      </c>
      <c r="H2060" s="8" t="s">
        <v>15</v>
      </c>
      <c r="I2060" s="8" t="s">
        <v>3756</v>
      </c>
    </row>
    <row r="2061" spans="1:9" ht="14.25" customHeight="1" x14ac:dyDescent="0.25">
      <c r="A2061" s="7" t="s">
        <v>8541</v>
      </c>
      <c r="B2061" s="8" t="s">
        <v>8343</v>
      </c>
      <c r="C2061" s="8" t="s">
        <v>8542</v>
      </c>
      <c r="D2061" s="8" t="s">
        <v>411</v>
      </c>
      <c r="E2061" s="8" t="s">
        <v>412</v>
      </c>
      <c r="F2061" s="11" t="s">
        <v>8543</v>
      </c>
      <c r="G2061" s="8" t="s">
        <v>8544</v>
      </c>
      <c r="H2061" s="8" t="s">
        <v>92</v>
      </c>
      <c r="I2061" s="8" t="s">
        <v>3756</v>
      </c>
    </row>
    <row r="2062" spans="1:9" ht="14.25" customHeight="1" x14ac:dyDescent="0.25">
      <c r="A2062" s="7" t="s">
        <v>8545</v>
      </c>
      <c r="B2062" s="8" t="s">
        <v>518</v>
      </c>
      <c r="C2062" s="8" t="s">
        <v>2308</v>
      </c>
      <c r="D2062" s="8" t="s">
        <v>411</v>
      </c>
      <c r="E2062" s="8" t="s">
        <v>3890</v>
      </c>
      <c r="F2062" s="11" t="s">
        <v>8546</v>
      </c>
      <c r="G2062" s="8" t="s">
        <v>8384</v>
      </c>
      <c r="H2062" s="8" t="s">
        <v>6143</v>
      </c>
      <c r="I2062" s="8" t="s">
        <v>4039</v>
      </c>
    </row>
    <row r="2063" spans="1:9" ht="14.25" customHeight="1" x14ac:dyDescent="0.25">
      <c r="A2063" s="19" t="s">
        <v>8547</v>
      </c>
      <c r="B2063" s="8" t="s">
        <v>3573</v>
      </c>
      <c r="C2063" s="8" t="s">
        <v>3536</v>
      </c>
      <c r="D2063" s="8" t="s">
        <v>411</v>
      </c>
      <c r="E2063" s="8" t="s">
        <v>412</v>
      </c>
      <c r="F2063" s="11" t="s">
        <v>8548</v>
      </c>
      <c r="G2063" s="8" t="s">
        <v>8549</v>
      </c>
      <c r="H2063" s="8" t="s">
        <v>6804</v>
      </c>
      <c r="I2063" s="8" t="s">
        <v>4039</v>
      </c>
    </row>
    <row r="2064" spans="1:9" ht="14.25" customHeight="1" x14ac:dyDescent="0.25">
      <c r="A2064" s="7" t="s">
        <v>8550</v>
      </c>
      <c r="B2064" s="8" t="s">
        <v>2282</v>
      </c>
      <c r="C2064" s="8" t="s">
        <v>607</v>
      </c>
      <c r="D2064" s="8" t="s">
        <v>411</v>
      </c>
      <c r="E2064" s="8" t="s">
        <v>412</v>
      </c>
      <c r="F2064" s="11" t="s">
        <v>8551</v>
      </c>
      <c r="G2064" s="8" t="s">
        <v>8549</v>
      </c>
      <c r="H2064" s="8" t="s">
        <v>6804</v>
      </c>
      <c r="I2064" s="8" t="s">
        <v>4039</v>
      </c>
    </row>
    <row r="2065" spans="1:9" ht="14.25" customHeight="1" x14ac:dyDescent="0.25">
      <c r="A2065" s="7" t="s">
        <v>8552</v>
      </c>
      <c r="B2065" s="8" t="s">
        <v>1375</v>
      </c>
      <c r="C2065" s="8" t="s">
        <v>8553</v>
      </c>
      <c r="D2065" s="8" t="s">
        <v>411</v>
      </c>
      <c r="E2065" s="8" t="s">
        <v>412</v>
      </c>
      <c r="F2065" s="11" t="s">
        <v>8554</v>
      </c>
      <c r="G2065" s="8" t="s">
        <v>8555</v>
      </c>
      <c r="H2065" s="8" t="s">
        <v>25</v>
      </c>
      <c r="I2065" s="8" t="s">
        <v>3756</v>
      </c>
    </row>
    <row r="2066" spans="1:9" ht="14.25" customHeight="1" x14ac:dyDescent="0.25">
      <c r="A2066" s="7" t="s">
        <v>8556</v>
      </c>
      <c r="B2066" s="8" t="s">
        <v>8557</v>
      </c>
      <c r="C2066" s="8" t="s">
        <v>8558</v>
      </c>
      <c r="D2066" s="8" t="s">
        <v>3163</v>
      </c>
      <c r="E2066" s="8" t="s">
        <v>412</v>
      </c>
      <c r="F2066" s="11" t="s">
        <v>8559</v>
      </c>
      <c r="G2066" s="8" t="s">
        <v>8560</v>
      </c>
      <c r="H2066" s="8" t="s">
        <v>8561</v>
      </c>
      <c r="I2066" s="8" t="s">
        <v>3756</v>
      </c>
    </row>
    <row r="2067" spans="1:9" ht="14.25" customHeight="1" x14ac:dyDescent="0.25">
      <c r="A2067" s="7" t="s">
        <v>8562</v>
      </c>
      <c r="B2067" s="8" t="s">
        <v>4810</v>
      </c>
      <c r="C2067" s="8" t="s">
        <v>966</v>
      </c>
      <c r="D2067" s="8" t="s">
        <v>411</v>
      </c>
      <c r="E2067" s="8" t="s">
        <v>412</v>
      </c>
      <c r="F2067" s="11" t="s">
        <v>8563</v>
      </c>
      <c r="G2067" s="8" t="s">
        <v>8564</v>
      </c>
      <c r="H2067" s="8" t="s">
        <v>61</v>
      </c>
      <c r="I2067" s="8" t="s">
        <v>4371</v>
      </c>
    </row>
    <row r="2068" spans="1:9" ht="14.25" customHeight="1" x14ac:dyDescent="0.25">
      <c r="A2068" s="7" t="s">
        <v>8565</v>
      </c>
      <c r="B2068" s="8" t="s">
        <v>8566</v>
      </c>
      <c r="C2068" s="8" t="s">
        <v>8567</v>
      </c>
      <c r="D2068" s="8" t="s">
        <v>3163</v>
      </c>
      <c r="E2068" s="8" t="s">
        <v>412</v>
      </c>
      <c r="F2068" s="11" t="s">
        <v>8568</v>
      </c>
      <c r="G2068" s="8" t="s">
        <v>8569</v>
      </c>
      <c r="H2068" s="8" t="s">
        <v>20</v>
      </c>
      <c r="I2068" s="8" t="s">
        <v>4371</v>
      </c>
    </row>
    <row r="2069" spans="1:9" ht="14.25" customHeight="1" x14ac:dyDescent="0.25">
      <c r="A2069" s="19" t="s">
        <v>8570</v>
      </c>
      <c r="B2069" s="8" t="s">
        <v>1693</v>
      </c>
      <c r="C2069" s="8" t="s">
        <v>8410</v>
      </c>
      <c r="D2069" s="8" t="s">
        <v>411</v>
      </c>
      <c r="E2069" s="8" t="s">
        <v>412</v>
      </c>
      <c r="F2069" s="11"/>
      <c r="G2069" s="8"/>
      <c r="H2069" s="8"/>
      <c r="I2069" s="8"/>
    </row>
    <row r="2070" spans="1:9" ht="14.25" customHeight="1" x14ac:dyDescent="0.25">
      <c r="A2070" s="7" t="s">
        <v>8571</v>
      </c>
      <c r="B2070" s="8" t="s">
        <v>1584</v>
      </c>
      <c r="C2070" s="8" t="s">
        <v>5862</v>
      </c>
      <c r="D2070" s="8" t="s">
        <v>3163</v>
      </c>
      <c r="E2070" s="8" t="s">
        <v>412</v>
      </c>
      <c r="F2070" s="11" t="s">
        <v>8572</v>
      </c>
      <c r="G2070" s="8" t="s">
        <v>8573</v>
      </c>
      <c r="H2070" s="8" t="s">
        <v>2212</v>
      </c>
      <c r="I2070" s="8" t="s">
        <v>4371</v>
      </c>
    </row>
    <row r="2071" spans="1:9" ht="14.25" customHeight="1" x14ac:dyDescent="0.25">
      <c r="A2071" s="7" t="s">
        <v>8574</v>
      </c>
      <c r="B2071" s="8" t="s">
        <v>8575</v>
      </c>
      <c r="C2071" s="8" t="s">
        <v>8576</v>
      </c>
      <c r="D2071" s="8" t="s">
        <v>411</v>
      </c>
      <c r="E2071" s="8" t="s">
        <v>3890</v>
      </c>
      <c r="F2071" s="11" t="s">
        <v>8577</v>
      </c>
      <c r="G2071" s="8" t="s">
        <v>8578</v>
      </c>
      <c r="H2071" s="8" t="s">
        <v>15</v>
      </c>
      <c r="I2071" s="8" t="s">
        <v>4039</v>
      </c>
    </row>
    <row r="2072" spans="1:9" ht="14.25" customHeight="1" x14ac:dyDescent="0.25">
      <c r="A2072" s="7" t="s">
        <v>8579</v>
      </c>
      <c r="B2072" s="8" t="s">
        <v>6694</v>
      </c>
      <c r="C2072" s="8" t="s">
        <v>8580</v>
      </c>
      <c r="D2072" s="8" t="s">
        <v>3163</v>
      </c>
      <c r="E2072" s="8" t="s">
        <v>3890</v>
      </c>
      <c r="F2072" s="11"/>
      <c r="G2072" s="8"/>
      <c r="H2072" s="8"/>
      <c r="I2072" s="8"/>
    </row>
    <row r="2073" spans="1:9" ht="14.25" customHeight="1" x14ac:dyDescent="0.25">
      <c r="A2073" s="7" t="s">
        <v>8581</v>
      </c>
      <c r="B2073" s="8" t="s">
        <v>6077</v>
      </c>
      <c r="C2073" s="8" t="s">
        <v>8582</v>
      </c>
      <c r="D2073" s="8" t="s">
        <v>411</v>
      </c>
      <c r="E2073" s="8" t="s">
        <v>412</v>
      </c>
      <c r="F2073" s="11" t="s">
        <v>8583</v>
      </c>
      <c r="G2073" s="8" t="s">
        <v>8584</v>
      </c>
      <c r="H2073" s="8" t="s">
        <v>37</v>
      </c>
      <c r="I2073" s="8" t="s">
        <v>4371</v>
      </c>
    </row>
    <row r="2074" spans="1:9" ht="14.25" customHeight="1" x14ac:dyDescent="0.25">
      <c r="A2074" s="7" t="s">
        <v>8585</v>
      </c>
      <c r="B2074" s="8" t="s">
        <v>7648</v>
      </c>
      <c r="C2074" s="8" t="s">
        <v>8586</v>
      </c>
      <c r="D2074" s="8" t="s">
        <v>411</v>
      </c>
      <c r="E2074" s="8" t="s">
        <v>412</v>
      </c>
      <c r="F2074" s="11"/>
      <c r="G2074" s="8"/>
      <c r="H2074" s="8"/>
      <c r="I2074" s="8"/>
    </row>
    <row r="2075" spans="1:9" ht="14.25" customHeight="1" x14ac:dyDescent="0.25">
      <c r="A2075" s="7" t="s">
        <v>8514</v>
      </c>
      <c r="B2075" s="8" t="s">
        <v>8515</v>
      </c>
      <c r="C2075" s="8" t="s">
        <v>8516</v>
      </c>
      <c r="D2075" s="8" t="s">
        <v>3163</v>
      </c>
      <c r="E2075" s="8" t="s">
        <v>412</v>
      </c>
      <c r="F2075" s="11" t="s">
        <v>8517</v>
      </c>
      <c r="G2075" s="8" t="s">
        <v>8518</v>
      </c>
      <c r="H2075" s="8" t="s">
        <v>25</v>
      </c>
      <c r="I2075" s="8" t="s">
        <v>3756</v>
      </c>
    </row>
    <row r="2076" spans="1:9" ht="14.25" customHeight="1" x14ac:dyDescent="0.25">
      <c r="A2076" s="7" t="s">
        <v>8587</v>
      </c>
      <c r="B2076" s="8" t="s">
        <v>8588</v>
      </c>
      <c r="C2076" s="8" t="s">
        <v>8589</v>
      </c>
      <c r="D2076" s="8" t="s">
        <v>411</v>
      </c>
      <c r="E2076" s="8" t="s">
        <v>412</v>
      </c>
      <c r="F2076" s="11" t="s">
        <v>8590</v>
      </c>
      <c r="G2076" s="8" t="s">
        <v>8243</v>
      </c>
      <c r="H2076" s="8" t="s">
        <v>8591</v>
      </c>
      <c r="I2076" s="8" t="s">
        <v>4039</v>
      </c>
    </row>
    <row r="2077" spans="1:9" ht="14.25" customHeight="1" x14ac:dyDescent="0.25">
      <c r="A2077" s="7" t="s">
        <v>8592</v>
      </c>
      <c r="B2077" s="8" t="s">
        <v>8593</v>
      </c>
      <c r="C2077" s="8" t="s">
        <v>8594</v>
      </c>
      <c r="D2077" s="8" t="s">
        <v>411</v>
      </c>
      <c r="E2077" s="8" t="s">
        <v>412</v>
      </c>
      <c r="F2077" s="11" t="s">
        <v>8595</v>
      </c>
      <c r="G2077" s="8" t="s">
        <v>8596</v>
      </c>
      <c r="H2077" s="8" t="s">
        <v>25</v>
      </c>
      <c r="I2077" s="8" t="s">
        <v>5347</v>
      </c>
    </row>
    <row r="2078" spans="1:9" ht="14.25" customHeight="1" x14ac:dyDescent="0.25">
      <c r="A2078" s="7" t="s">
        <v>8597</v>
      </c>
      <c r="B2078" s="8" t="s">
        <v>8598</v>
      </c>
      <c r="C2078" s="8" t="s">
        <v>8599</v>
      </c>
      <c r="D2078" s="8" t="s">
        <v>411</v>
      </c>
      <c r="E2078" s="8" t="s">
        <v>412</v>
      </c>
      <c r="F2078" s="11" t="s">
        <v>8600</v>
      </c>
      <c r="G2078" s="8" t="s">
        <v>8601</v>
      </c>
      <c r="H2078" s="8" t="s">
        <v>2212</v>
      </c>
      <c r="I2078" s="8" t="s">
        <v>4039</v>
      </c>
    </row>
    <row r="2079" spans="1:9" ht="14.25" customHeight="1" x14ac:dyDescent="0.25">
      <c r="A2079" s="7" t="s">
        <v>8602</v>
      </c>
      <c r="B2079" s="8" t="s">
        <v>1866</v>
      </c>
      <c r="C2079" s="8" t="s">
        <v>8603</v>
      </c>
      <c r="D2079" s="8" t="s">
        <v>411</v>
      </c>
      <c r="E2079" s="8" t="s">
        <v>3890</v>
      </c>
      <c r="F2079" s="11" t="s">
        <v>8604</v>
      </c>
      <c r="G2079" s="8" t="s">
        <v>8605</v>
      </c>
      <c r="H2079" s="8" t="s">
        <v>37</v>
      </c>
      <c r="I2079" s="8" t="s">
        <v>3756</v>
      </c>
    </row>
    <row r="2080" spans="1:9" ht="14.25" customHeight="1" x14ac:dyDescent="0.25">
      <c r="A2080" s="7" t="s">
        <v>8606</v>
      </c>
      <c r="B2080" s="8" t="s">
        <v>726</v>
      </c>
      <c r="C2080" s="8" t="s">
        <v>8607</v>
      </c>
      <c r="D2080" s="8" t="s">
        <v>3163</v>
      </c>
      <c r="E2080" s="8" t="s">
        <v>3890</v>
      </c>
      <c r="F2080" s="11" t="s">
        <v>8608</v>
      </c>
      <c r="G2080" s="8" t="s">
        <v>8605</v>
      </c>
      <c r="H2080" s="8" t="s">
        <v>37</v>
      </c>
      <c r="I2080" s="8" t="s">
        <v>3756</v>
      </c>
    </row>
    <row r="2081" spans="1:9" ht="14.25" customHeight="1" x14ac:dyDescent="0.25">
      <c r="A2081" s="7" t="s">
        <v>8609</v>
      </c>
      <c r="B2081" s="8" t="s">
        <v>1309</v>
      </c>
      <c r="C2081" s="8" t="s">
        <v>8610</v>
      </c>
      <c r="D2081" s="8" t="s">
        <v>411</v>
      </c>
      <c r="E2081" s="8" t="s">
        <v>412</v>
      </c>
      <c r="F2081" s="11" t="s">
        <v>8611</v>
      </c>
      <c r="G2081" s="8" t="s">
        <v>8612</v>
      </c>
      <c r="H2081" s="8" t="s">
        <v>2212</v>
      </c>
      <c r="I2081" s="8" t="s">
        <v>3756</v>
      </c>
    </row>
    <row r="2082" spans="1:9" ht="14.25" customHeight="1" x14ac:dyDescent="0.25">
      <c r="A2082" s="7" t="s">
        <v>8613</v>
      </c>
      <c r="B2082" s="8" t="s">
        <v>8614</v>
      </c>
      <c r="C2082" s="8" t="s">
        <v>8615</v>
      </c>
      <c r="D2082" s="8" t="s">
        <v>3163</v>
      </c>
      <c r="E2082" s="8" t="s">
        <v>412</v>
      </c>
      <c r="F2082" s="11" t="s">
        <v>8616</v>
      </c>
      <c r="G2082" s="8" t="s">
        <v>8617</v>
      </c>
      <c r="H2082" s="8" t="s">
        <v>25</v>
      </c>
      <c r="I2082" s="8" t="s">
        <v>4039</v>
      </c>
    </row>
    <row r="2083" spans="1:9" ht="14.25" customHeight="1" x14ac:dyDescent="0.25">
      <c r="A2083" s="7" t="s">
        <v>8618</v>
      </c>
      <c r="B2083" s="8" t="s">
        <v>2972</v>
      </c>
      <c r="C2083" s="8" t="s">
        <v>8619</v>
      </c>
      <c r="D2083" s="8" t="s">
        <v>411</v>
      </c>
      <c r="E2083" s="8" t="s">
        <v>412</v>
      </c>
      <c r="F2083" s="11" t="s">
        <v>8620</v>
      </c>
      <c r="G2083" s="8" t="s">
        <v>8621</v>
      </c>
      <c r="H2083" s="8" t="s">
        <v>15</v>
      </c>
      <c r="I2083" s="8" t="s">
        <v>3756</v>
      </c>
    </row>
    <row r="2084" spans="1:9" ht="14.25" customHeight="1" x14ac:dyDescent="0.25">
      <c r="A2084" s="7" t="s">
        <v>8622</v>
      </c>
      <c r="B2084" s="8" t="s">
        <v>8623</v>
      </c>
      <c r="C2084" s="8" t="s">
        <v>8624</v>
      </c>
      <c r="D2084" s="8" t="s">
        <v>411</v>
      </c>
      <c r="E2084" s="8" t="s">
        <v>412</v>
      </c>
      <c r="F2084" s="11" t="s">
        <v>8625</v>
      </c>
      <c r="G2084" s="8" t="s">
        <v>8626</v>
      </c>
      <c r="H2084" s="8" t="s">
        <v>3918</v>
      </c>
      <c r="I2084" s="8" t="s">
        <v>4039</v>
      </c>
    </row>
    <row r="2085" spans="1:9" ht="14.25" customHeight="1" x14ac:dyDescent="0.25">
      <c r="A2085" s="7" t="s">
        <v>8627</v>
      </c>
      <c r="B2085" s="8" t="s">
        <v>8628</v>
      </c>
      <c r="C2085" s="8" t="s">
        <v>8629</v>
      </c>
      <c r="D2085" s="8" t="s">
        <v>411</v>
      </c>
      <c r="E2085" s="8" t="s">
        <v>3890</v>
      </c>
      <c r="F2085" s="11" t="s">
        <v>8630</v>
      </c>
      <c r="G2085" s="8" t="s">
        <v>8631</v>
      </c>
      <c r="H2085" s="8" t="s">
        <v>15</v>
      </c>
      <c r="I2085" s="8" t="s">
        <v>4371</v>
      </c>
    </row>
    <row r="2086" spans="1:9" ht="14.25" customHeight="1" x14ac:dyDescent="0.25">
      <c r="A2086" s="7" t="s">
        <v>8632</v>
      </c>
      <c r="B2086" s="8" t="s">
        <v>7849</v>
      </c>
      <c r="C2086" s="8" t="s">
        <v>8633</v>
      </c>
      <c r="D2086" s="8" t="s">
        <v>3163</v>
      </c>
      <c r="E2086" s="8" t="s">
        <v>3890</v>
      </c>
      <c r="F2086" s="11" t="s">
        <v>8634</v>
      </c>
      <c r="G2086" s="8" t="s">
        <v>8635</v>
      </c>
      <c r="H2086" s="8" t="s">
        <v>4330</v>
      </c>
      <c r="I2086" s="8" t="s">
        <v>4039</v>
      </c>
    </row>
    <row r="2087" spans="1:9" ht="14.25" customHeight="1" x14ac:dyDescent="0.25">
      <c r="A2087" s="7" t="s">
        <v>8636</v>
      </c>
      <c r="B2087" s="8" t="s">
        <v>8637</v>
      </c>
      <c r="C2087" s="8" t="s">
        <v>8638</v>
      </c>
      <c r="D2087" s="8" t="s">
        <v>411</v>
      </c>
      <c r="E2087" s="8" t="s">
        <v>3890</v>
      </c>
      <c r="F2087" s="11" t="s">
        <v>8639</v>
      </c>
      <c r="G2087" s="8" t="s">
        <v>8635</v>
      </c>
      <c r="H2087" s="8" t="s">
        <v>4330</v>
      </c>
      <c r="I2087" s="8" t="s">
        <v>4039</v>
      </c>
    </row>
    <row r="2088" spans="1:9" ht="14.25" customHeight="1" x14ac:dyDescent="0.25">
      <c r="A2088" s="7" t="s">
        <v>8640</v>
      </c>
      <c r="B2088" s="8" t="s">
        <v>2288</v>
      </c>
      <c r="C2088" s="8" t="s">
        <v>8641</v>
      </c>
      <c r="D2088" s="8" t="s">
        <v>411</v>
      </c>
      <c r="E2088" s="8" t="s">
        <v>412</v>
      </c>
      <c r="F2088" s="11" t="s">
        <v>8642</v>
      </c>
      <c r="G2088" s="8" t="s">
        <v>8643</v>
      </c>
      <c r="H2088" s="8" t="s">
        <v>20</v>
      </c>
      <c r="I2088" s="8" t="s">
        <v>3756</v>
      </c>
    </row>
    <row r="2089" spans="1:9" ht="14.25" customHeight="1" x14ac:dyDescent="0.25">
      <c r="A2089" s="7" t="s">
        <v>8644</v>
      </c>
      <c r="B2089" s="8" t="s">
        <v>3019</v>
      </c>
      <c r="C2089" s="8" t="s">
        <v>4612</v>
      </c>
      <c r="D2089" s="8" t="s">
        <v>411</v>
      </c>
      <c r="E2089" s="8" t="s">
        <v>412</v>
      </c>
      <c r="F2089" s="11" t="s">
        <v>8645</v>
      </c>
      <c r="G2089" s="8" t="s">
        <v>8646</v>
      </c>
      <c r="H2089" s="8" t="s">
        <v>72</v>
      </c>
      <c r="I2089" s="8" t="s">
        <v>3756</v>
      </c>
    </row>
    <row r="2090" spans="1:9" ht="14.25" customHeight="1" x14ac:dyDescent="0.25">
      <c r="A2090" s="7" t="s">
        <v>8647</v>
      </c>
      <c r="B2090" s="8" t="s">
        <v>8648</v>
      </c>
      <c r="C2090" s="8" t="s">
        <v>8649</v>
      </c>
      <c r="D2090" s="8" t="s">
        <v>3163</v>
      </c>
      <c r="E2090" s="8" t="s">
        <v>412</v>
      </c>
      <c r="F2090" s="11" t="s">
        <v>8650</v>
      </c>
      <c r="G2090" s="8" t="s">
        <v>8651</v>
      </c>
      <c r="H2090" s="8" t="s">
        <v>6128</v>
      </c>
      <c r="I2090" s="8" t="s">
        <v>3756</v>
      </c>
    </row>
    <row r="2091" spans="1:9" ht="14.25" customHeight="1" x14ac:dyDescent="0.25">
      <c r="A2091" s="7" t="s">
        <v>8652</v>
      </c>
      <c r="B2091" s="8" t="s">
        <v>1101</v>
      </c>
      <c r="C2091" s="8" t="s">
        <v>8653</v>
      </c>
      <c r="D2091" s="8" t="s">
        <v>411</v>
      </c>
      <c r="E2091" s="8" t="s">
        <v>8382</v>
      </c>
      <c r="F2091" s="11" t="s">
        <v>8654</v>
      </c>
      <c r="G2091" s="8" t="s">
        <v>4587</v>
      </c>
      <c r="H2091" s="8" t="s">
        <v>37</v>
      </c>
      <c r="I2091" s="8" t="s">
        <v>3756</v>
      </c>
    </row>
    <row r="2092" spans="1:9" ht="14.25" customHeight="1" x14ac:dyDescent="0.25">
      <c r="A2092" s="7" t="s">
        <v>8655</v>
      </c>
      <c r="B2092" s="8" t="s">
        <v>8656</v>
      </c>
      <c r="C2092" s="8" t="s">
        <v>8657</v>
      </c>
      <c r="D2092" s="8" t="s">
        <v>3163</v>
      </c>
      <c r="E2092" s="8" t="s">
        <v>412</v>
      </c>
      <c r="F2092" s="11" t="s">
        <v>8658</v>
      </c>
      <c r="G2092" s="8"/>
      <c r="H2092" s="8" t="s">
        <v>3618</v>
      </c>
      <c r="I2092" s="8" t="s">
        <v>3756</v>
      </c>
    </row>
    <row r="2093" spans="1:9" ht="14.25" customHeight="1" x14ac:dyDescent="0.25">
      <c r="A2093" s="7" t="s">
        <v>8659</v>
      </c>
      <c r="B2093" s="8" t="s">
        <v>1866</v>
      </c>
      <c r="C2093" s="8" t="s">
        <v>8660</v>
      </c>
      <c r="D2093" s="8" t="s">
        <v>411</v>
      </c>
      <c r="E2093" s="8" t="s">
        <v>412</v>
      </c>
      <c r="F2093" s="11" t="s">
        <v>8661</v>
      </c>
      <c r="G2093" s="8" t="s">
        <v>8662</v>
      </c>
      <c r="H2093" s="8" t="s">
        <v>92</v>
      </c>
      <c r="I2093" s="8" t="s">
        <v>3756</v>
      </c>
    </row>
    <row r="2094" spans="1:9" ht="14.25" customHeight="1" x14ac:dyDescent="0.25">
      <c r="A2094" s="7" t="s">
        <v>8663</v>
      </c>
      <c r="B2094" s="8" t="s">
        <v>5694</v>
      </c>
      <c r="C2094" s="8" t="s">
        <v>8664</v>
      </c>
      <c r="D2094" s="8" t="s">
        <v>3163</v>
      </c>
      <c r="E2094" s="8" t="s">
        <v>3890</v>
      </c>
      <c r="F2094" s="11" t="s">
        <v>8665</v>
      </c>
      <c r="G2094" s="8" t="s">
        <v>8666</v>
      </c>
      <c r="H2094" s="8" t="s">
        <v>6255</v>
      </c>
      <c r="I2094" s="8" t="s">
        <v>3756</v>
      </c>
    </row>
    <row r="2095" spans="1:9" ht="14.25" customHeight="1" x14ac:dyDescent="0.25">
      <c r="A2095" s="7" t="s">
        <v>8667</v>
      </c>
      <c r="B2095" s="8" t="s">
        <v>5586</v>
      </c>
      <c r="C2095" s="8" t="s">
        <v>8668</v>
      </c>
      <c r="D2095" s="8" t="s">
        <v>411</v>
      </c>
      <c r="E2095" s="8" t="s">
        <v>3890</v>
      </c>
      <c r="F2095" s="11" t="s">
        <v>8669</v>
      </c>
      <c r="G2095" s="8" t="s">
        <v>8666</v>
      </c>
      <c r="H2095" s="8" t="s">
        <v>6255</v>
      </c>
      <c r="I2095" s="8" t="s">
        <v>3756</v>
      </c>
    </row>
    <row r="2096" spans="1:9" ht="14.25" customHeight="1" x14ac:dyDescent="0.25">
      <c r="A2096" s="7" t="s">
        <v>8670</v>
      </c>
      <c r="B2096" s="8" t="s">
        <v>8671</v>
      </c>
      <c r="C2096" s="8" t="s">
        <v>4709</v>
      </c>
      <c r="D2096" s="8" t="s">
        <v>3163</v>
      </c>
      <c r="E2096" s="8" t="s">
        <v>3865</v>
      </c>
      <c r="F2096" s="11" t="s">
        <v>8672</v>
      </c>
      <c r="G2096" s="8"/>
      <c r="H2096" s="8" t="s">
        <v>3918</v>
      </c>
      <c r="I2096" s="8" t="s">
        <v>3756</v>
      </c>
    </row>
    <row r="2097" spans="1:9" ht="14.25" customHeight="1" x14ac:dyDescent="0.25">
      <c r="A2097" s="7" t="s">
        <v>8673</v>
      </c>
      <c r="B2097" s="8" t="s">
        <v>1773</v>
      </c>
      <c r="C2097" s="8" t="s">
        <v>8674</v>
      </c>
      <c r="D2097" s="8" t="s">
        <v>411</v>
      </c>
      <c r="E2097" s="8" t="s">
        <v>3890</v>
      </c>
      <c r="F2097" s="11" t="s">
        <v>8675</v>
      </c>
      <c r="G2097" s="8" t="s">
        <v>8676</v>
      </c>
      <c r="H2097" s="8" t="s">
        <v>2212</v>
      </c>
      <c r="I2097" s="8" t="s">
        <v>4039</v>
      </c>
    </row>
    <row r="2098" spans="1:9" ht="14.25" customHeight="1" x14ac:dyDescent="0.25">
      <c r="A2098" s="7" t="s">
        <v>8677</v>
      </c>
      <c r="B2098" s="8" t="s">
        <v>7095</v>
      </c>
      <c r="C2098" s="8" t="s">
        <v>8678</v>
      </c>
      <c r="D2098" s="8" t="s">
        <v>3163</v>
      </c>
      <c r="E2098" s="8" t="s">
        <v>3890</v>
      </c>
      <c r="F2098" s="11" t="s">
        <v>8679</v>
      </c>
      <c r="G2098" s="8" t="s">
        <v>8676</v>
      </c>
      <c r="H2098" s="8" t="s">
        <v>2212</v>
      </c>
      <c r="I2098" s="8" t="s">
        <v>4039</v>
      </c>
    </row>
    <row r="2099" spans="1:9" ht="14.25" customHeight="1" x14ac:dyDescent="0.25">
      <c r="A2099" s="7" t="s">
        <v>8680</v>
      </c>
      <c r="B2099" s="8" t="s">
        <v>7244</v>
      </c>
      <c r="C2099" s="8" t="s">
        <v>8681</v>
      </c>
      <c r="D2099" s="8" t="s">
        <v>411</v>
      </c>
      <c r="E2099" s="8" t="s">
        <v>412</v>
      </c>
      <c r="F2099" s="11" t="s">
        <v>8682</v>
      </c>
      <c r="G2099" s="8"/>
      <c r="H2099" s="8" t="s">
        <v>2212</v>
      </c>
      <c r="I2099" s="8" t="s">
        <v>4404</v>
      </c>
    </row>
    <row r="2100" spans="1:9" ht="14.25" customHeight="1" x14ac:dyDescent="0.25">
      <c r="A2100" s="7" t="s">
        <v>8683</v>
      </c>
      <c r="B2100" s="8" t="s">
        <v>8684</v>
      </c>
      <c r="C2100" s="8" t="s">
        <v>1358</v>
      </c>
      <c r="D2100" s="8" t="s">
        <v>3163</v>
      </c>
      <c r="E2100" s="8" t="s">
        <v>8382</v>
      </c>
      <c r="F2100" s="11"/>
      <c r="G2100" s="8"/>
      <c r="H2100" s="8" t="s">
        <v>2212</v>
      </c>
      <c r="I2100" s="8" t="s">
        <v>4404</v>
      </c>
    </row>
    <row r="2101" spans="1:9" ht="14.25" customHeight="1" x14ac:dyDescent="0.25">
      <c r="A2101" s="7" t="s">
        <v>8685</v>
      </c>
      <c r="B2101" s="8" t="s">
        <v>8686</v>
      </c>
      <c r="C2101" s="8" t="s">
        <v>8687</v>
      </c>
      <c r="D2101" s="8" t="s">
        <v>411</v>
      </c>
      <c r="E2101" s="8" t="s">
        <v>3890</v>
      </c>
      <c r="F2101" s="11" t="s">
        <v>8688</v>
      </c>
      <c r="G2101" s="8" t="s">
        <v>8689</v>
      </c>
      <c r="H2101" s="8" t="s">
        <v>8690</v>
      </c>
      <c r="I2101" s="8" t="s">
        <v>4039</v>
      </c>
    </row>
    <row r="2102" spans="1:9" ht="14.25" customHeight="1" x14ac:dyDescent="0.25">
      <c r="A2102" s="7" t="s">
        <v>8691</v>
      </c>
      <c r="B2102" s="8" t="s">
        <v>6815</v>
      </c>
      <c r="C2102" s="8" t="s">
        <v>8692</v>
      </c>
      <c r="D2102" s="8" t="s">
        <v>3163</v>
      </c>
      <c r="E2102" s="8" t="s">
        <v>3890</v>
      </c>
      <c r="F2102" s="11" t="s">
        <v>8693</v>
      </c>
      <c r="G2102" s="8" t="s">
        <v>8689</v>
      </c>
      <c r="H2102" s="8" t="s">
        <v>8690</v>
      </c>
      <c r="I2102" s="8" t="s">
        <v>4039</v>
      </c>
    </row>
    <row r="2103" spans="1:9" ht="14.25" customHeight="1" x14ac:dyDescent="0.25">
      <c r="A2103" s="7" t="s">
        <v>8694</v>
      </c>
      <c r="B2103" s="8" t="s">
        <v>6280</v>
      </c>
      <c r="C2103" s="8" t="s">
        <v>8695</v>
      </c>
      <c r="D2103" s="8" t="s">
        <v>3163</v>
      </c>
      <c r="E2103" s="8" t="s">
        <v>3890</v>
      </c>
      <c r="F2103" s="11" t="s">
        <v>8696</v>
      </c>
      <c r="G2103" s="8" t="s">
        <v>8697</v>
      </c>
      <c r="H2103" s="8" t="s">
        <v>6128</v>
      </c>
      <c r="I2103" s="8" t="s">
        <v>4039</v>
      </c>
    </row>
    <row r="2104" spans="1:9" ht="14.25" customHeight="1" x14ac:dyDescent="0.25">
      <c r="A2104" s="7" t="s">
        <v>8698</v>
      </c>
      <c r="B2104" s="8" t="s">
        <v>6548</v>
      </c>
      <c r="C2104" s="8" t="s">
        <v>8699</v>
      </c>
      <c r="D2104" s="8" t="s">
        <v>411</v>
      </c>
      <c r="E2104" s="8" t="s">
        <v>3890</v>
      </c>
      <c r="F2104" s="11" t="s">
        <v>8700</v>
      </c>
      <c r="G2104" s="8" t="s">
        <v>8697</v>
      </c>
      <c r="H2104" s="8" t="s">
        <v>6128</v>
      </c>
      <c r="I2104" s="8" t="s">
        <v>4039</v>
      </c>
    </row>
    <row r="2105" spans="1:9" ht="14.25" customHeight="1" x14ac:dyDescent="0.25">
      <c r="A2105" s="7" t="s">
        <v>8701</v>
      </c>
      <c r="B2105" s="8" t="s">
        <v>8702</v>
      </c>
      <c r="C2105" s="8" t="s">
        <v>8703</v>
      </c>
      <c r="D2105" s="8" t="s">
        <v>411</v>
      </c>
      <c r="E2105" s="8" t="s">
        <v>412</v>
      </c>
      <c r="F2105" s="12" t="s">
        <v>8704</v>
      </c>
      <c r="G2105" s="8" t="s">
        <v>8705</v>
      </c>
      <c r="H2105" s="8" t="s">
        <v>82</v>
      </c>
      <c r="I2105" s="8" t="s">
        <v>4039</v>
      </c>
    </row>
    <row r="2106" spans="1:9" ht="14.25" customHeight="1" x14ac:dyDescent="0.25">
      <c r="A2106" s="7" t="s">
        <v>8706</v>
      </c>
      <c r="B2106" s="8" t="s">
        <v>8557</v>
      </c>
      <c r="C2106" s="8" t="s">
        <v>8707</v>
      </c>
      <c r="D2106" s="8" t="s">
        <v>3163</v>
      </c>
      <c r="E2106" s="8" t="s">
        <v>412</v>
      </c>
      <c r="F2106" s="11"/>
      <c r="G2106" s="8"/>
      <c r="H2106" s="8"/>
      <c r="I2106" s="8" t="s">
        <v>3756</v>
      </c>
    </row>
    <row r="2107" spans="1:9" ht="14.25" customHeight="1" x14ac:dyDescent="0.25">
      <c r="A2107" s="7" t="s">
        <v>8708</v>
      </c>
      <c r="B2107" s="8" t="s">
        <v>8709</v>
      </c>
      <c r="C2107" s="8" t="s">
        <v>8710</v>
      </c>
      <c r="D2107" s="8" t="s">
        <v>411</v>
      </c>
      <c r="E2107" s="8" t="s">
        <v>412</v>
      </c>
      <c r="F2107" s="11" t="s">
        <v>8711</v>
      </c>
      <c r="G2107" s="8" t="s">
        <v>5228</v>
      </c>
      <c r="H2107" s="8" t="s">
        <v>15</v>
      </c>
      <c r="I2107" s="8" t="s">
        <v>4039</v>
      </c>
    </row>
    <row r="2108" spans="1:9" ht="14.25" customHeight="1" x14ac:dyDescent="0.25">
      <c r="A2108" s="7" t="s">
        <v>8712</v>
      </c>
      <c r="B2108" s="8" t="s">
        <v>8713</v>
      </c>
      <c r="C2108" s="8" t="s">
        <v>8714</v>
      </c>
      <c r="D2108" s="8" t="s">
        <v>411</v>
      </c>
      <c r="E2108" s="8" t="s">
        <v>412</v>
      </c>
      <c r="F2108" s="11" t="s">
        <v>8715</v>
      </c>
      <c r="G2108" s="8" t="s">
        <v>8716</v>
      </c>
      <c r="H2108" s="8" t="s">
        <v>6921</v>
      </c>
      <c r="I2108" s="8" t="s">
        <v>4039</v>
      </c>
    </row>
    <row r="2109" spans="1:9" ht="14.25" customHeight="1" x14ac:dyDescent="0.25">
      <c r="A2109" s="7" t="s">
        <v>8717</v>
      </c>
      <c r="B2109" s="8" t="s">
        <v>5375</v>
      </c>
      <c r="C2109" s="8" t="s">
        <v>8718</v>
      </c>
      <c r="D2109" s="8" t="s">
        <v>3163</v>
      </c>
      <c r="E2109" s="8" t="s">
        <v>3890</v>
      </c>
      <c r="F2109" s="11" t="s">
        <v>8719</v>
      </c>
      <c r="G2109" s="8" t="s">
        <v>8720</v>
      </c>
      <c r="H2109" s="8" t="s">
        <v>37</v>
      </c>
      <c r="I2109" s="8" t="s">
        <v>4039</v>
      </c>
    </row>
    <row r="2110" spans="1:9" ht="14.25" customHeight="1" x14ac:dyDescent="0.25">
      <c r="A2110" s="7" t="s">
        <v>8721</v>
      </c>
      <c r="B2110" s="8" t="s">
        <v>8722</v>
      </c>
      <c r="C2110" s="8" t="s">
        <v>1530</v>
      </c>
      <c r="D2110" s="8" t="s">
        <v>411</v>
      </c>
      <c r="E2110" s="8" t="s">
        <v>3890</v>
      </c>
      <c r="F2110" s="11" t="s">
        <v>8723</v>
      </c>
      <c r="G2110" s="8" t="s">
        <v>8720</v>
      </c>
      <c r="H2110" s="8" t="s">
        <v>37</v>
      </c>
      <c r="I2110" s="8" t="s">
        <v>4039</v>
      </c>
    </row>
    <row r="2111" spans="1:9" ht="14.25" customHeight="1" x14ac:dyDescent="0.25">
      <c r="A2111" s="7" t="s">
        <v>8724</v>
      </c>
      <c r="B2111" s="8" t="s">
        <v>8725</v>
      </c>
      <c r="C2111" s="8" t="s">
        <v>1134</v>
      </c>
      <c r="D2111" s="8" t="s">
        <v>411</v>
      </c>
      <c r="E2111" s="8" t="s">
        <v>412</v>
      </c>
      <c r="F2111" s="11" t="s">
        <v>8726</v>
      </c>
      <c r="G2111" s="8" t="s">
        <v>8727</v>
      </c>
      <c r="H2111" s="8" t="s">
        <v>61</v>
      </c>
      <c r="I2111" s="8" t="s">
        <v>5347</v>
      </c>
    </row>
    <row r="2112" spans="1:9" ht="14.25" customHeight="1" x14ac:dyDescent="0.25">
      <c r="A2112" s="7" t="s">
        <v>8728</v>
      </c>
      <c r="B2112" s="8" t="s">
        <v>447</v>
      </c>
      <c r="C2112" s="8" t="s">
        <v>8729</v>
      </c>
      <c r="D2112" s="8" t="s">
        <v>3163</v>
      </c>
      <c r="E2112" s="8" t="s">
        <v>3890</v>
      </c>
      <c r="F2112" s="11" t="s">
        <v>8730</v>
      </c>
      <c r="G2112" s="8" t="s">
        <v>8731</v>
      </c>
      <c r="H2112" s="8" t="s">
        <v>92</v>
      </c>
      <c r="I2112" s="8" t="s">
        <v>4039</v>
      </c>
    </row>
    <row r="2113" spans="1:9" ht="14.25" customHeight="1" x14ac:dyDescent="0.25">
      <c r="A2113" s="7" t="s">
        <v>8732</v>
      </c>
      <c r="B2113" s="8" t="s">
        <v>8733</v>
      </c>
      <c r="C2113" s="8" t="s">
        <v>2203</v>
      </c>
      <c r="D2113" s="8" t="s">
        <v>411</v>
      </c>
      <c r="E2113" s="8" t="s">
        <v>3890</v>
      </c>
      <c r="F2113" s="11" t="s">
        <v>8734</v>
      </c>
      <c r="G2113" s="8" t="s">
        <v>8731</v>
      </c>
      <c r="H2113" s="8" t="s">
        <v>92</v>
      </c>
      <c r="I2113" s="8" t="s">
        <v>4039</v>
      </c>
    </row>
    <row r="2114" spans="1:9" ht="14.25" customHeight="1" x14ac:dyDescent="0.25">
      <c r="A2114" s="7" t="s">
        <v>8735</v>
      </c>
      <c r="B2114" s="8" t="s">
        <v>842</v>
      </c>
      <c r="C2114" s="8" t="s">
        <v>8736</v>
      </c>
      <c r="D2114" s="8" t="s">
        <v>411</v>
      </c>
      <c r="E2114" s="8" t="s">
        <v>412</v>
      </c>
      <c r="F2114" s="11" t="s">
        <v>8737</v>
      </c>
      <c r="G2114" s="8" t="s">
        <v>8738</v>
      </c>
      <c r="H2114" s="8" t="s">
        <v>82</v>
      </c>
      <c r="I2114" s="8" t="s">
        <v>4371</v>
      </c>
    </row>
    <row r="2115" spans="1:9" ht="14.25" customHeight="1" x14ac:dyDescent="0.25">
      <c r="A2115" s="7" t="s">
        <v>8739</v>
      </c>
      <c r="B2115" s="8" t="s">
        <v>8740</v>
      </c>
      <c r="C2115" s="8" t="s">
        <v>8741</v>
      </c>
      <c r="D2115" s="8" t="s">
        <v>411</v>
      </c>
      <c r="E2115" s="8" t="s">
        <v>412</v>
      </c>
      <c r="F2115" s="11" t="s">
        <v>8742</v>
      </c>
      <c r="G2115" s="8" t="s">
        <v>8743</v>
      </c>
      <c r="H2115" s="8" t="s">
        <v>3918</v>
      </c>
      <c r="I2115" s="8" t="s">
        <v>3756</v>
      </c>
    </row>
    <row r="2116" spans="1:9" ht="14.25" customHeight="1" x14ac:dyDescent="0.25">
      <c r="A2116" s="7" t="s">
        <v>8744</v>
      </c>
      <c r="B2116" s="8" t="s">
        <v>4810</v>
      </c>
      <c r="C2116" s="8" t="s">
        <v>8745</v>
      </c>
      <c r="D2116" s="8" t="s">
        <v>411</v>
      </c>
      <c r="E2116" s="8" t="s">
        <v>412</v>
      </c>
      <c r="F2116" s="11" t="s">
        <v>8746</v>
      </c>
      <c r="G2116" s="8" t="s">
        <v>8747</v>
      </c>
      <c r="H2116" s="8" t="s">
        <v>4317</v>
      </c>
      <c r="I2116" s="8" t="s">
        <v>4039</v>
      </c>
    </row>
    <row r="2117" spans="1:9" ht="14.25" customHeight="1" x14ac:dyDescent="0.25">
      <c r="A2117" s="7" t="s">
        <v>8748</v>
      </c>
      <c r="B2117" s="8" t="s">
        <v>8749</v>
      </c>
      <c r="C2117" s="8" t="s">
        <v>8750</v>
      </c>
      <c r="D2117" s="8" t="s">
        <v>411</v>
      </c>
      <c r="E2117" s="8" t="s">
        <v>412</v>
      </c>
      <c r="F2117" s="11" t="s">
        <v>8751</v>
      </c>
      <c r="G2117" s="8" t="s">
        <v>8752</v>
      </c>
      <c r="H2117" s="8" t="s">
        <v>8753</v>
      </c>
      <c r="I2117" s="8" t="s">
        <v>4039</v>
      </c>
    </row>
    <row r="2118" spans="1:9" ht="14.25" customHeight="1" x14ac:dyDescent="0.25">
      <c r="A2118" s="7" t="s">
        <v>8754</v>
      </c>
      <c r="B2118" s="8" t="s">
        <v>8755</v>
      </c>
      <c r="C2118" s="8" t="s">
        <v>8756</v>
      </c>
      <c r="D2118" s="8" t="s">
        <v>411</v>
      </c>
      <c r="E2118" s="8" t="s">
        <v>412</v>
      </c>
      <c r="F2118" s="11" t="s">
        <v>8757</v>
      </c>
      <c r="G2118" s="8" t="s">
        <v>8758</v>
      </c>
      <c r="H2118" s="8" t="s">
        <v>72</v>
      </c>
      <c r="I2118" s="8" t="s">
        <v>3756</v>
      </c>
    </row>
    <row r="2119" spans="1:9" ht="14.25" customHeight="1" x14ac:dyDescent="0.25">
      <c r="A2119" s="7" t="s">
        <v>8759</v>
      </c>
      <c r="B2119" s="8" t="s">
        <v>6982</v>
      </c>
      <c r="C2119" s="8" t="s">
        <v>3064</v>
      </c>
      <c r="D2119" s="8" t="s">
        <v>411</v>
      </c>
      <c r="E2119" s="8" t="s">
        <v>1359</v>
      </c>
      <c r="F2119" s="11" t="s">
        <v>8760</v>
      </c>
      <c r="G2119" s="8"/>
      <c r="H2119" s="8"/>
      <c r="I2119" s="8"/>
    </row>
    <row r="2120" spans="1:9" ht="14.25" customHeight="1" x14ac:dyDescent="0.25">
      <c r="A2120" s="7" t="s">
        <v>8761</v>
      </c>
      <c r="B2120" s="8" t="s">
        <v>8762</v>
      </c>
      <c r="C2120" s="8" t="s">
        <v>8763</v>
      </c>
      <c r="D2120" s="8" t="s">
        <v>3163</v>
      </c>
      <c r="E2120" s="8" t="s">
        <v>412</v>
      </c>
      <c r="F2120" s="11" t="s">
        <v>8764</v>
      </c>
      <c r="G2120" s="8" t="s">
        <v>8765</v>
      </c>
      <c r="H2120" s="8" t="s">
        <v>7838</v>
      </c>
      <c r="I2120" s="8" t="s">
        <v>4039</v>
      </c>
    </row>
    <row r="2121" spans="1:9" ht="14.25" customHeight="1" x14ac:dyDescent="0.25">
      <c r="A2121" s="7" t="s">
        <v>8766</v>
      </c>
      <c r="B2121" s="8" t="s">
        <v>8767</v>
      </c>
      <c r="C2121" s="8" t="s">
        <v>8768</v>
      </c>
      <c r="D2121" s="8" t="s">
        <v>3163</v>
      </c>
      <c r="E2121" s="8" t="s">
        <v>412</v>
      </c>
      <c r="F2121" s="11" t="s">
        <v>8769</v>
      </c>
      <c r="G2121" s="8" t="s">
        <v>8770</v>
      </c>
      <c r="H2121" s="8" t="s">
        <v>8771</v>
      </c>
      <c r="I2121" s="8" t="s">
        <v>4039</v>
      </c>
    </row>
    <row r="2122" spans="1:9" ht="14.25" customHeight="1" x14ac:dyDescent="0.25">
      <c r="A2122" s="7" t="s">
        <v>8772</v>
      </c>
      <c r="B2122" s="8" t="s">
        <v>8773</v>
      </c>
      <c r="C2122" s="8" t="s">
        <v>8774</v>
      </c>
      <c r="D2122" s="8" t="s">
        <v>411</v>
      </c>
      <c r="E2122" s="8" t="s">
        <v>412</v>
      </c>
      <c r="F2122" s="11" t="s">
        <v>8775</v>
      </c>
      <c r="G2122" s="8" t="s">
        <v>8776</v>
      </c>
      <c r="H2122" s="8" t="s">
        <v>37</v>
      </c>
      <c r="I2122" s="8" t="s">
        <v>3756</v>
      </c>
    </row>
    <row r="2123" spans="1:9" ht="14.25" customHeight="1" x14ac:dyDescent="0.25">
      <c r="A2123" s="7" t="s">
        <v>8777</v>
      </c>
      <c r="B2123" s="8" t="s">
        <v>1555</v>
      </c>
      <c r="C2123" s="8" t="s">
        <v>8778</v>
      </c>
      <c r="D2123" s="8" t="s">
        <v>411</v>
      </c>
      <c r="E2123" s="8" t="s">
        <v>412</v>
      </c>
      <c r="F2123" s="11" t="s">
        <v>8779</v>
      </c>
      <c r="G2123" s="8" t="s">
        <v>8780</v>
      </c>
      <c r="H2123" s="8" t="s">
        <v>15</v>
      </c>
      <c r="I2123" s="8" t="s">
        <v>3756</v>
      </c>
    </row>
    <row r="2124" spans="1:9" ht="14.25" customHeight="1" x14ac:dyDescent="0.25">
      <c r="A2124" s="19" t="s">
        <v>8781</v>
      </c>
      <c r="B2124" s="8" t="s">
        <v>4543</v>
      </c>
      <c r="C2124" s="8" t="s">
        <v>8782</v>
      </c>
      <c r="D2124" s="8" t="s">
        <v>411</v>
      </c>
      <c r="E2124" s="8" t="s">
        <v>412</v>
      </c>
      <c r="F2124" s="11" t="s">
        <v>8783</v>
      </c>
      <c r="G2124" s="8" t="s">
        <v>8784</v>
      </c>
      <c r="H2124" s="8" t="s">
        <v>2212</v>
      </c>
      <c r="I2124" s="8" t="s">
        <v>4371</v>
      </c>
    </row>
    <row r="2125" spans="1:9" ht="14.25" customHeight="1" x14ac:dyDescent="0.25">
      <c r="A2125" s="7" t="s">
        <v>8785</v>
      </c>
      <c r="B2125" s="8" t="s">
        <v>2006</v>
      </c>
      <c r="C2125" s="8" t="s">
        <v>8786</v>
      </c>
      <c r="D2125" s="8" t="s">
        <v>3163</v>
      </c>
      <c r="E2125" s="8" t="s">
        <v>3890</v>
      </c>
      <c r="F2125" s="11"/>
      <c r="G2125" s="8"/>
      <c r="H2125" s="8"/>
      <c r="I2125" s="8" t="s">
        <v>3756</v>
      </c>
    </row>
    <row r="2126" spans="1:9" ht="14.25" customHeight="1" x14ac:dyDescent="0.25">
      <c r="A2126" s="7" t="s">
        <v>8787</v>
      </c>
      <c r="B2126" s="8" t="s">
        <v>7181</v>
      </c>
      <c r="C2126" s="8" t="s">
        <v>1166</v>
      </c>
      <c r="D2126" s="8" t="s">
        <v>3163</v>
      </c>
      <c r="E2126" s="8" t="s">
        <v>3890</v>
      </c>
      <c r="F2126" s="11" t="s">
        <v>8788</v>
      </c>
      <c r="G2126" s="8" t="s">
        <v>8789</v>
      </c>
      <c r="H2126" s="8" t="s">
        <v>3820</v>
      </c>
      <c r="I2126" s="8" t="s">
        <v>3756</v>
      </c>
    </row>
    <row r="2127" spans="1:9" ht="14.25" customHeight="1" x14ac:dyDescent="0.25">
      <c r="A2127" s="7" t="s">
        <v>8790</v>
      </c>
      <c r="B2127" s="8" t="s">
        <v>2956</v>
      </c>
      <c r="C2127" s="8" t="s">
        <v>1166</v>
      </c>
      <c r="D2127" s="8" t="s">
        <v>411</v>
      </c>
      <c r="E2127" s="8" t="s">
        <v>3890</v>
      </c>
      <c r="F2127" s="11"/>
      <c r="G2127" s="8" t="s">
        <v>8789</v>
      </c>
      <c r="H2127" s="8" t="s">
        <v>3820</v>
      </c>
      <c r="I2127" s="8" t="s">
        <v>3756</v>
      </c>
    </row>
    <row r="2128" spans="1:9" ht="14.25" customHeight="1" x14ac:dyDescent="0.25">
      <c r="A2128" s="7" t="s">
        <v>8791</v>
      </c>
      <c r="B2128" s="8" t="s">
        <v>8792</v>
      </c>
      <c r="C2128" s="8" t="s">
        <v>8793</v>
      </c>
      <c r="D2128" s="8" t="s">
        <v>411</v>
      </c>
      <c r="E2128" s="8" t="s">
        <v>412</v>
      </c>
      <c r="F2128" s="11" t="s">
        <v>8794</v>
      </c>
      <c r="G2128" s="8" t="s">
        <v>8795</v>
      </c>
      <c r="H2128" s="8" t="s">
        <v>2212</v>
      </c>
      <c r="I2128" s="8" t="s">
        <v>4039</v>
      </c>
    </row>
    <row r="2129" spans="1:9" ht="14.25" customHeight="1" x14ac:dyDescent="0.25">
      <c r="A2129" s="7" t="s">
        <v>8796</v>
      </c>
      <c r="B2129" s="8" t="s">
        <v>3718</v>
      </c>
      <c r="C2129" s="8" t="s">
        <v>8797</v>
      </c>
      <c r="D2129" s="8" t="s">
        <v>411</v>
      </c>
      <c r="E2129" s="8" t="s">
        <v>412</v>
      </c>
      <c r="F2129" s="11" t="s">
        <v>8798</v>
      </c>
      <c r="G2129" s="8" t="s">
        <v>8799</v>
      </c>
      <c r="H2129" s="8" t="s">
        <v>72</v>
      </c>
      <c r="I2129" s="8" t="s">
        <v>3756</v>
      </c>
    </row>
    <row r="2130" spans="1:9" ht="14.25" customHeight="1" x14ac:dyDescent="0.25">
      <c r="A2130" s="7" t="s">
        <v>8800</v>
      </c>
      <c r="B2130" s="8" t="s">
        <v>8801</v>
      </c>
      <c r="C2130" s="8" t="s">
        <v>8802</v>
      </c>
      <c r="D2130" s="8" t="s">
        <v>411</v>
      </c>
      <c r="E2130" s="8" t="s">
        <v>412</v>
      </c>
      <c r="F2130" s="11"/>
      <c r="G2130" s="8"/>
      <c r="H2130" s="8"/>
      <c r="I2130" s="8" t="s">
        <v>3756</v>
      </c>
    </row>
    <row r="2131" spans="1:9" ht="14.25" customHeight="1" x14ac:dyDescent="0.25">
      <c r="A2131" s="7" t="s">
        <v>8803</v>
      </c>
      <c r="B2131" s="8" t="s">
        <v>8804</v>
      </c>
      <c r="C2131" s="8" t="s">
        <v>8805</v>
      </c>
      <c r="D2131" s="8" t="s">
        <v>3163</v>
      </c>
      <c r="E2131" s="8" t="s">
        <v>412</v>
      </c>
      <c r="F2131" s="11"/>
      <c r="G2131" s="8"/>
      <c r="H2131" s="8"/>
      <c r="I2131" s="8" t="s">
        <v>4039</v>
      </c>
    </row>
    <row r="2132" spans="1:9" ht="14.25" customHeight="1" x14ac:dyDescent="0.25">
      <c r="A2132" s="7" t="s">
        <v>8806</v>
      </c>
      <c r="B2132" s="8" t="s">
        <v>155</v>
      </c>
      <c r="C2132" s="8" t="s">
        <v>8807</v>
      </c>
      <c r="D2132" s="8" t="s">
        <v>411</v>
      </c>
      <c r="E2132" s="8" t="s">
        <v>412</v>
      </c>
      <c r="F2132" s="11" t="s">
        <v>8808</v>
      </c>
      <c r="G2132" s="8" t="s">
        <v>8809</v>
      </c>
      <c r="H2132" s="8" t="s">
        <v>37</v>
      </c>
      <c r="I2132" s="8" t="s">
        <v>4039</v>
      </c>
    </row>
    <row r="2133" spans="1:9" ht="14.25" customHeight="1" x14ac:dyDescent="0.25">
      <c r="A2133" s="7" t="s">
        <v>8810</v>
      </c>
      <c r="B2133" s="8" t="s">
        <v>8811</v>
      </c>
      <c r="C2133" s="8" t="s">
        <v>8812</v>
      </c>
      <c r="D2133" s="8" t="s">
        <v>3163</v>
      </c>
      <c r="E2133" s="8" t="s">
        <v>412</v>
      </c>
      <c r="F2133" s="11"/>
      <c r="G2133" s="8"/>
      <c r="H2133" s="8"/>
      <c r="I2133" s="8" t="s">
        <v>3756</v>
      </c>
    </row>
    <row r="2134" spans="1:9" ht="14.25" customHeight="1" x14ac:dyDescent="0.25">
      <c r="A2134" s="7" t="s">
        <v>8813</v>
      </c>
      <c r="B2134" s="8" t="s">
        <v>1243</v>
      </c>
      <c r="C2134" s="8" t="s">
        <v>4085</v>
      </c>
      <c r="D2134" s="8" t="s">
        <v>411</v>
      </c>
      <c r="E2134" s="8" t="s">
        <v>412</v>
      </c>
      <c r="F2134" s="11" t="s">
        <v>8814</v>
      </c>
      <c r="G2134" s="8"/>
      <c r="H2134" s="8" t="s">
        <v>8815</v>
      </c>
      <c r="I2134" s="8" t="s">
        <v>4371</v>
      </c>
    </row>
    <row r="2135" spans="1:9" ht="14.25" customHeight="1" x14ac:dyDescent="0.25">
      <c r="A2135" s="7" t="s">
        <v>8816</v>
      </c>
      <c r="B2135" s="8" t="s">
        <v>8817</v>
      </c>
      <c r="C2135" s="8" t="s">
        <v>8818</v>
      </c>
      <c r="D2135" s="8" t="s">
        <v>411</v>
      </c>
      <c r="E2135" s="8" t="s">
        <v>412</v>
      </c>
      <c r="F2135" s="11" t="s">
        <v>8819</v>
      </c>
      <c r="G2135" s="8"/>
      <c r="H2135" s="8" t="s">
        <v>6754</v>
      </c>
      <c r="I2135" s="8" t="s">
        <v>4039</v>
      </c>
    </row>
    <row r="2136" spans="1:9" ht="14.25" customHeight="1" x14ac:dyDescent="0.25">
      <c r="A2136" s="7" t="s">
        <v>8820</v>
      </c>
      <c r="B2136" s="8" t="s">
        <v>8821</v>
      </c>
      <c r="C2136" s="8" t="s">
        <v>8822</v>
      </c>
      <c r="D2136" s="8" t="s">
        <v>3163</v>
      </c>
      <c r="E2136" s="8" t="s">
        <v>8823</v>
      </c>
      <c r="F2136" s="11"/>
      <c r="G2136" s="8"/>
      <c r="H2136" s="8"/>
      <c r="I2136" s="8" t="s">
        <v>3756</v>
      </c>
    </row>
    <row r="2137" spans="1:9" ht="14.25" customHeight="1" x14ac:dyDescent="0.25">
      <c r="A2137" s="7" t="s">
        <v>8824</v>
      </c>
      <c r="B2137" s="8" t="s">
        <v>8825</v>
      </c>
      <c r="C2137" s="8" t="s">
        <v>8826</v>
      </c>
      <c r="D2137" s="8" t="s">
        <v>411</v>
      </c>
      <c r="E2137" s="8" t="s">
        <v>412</v>
      </c>
      <c r="F2137" s="11" t="s">
        <v>8827</v>
      </c>
      <c r="G2137" s="8" t="s">
        <v>8828</v>
      </c>
      <c r="H2137" s="8" t="s">
        <v>2212</v>
      </c>
      <c r="I2137" s="8" t="s">
        <v>4039</v>
      </c>
    </row>
    <row r="2138" spans="1:9" ht="14.25" customHeight="1" x14ac:dyDescent="0.25">
      <c r="A2138" s="7" t="s">
        <v>8829</v>
      </c>
      <c r="B2138" s="8" t="s">
        <v>8830</v>
      </c>
      <c r="C2138" s="8" t="s">
        <v>8831</v>
      </c>
      <c r="D2138" s="8" t="s">
        <v>411</v>
      </c>
      <c r="E2138" s="8" t="s">
        <v>412</v>
      </c>
      <c r="F2138" s="11" t="s">
        <v>8832</v>
      </c>
      <c r="G2138" s="8" t="s">
        <v>8833</v>
      </c>
      <c r="H2138" s="8" t="s">
        <v>2212</v>
      </c>
      <c r="I2138" s="8" t="s">
        <v>3756</v>
      </c>
    </row>
    <row r="2139" spans="1:9" ht="14.25" customHeight="1" x14ac:dyDescent="0.25">
      <c r="A2139" s="7" t="s">
        <v>8834</v>
      </c>
      <c r="B2139" s="8" t="s">
        <v>2768</v>
      </c>
      <c r="C2139" s="8" t="s">
        <v>8835</v>
      </c>
      <c r="D2139" s="8" t="s">
        <v>3163</v>
      </c>
      <c r="E2139" s="8" t="s">
        <v>3890</v>
      </c>
      <c r="F2139" s="11" t="s">
        <v>8836</v>
      </c>
      <c r="G2139" s="8" t="s">
        <v>8837</v>
      </c>
      <c r="H2139" s="8" t="s">
        <v>8838</v>
      </c>
      <c r="I2139" s="8" t="s">
        <v>4039</v>
      </c>
    </row>
    <row r="2140" spans="1:9" ht="14.25" customHeight="1" x14ac:dyDescent="0.25">
      <c r="A2140" s="7" t="s">
        <v>8839</v>
      </c>
      <c r="B2140" s="8" t="s">
        <v>8840</v>
      </c>
      <c r="C2140" s="8" t="s">
        <v>8835</v>
      </c>
      <c r="D2140" s="8" t="s">
        <v>411</v>
      </c>
      <c r="E2140" s="8" t="s">
        <v>3890</v>
      </c>
      <c r="F2140" s="11"/>
      <c r="G2140" s="8" t="s">
        <v>8837</v>
      </c>
      <c r="H2140" s="8" t="s">
        <v>8838</v>
      </c>
      <c r="I2140" s="8" t="s">
        <v>4039</v>
      </c>
    </row>
    <row r="2141" spans="1:9" ht="14.25" customHeight="1" x14ac:dyDescent="0.25">
      <c r="A2141" s="7" t="s">
        <v>8841</v>
      </c>
      <c r="B2141" s="8" t="s">
        <v>68</v>
      </c>
      <c r="C2141" s="8" t="s">
        <v>659</v>
      </c>
      <c r="D2141" s="8" t="s">
        <v>411</v>
      </c>
      <c r="E2141" s="8" t="s">
        <v>3890</v>
      </c>
      <c r="F2141" s="11" t="s">
        <v>8842</v>
      </c>
      <c r="G2141" s="8" t="s">
        <v>8843</v>
      </c>
      <c r="H2141" s="8" t="s">
        <v>8844</v>
      </c>
      <c r="I2141" s="8" t="s">
        <v>4039</v>
      </c>
    </row>
    <row r="2142" spans="1:9" ht="14.25" customHeight="1" x14ac:dyDescent="0.25">
      <c r="A2142" s="7" t="s">
        <v>8845</v>
      </c>
      <c r="B2142" s="8" t="s">
        <v>793</v>
      </c>
      <c r="C2142" s="8" t="s">
        <v>1530</v>
      </c>
      <c r="D2142" s="8" t="s">
        <v>3163</v>
      </c>
      <c r="E2142" s="8" t="s">
        <v>3890</v>
      </c>
      <c r="F2142" s="11"/>
      <c r="G2142" s="8" t="s">
        <v>8843</v>
      </c>
      <c r="H2142" s="8" t="s">
        <v>8844</v>
      </c>
      <c r="I2142" s="8" t="s">
        <v>4039</v>
      </c>
    </row>
    <row r="2143" spans="1:9" ht="14.25" customHeight="1" x14ac:dyDescent="0.25">
      <c r="A2143" s="7" t="s">
        <v>8846</v>
      </c>
      <c r="B2143" s="8" t="s">
        <v>8847</v>
      </c>
      <c r="C2143" s="8" t="s">
        <v>8848</v>
      </c>
      <c r="D2143" s="8" t="s">
        <v>3163</v>
      </c>
      <c r="E2143" s="8" t="s">
        <v>3890</v>
      </c>
      <c r="F2143" s="11" t="s">
        <v>8849</v>
      </c>
      <c r="G2143" s="8" t="s">
        <v>8850</v>
      </c>
      <c r="H2143" s="8" t="s">
        <v>5915</v>
      </c>
      <c r="I2143" s="8" t="s">
        <v>4039</v>
      </c>
    </row>
    <row r="2144" spans="1:9" ht="14.25" customHeight="1" x14ac:dyDescent="0.25">
      <c r="A2144" s="7" t="s">
        <v>8851</v>
      </c>
      <c r="B2144" s="8" t="s">
        <v>8852</v>
      </c>
      <c r="C2144" s="8" t="s">
        <v>8848</v>
      </c>
      <c r="D2144" s="8" t="s">
        <v>411</v>
      </c>
      <c r="E2144" s="8" t="s">
        <v>3890</v>
      </c>
      <c r="F2144" s="11" t="s">
        <v>8853</v>
      </c>
      <c r="G2144" s="8" t="s">
        <v>8850</v>
      </c>
      <c r="H2144" s="8" t="s">
        <v>5915</v>
      </c>
      <c r="I2144" s="8" t="s">
        <v>4039</v>
      </c>
    </row>
    <row r="2145" spans="1:9" ht="14.25" customHeight="1" x14ac:dyDescent="0.25">
      <c r="A2145" s="7" t="s">
        <v>8854</v>
      </c>
      <c r="B2145" s="8" t="s">
        <v>1101</v>
      </c>
      <c r="C2145" s="8" t="s">
        <v>8653</v>
      </c>
      <c r="D2145" s="8" t="s">
        <v>411</v>
      </c>
      <c r="E2145" s="8" t="s">
        <v>3890</v>
      </c>
      <c r="F2145" s="11" t="s">
        <v>8654</v>
      </c>
      <c r="G2145" s="8"/>
      <c r="H2145" s="8"/>
      <c r="I2145" s="8" t="s">
        <v>3756</v>
      </c>
    </row>
    <row r="2146" spans="1:9" ht="14.25" customHeight="1" x14ac:dyDescent="0.25">
      <c r="A2146" s="7" t="s">
        <v>8855</v>
      </c>
      <c r="B2146" s="8" t="s">
        <v>3718</v>
      </c>
      <c r="C2146" s="8" t="s">
        <v>8856</v>
      </c>
      <c r="D2146" s="8" t="s">
        <v>411</v>
      </c>
      <c r="E2146" s="8" t="s">
        <v>412</v>
      </c>
      <c r="F2146" s="11" t="s">
        <v>8857</v>
      </c>
      <c r="G2146" s="8" t="s">
        <v>8858</v>
      </c>
      <c r="H2146" s="8" t="s">
        <v>37</v>
      </c>
      <c r="I2146" s="8" t="s">
        <v>3756</v>
      </c>
    </row>
    <row r="2147" spans="1:9" ht="14.25" customHeight="1" x14ac:dyDescent="0.25">
      <c r="A2147" s="7" t="s">
        <v>8859</v>
      </c>
      <c r="B2147" s="8" t="s">
        <v>8860</v>
      </c>
      <c r="C2147" s="8" t="s">
        <v>8861</v>
      </c>
      <c r="D2147" s="8" t="s">
        <v>3163</v>
      </c>
      <c r="E2147" s="8" t="s">
        <v>3890</v>
      </c>
      <c r="F2147" s="11" t="s">
        <v>8862</v>
      </c>
      <c r="G2147" s="8" t="s">
        <v>8863</v>
      </c>
      <c r="H2147" s="8" t="s">
        <v>8864</v>
      </c>
      <c r="I2147" s="8" t="s">
        <v>4039</v>
      </c>
    </row>
    <row r="2148" spans="1:9" ht="14.25" customHeight="1" x14ac:dyDescent="0.25">
      <c r="A2148" s="7" t="s">
        <v>8865</v>
      </c>
      <c r="B2148" s="8" t="s">
        <v>6548</v>
      </c>
      <c r="C2148" s="8" t="s">
        <v>8866</v>
      </c>
      <c r="D2148" s="8" t="s">
        <v>411</v>
      </c>
      <c r="E2148" s="8" t="s">
        <v>3890</v>
      </c>
      <c r="F2148" s="11" t="s">
        <v>8867</v>
      </c>
      <c r="G2148" s="8" t="s">
        <v>8863</v>
      </c>
      <c r="H2148" s="8" t="s">
        <v>8864</v>
      </c>
      <c r="I2148" s="8" t="s">
        <v>4039</v>
      </c>
    </row>
    <row r="2149" spans="1:9" ht="14.25" customHeight="1" x14ac:dyDescent="0.25">
      <c r="A2149" s="7" t="s">
        <v>8868</v>
      </c>
      <c r="B2149" s="8" t="s">
        <v>8869</v>
      </c>
      <c r="C2149" s="8" t="s">
        <v>8870</v>
      </c>
      <c r="D2149" s="8" t="s">
        <v>411</v>
      </c>
      <c r="E2149" s="8" t="s">
        <v>412</v>
      </c>
      <c r="F2149" s="11" t="s">
        <v>8871</v>
      </c>
      <c r="G2149" s="8" t="s">
        <v>8872</v>
      </c>
      <c r="H2149" s="8" t="s">
        <v>2212</v>
      </c>
      <c r="I2149" s="8" t="s">
        <v>3756</v>
      </c>
    </row>
    <row r="2150" spans="1:9" ht="14.25" customHeight="1" x14ac:dyDescent="0.25">
      <c r="A2150" s="7" t="s">
        <v>8873</v>
      </c>
      <c r="B2150" s="8" t="s">
        <v>8874</v>
      </c>
      <c r="C2150" s="8" t="s">
        <v>8875</v>
      </c>
      <c r="D2150" s="8" t="s">
        <v>411</v>
      </c>
      <c r="E2150" s="8" t="s">
        <v>3890</v>
      </c>
      <c r="F2150" s="11" t="s">
        <v>8876</v>
      </c>
      <c r="G2150" s="8" t="s">
        <v>8877</v>
      </c>
      <c r="H2150" s="8" t="s">
        <v>2212</v>
      </c>
      <c r="I2150" s="8" t="s">
        <v>3756</v>
      </c>
    </row>
    <row r="2151" spans="1:9" ht="14.25" customHeight="1" x14ac:dyDescent="0.25">
      <c r="A2151" s="7" t="s">
        <v>8878</v>
      </c>
      <c r="B2151" s="8" t="s">
        <v>7095</v>
      </c>
      <c r="C2151" s="8" t="s">
        <v>3723</v>
      </c>
      <c r="D2151" s="8" t="s">
        <v>3163</v>
      </c>
      <c r="E2151" s="8" t="s">
        <v>3890</v>
      </c>
      <c r="F2151" s="11"/>
      <c r="G2151" s="8" t="s">
        <v>8877</v>
      </c>
      <c r="H2151" s="8" t="s">
        <v>2212</v>
      </c>
      <c r="I2151" s="8"/>
    </row>
    <row r="2152" spans="1:9" ht="14.25" customHeight="1" x14ac:dyDescent="0.25">
      <c r="A2152" s="7" t="s">
        <v>8879</v>
      </c>
      <c r="B2152" s="8" t="s">
        <v>2899</v>
      </c>
      <c r="C2152" s="8" t="s">
        <v>8880</v>
      </c>
      <c r="D2152" s="8" t="s">
        <v>411</v>
      </c>
      <c r="E2152" s="8" t="s">
        <v>412</v>
      </c>
      <c r="F2152" s="11" t="s">
        <v>8881</v>
      </c>
      <c r="G2152" s="8" t="s">
        <v>8882</v>
      </c>
      <c r="H2152" s="8" t="s">
        <v>3820</v>
      </c>
      <c r="I2152" s="8" t="s">
        <v>3756</v>
      </c>
    </row>
    <row r="2153" spans="1:9" ht="14.25" customHeight="1" x14ac:dyDescent="0.25">
      <c r="A2153" s="7" t="s">
        <v>8883</v>
      </c>
      <c r="B2153" s="8" t="s">
        <v>8884</v>
      </c>
      <c r="C2153" s="8" t="s">
        <v>8885</v>
      </c>
      <c r="D2153" s="8" t="s">
        <v>3163</v>
      </c>
      <c r="E2153" s="8" t="s">
        <v>412</v>
      </c>
      <c r="F2153" s="11" t="s">
        <v>8886</v>
      </c>
      <c r="G2153" s="8" t="s">
        <v>8887</v>
      </c>
      <c r="H2153" s="8" t="s">
        <v>5570</v>
      </c>
      <c r="I2153" s="8" t="s">
        <v>4039</v>
      </c>
    </row>
    <row r="2154" spans="1:9" ht="14.25" customHeight="1" x14ac:dyDescent="0.25">
      <c r="A2154" s="7" t="s">
        <v>8888</v>
      </c>
      <c r="B2154" s="8" t="s">
        <v>8889</v>
      </c>
      <c r="C2154" s="8" t="s">
        <v>8890</v>
      </c>
      <c r="D2154" s="8" t="s">
        <v>411</v>
      </c>
      <c r="E2154" s="8" t="s">
        <v>3890</v>
      </c>
      <c r="F2154" s="11" t="s">
        <v>8891</v>
      </c>
      <c r="G2154" s="8" t="s">
        <v>8892</v>
      </c>
      <c r="H2154" s="8" t="s">
        <v>37</v>
      </c>
      <c r="I2154" s="8" t="s">
        <v>3756</v>
      </c>
    </row>
    <row r="2155" spans="1:9" ht="14.25" customHeight="1" x14ac:dyDescent="0.25">
      <c r="A2155" s="7" t="s">
        <v>8893</v>
      </c>
      <c r="B2155" s="8" t="s">
        <v>8894</v>
      </c>
      <c r="C2155" s="8" t="s">
        <v>8890</v>
      </c>
      <c r="D2155" s="8" t="s">
        <v>3163</v>
      </c>
      <c r="E2155" s="8" t="s">
        <v>3890</v>
      </c>
      <c r="F2155" s="11"/>
      <c r="G2155" s="8" t="s">
        <v>8892</v>
      </c>
      <c r="H2155" s="8" t="s">
        <v>37</v>
      </c>
      <c r="I2155" s="8" t="s">
        <v>3756</v>
      </c>
    </row>
    <row r="2156" spans="1:9" ht="14.25" customHeight="1" x14ac:dyDescent="0.25">
      <c r="A2156" s="7" t="s">
        <v>8895</v>
      </c>
      <c r="B2156" s="8" t="s">
        <v>6379</v>
      </c>
      <c r="C2156" s="8" t="s">
        <v>8896</v>
      </c>
      <c r="D2156" s="8" t="s">
        <v>411</v>
      </c>
      <c r="E2156" s="8" t="s">
        <v>412</v>
      </c>
      <c r="F2156" s="12" t="s">
        <v>8897</v>
      </c>
      <c r="G2156" s="8" t="s">
        <v>8898</v>
      </c>
      <c r="H2156" s="8" t="s">
        <v>61</v>
      </c>
      <c r="I2156" s="8" t="s">
        <v>3756</v>
      </c>
    </row>
    <row r="2157" spans="1:9" ht="14.25" customHeight="1" x14ac:dyDescent="0.25">
      <c r="A2157" s="7" t="s">
        <v>8899</v>
      </c>
      <c r="B2157" s="8" t="s">
        <v>155</v>
      </c>
      <c r="C2157" s="8" t="s">
        <v>8900</v>
      </c>
      <c r="D2157" s="8" t="s">
        <v>411</v>
      </c>
      <c r="E2157" s="8" t="s">
        <v>412</v>
      </c>
      <c r="F2157" s="11" t="s">
        <v>8901</v>
      </c>
      <c r="G2157" s="8" t="s">
        <v>8902</v>
      </c>
      <c r="H2157" s="8" t="s">
        <v>8903</v>
      </c>
      <c r="I2157" s="8" t="s">
        <v>4039</v>
      </c>
    </row>
    <row r="2158" spans="1:9" ht="14.25" customHeight="1" x14ac:dyDescent="0.25">
      <c r="A2158" s="7" t="s">
        <v>8904</v>
      </c>
      <c r="B2158" s="8" t="s">
        <v>8430</v>
      </c>
      <c r="C2158" s="8" t="s">
        <v>5932</v>
      </c>
      <c r="D2158" s="8" t="s">
        <v>411</v>
      </c>
      <c r="E2158" s="8" t="s">
        <v>412</v>
      </c>
      <c r="F2158" s="11" t="s">
        <v>8905</v>
      </c>
      <c r="G2158" s="8" t="s">
        <v>8906</v>
      </c>
      <c r="H2158" s="8" t="s">
        <v>25</v>
      </c>
      <c r="I2158" s="8" t="s">
        <v>3756</v>
      </c>
    </row>
    <row r="2159" spans="1:9" ht="14.25" customHeight="1" x14ac:dyDescent="0.25">
      <c r="A2159" s="7" t="s">
        <v>8907</v>
      </c>
      <c r="B2159" s="8" t="s">
        <v>3437</v>
      </c>
      <c r="C2159" s="8" t="s">
        <v>8908</v>
      </c>
      <c r="D2159" s="8" t="s">
        <v>411</v>
      </c>
      <c r="E2159" s="8" t="s">
        <v>412</v>
      </c>
      <c r="F2159" s="11" t="s">
        <v>8909</v>
      </c>
      <c r="G2159" s="8" t="s">
        <v>8910</v>
      </c>
      <c r="H2159" s="8" t="s">
        <v>6698</v>
      </c>
      <c r="I2159" s="8" t="s">
        <v>4039</v>
      </c>
    </row>
    <row r="2160" spans="1:9" ht="14.25" customHeight="1" x14ac:dyDescent="0.25">
      <c r="A2160" s="7" t="s">
        <v>8911</v>
      </c>
      <c r="B2160" s="8" t="s">
        <v>8912</v>
      </c>
      <c r="C2160" s="8" t="s">
        <v>8913</v>
      </c>
      <c r="D2160" s="8" t="s">
        <v>3163</v>
      </c>
      <c r="E2160" s="8" t="s">
        <v>412</v>
      </c>
      <c r="F2160" s="11" t="s">
        <v>8914</v>
      </c>
      <c r="G2160" s="8"/>
      <c r="H2160" s="8" t="s">
        <v>8815</v>
      </c>
      <c r="I2160" s="8" t="s">
        <v>4371</v>
      </c>
    </row>
    <row r="2161" spans="1:9" ht="14.25" customHeight="1" x14ac:dyDescent="0.25">
      <c r="A2161" s="7" t="s">
        <v>8915</v>
      </c>
      <c r="B2161" s="8" t="s">
        <v>8916</v>
      </c>
      <c r="C2161" s="8" t="s">
        <v>8917</v>
      </c>
      <c r="D2161" s="8" t="s">
        <v>411</v>
      </c>
      <c r="E2161" s="8" t="s">
        <v>3890</v>
      </c>
      <c r="F2161" s="11" t="s">
        <v>8918</v>
      </c>
      <c r="G2161" s="8" t="s">
        <v>8919</v>
      </c>
      <c r="H2161" s="8" t="s">
        <v>72</v>
      </c>
      <c r="I2161" s="8" t="s">
        <v>4039</v>
      </c>
    </row>
    <row r="2162" spans="1:9" ht="14.25" customHeight="1" x14ac:dyDescent="0.25">
      <c r="A2162" s="7" t="s">
        <v>8920</v>
      </c>
      <c r="B2162" s="8" t="s">
        <v>8921</v>
      </c>
      <c r="C2162" s="8" t="s">
        <v>8922</v>
      </c>
      <c r="D2162" s="8" t="s">
        <v>3163</v>
      </c>
      <c r="E2162" s="8" t="s">
        <v>3890</v>
      </c>
      <c r="F2162" s="11"/>
      <c r="G2162" s="8" t="s">
        <v>8919</v>
      </c>
      <c r="H2162" s="8" t="s">
        <v>72</v>
      </c>
      <c r="I2162" s="8" t="s">
        <v>4039</v>
      </c>
    </row>
    <row r="2163" spans="1:9" ht="14.25" customHeight="1" x14ac:dyDescent="0.25">
      <c r="A2163" s="7" t="s">
        <v>8923</v>
      </c>
      <c r="B2163" s="8" t="s">
        <v>7449</v>
      </c>
      <c r="C2163" s="8" t="s">
        <v>8924</v>
      </c>
      <c r="D2163" s="8" t="s">
        <v>411</v>
      </c>
      <c r="E2163" s="8" t="s">
        <v>3890</v>
      </c>
      <c r="F2163" s="12" t="s">
        <v>8925</v>
      </c>
      <c r="G2163" s="8" t="s">
        <v>8926</v>
      </c>
      <c r="H2163" s="8">
        <v>79576</v>
      </c>
      <c r="I2163" s="8" t="s">
        <v>3756</v>
      </c>
    </row>
    <row r="2164" spans="1:9" ht="14.25" customHeight="1" x14ac:dyDescent="0.25">
      <c r="A2164" s="7" t="s">
        <v>8927</v>
      </c>
      <c r="B2164" s="8" t="s">
        <v>8928</v>
      </c>
      <c r="C2164" s="8" t="s">
        <v>1728</v>
      </c>
      <c r="D2164" s="8" t="s">
        <v>3163</v>
      </c>
      <c r="E2164" s="8" t="s">
        <v>3890</v>
      </c>
      <c r="F2164" s="11"/>
      <c r="G2164" s="8" t="s">
        <v>8926</v>
      </c>
      <c r="H2164" s="8">
        <v>79576</v>
      </c>
      <c r="I2164" s="8" t="s">
        <v>3756</v>
      </c>
    </row>
    <row r="2165" spans="1:9" ht="14.25" customHeight="1" x14ac:dyDescent="0.25">
      <c r="A2165" s="7" t="s">
        <v>8929</v>
      </c>
      <c r="B2165" s="8" t="s">
        <v>296</v>
      </c>
      <c r="C2165" s="8" t="s">
        <v>8930</v>
      </c>
      <c r="D2165" s="8" t="s">
        <v>3163</v>
      </c>
      <c r="E2165" s="8" t="s">
        <v>412</v>
      </c>
      <c r="F2165" s="12" t="s">
        <v>8931</v>
      </c>
      <c r="G2165" s="8" t="s">
        <v>8932</v>
      </c>
      <c r="H2165" s="8" t="s">
        <v>2212</v>
      </c>
      <c r="I2165" s="8" t="s">
        <v>4371</v>
      </c>
    </row>
    <row r="2166" spans="1:9" ht="14.25" customHeight="1" x14ac:dyDescent="0.25">
      <c r="A2166" s="7" t="s">
        <v>8933</v>
      </c>
      <c r="B2166" s="8" t="s">
        <v>8934</v>
      </c>
      <c r="C2166" s="8" t="s">
        <v>8935</v>
      </c>
      <c r="D2166" s="8" t="s">
        <v>3163</v>
      </c>
      <c r="E2166" s="8" t="s">
        <v>412</v>
      </c>
      <c r="F2166" s="11" t="s">
        <v>8936</v>
      </c>
      <c r="G2166" s="8" t="s">
        <v>8937</v>
      </c>
      <c r="H2166" s="8" t="s">
        <v>61</v>
      </c>
      <c r="I2166" s="8" t="s">
        <v>4039</v>
      </c>
    </row>
    <row r="2167" spans="1:9" ht="14.25" customHeight="1" x14ac:dyDescent="0.25">
      <c r="A2167" s="7" t="s">
        <v>8938</v>
      </c>
      <c r="B2167" s="8" t="s">
        <v>2150</v>
      </c>
      <c r="C2167" s="8" t="s">
        <v>2732</v>
      </c>
      <c r="D2167" s="8" t="s">
        <v>411</v>
      </c>
      <c r="E2167" s="8" t="s">
        <v>412</v>
      </c>
      <c r="F2167" s="12" t="s">
        <v>8939</v>
      </c>
      <c r="G2167" s="8"/>
      <c r="H2167" s="8" t="s">
        <v>8940</v>
      </c>
      <c r="I2167" s="8" t="s">
        <v>4039</v>
      </c>
    </row>
    <row r="2168" spans="1:9" ht="14.25" customHeight="1" x14ac:dyDescent="0.25">
      <c r="A2168" s="7" t="s">
        <v>8941</v>
      </c>
      <c r="B2168" s="8" t="s">
        <v>4850</v>
      </c>
      <c r="C2168" s="8" t="s">
        <v>607</v>
      </c>
      <c r="D2168" s="8" t="s">
        <v>3163</v>
      </c>
      <c r="E2168" s="8" t="s">
        <v>412</v>
      </c>
      <c r="F2168" s="12" t="s">
        <v>8942</v>
      </c>
      <c r="G2168" s="8" t="s">
        <v>8943</v>
      </c>
      <c r="H2168" s="8" t="s">
        <v>8944</v>
      </c>
      <c r="I2168" s="8" t="s">
        <v>4371</v>
      </c>
    </row>
    <row r="2169" spans="1:9" ht="14.25" customHeight="1" x14ac:dyDescent="0.25">
      <c r="A2169" s="7" t="s">
        <v>8945</v>
      </c>
      <c r="B2169" s="8" t="s">
        <v>8946</v>
      </c>
      <c r="C2169" s="8" t="s">
        <v>8947</v>
      </c>
      <c r="D2169" s="8" t="s">
        <v>411</v>
      </c>
      <c r="E2169" s="8" t="s">
        <v>412</v>
      </c>
      <c r="F2169" s="11"/>
      <c r="G2169" s="8"/>
      <c r="H2169" s="8"/>
      <c r="I2169" s="8" t="s">
        <v>4039</v>
      </c>
    </row>
    <row r="2170" spans="1:9" ht="14.25" customHeight="1" x14ac:dyDescent="0.25">
      <c r="A2170" s="7" t="s">
        <v>8948</v>
      </c>
      <c r="B2170" s="8" t="s">
        <v>8949</v>
      </c>
      <c r="C2170" s="8" t="s">
        <v>8950</v>
      </c>
      <c r="D2170" s="8" t="s">
        <v>411</v>
      </c>
      <c r="E2170" s="8" t="s">
        <v>412</v>
      </c>
      <c r="F2170" s="11" t="s">
        <v>8951</v>
      </c>
      <c r="G2170" s="8" t="s">
        <v>8952</v>
      </c>
      <c r="H2170" s="8" t="s">
        <v>37</v>
      </c>
      <c r="I2170" s="8" t="s">
        <v>3756</v>
      </c>
    </row>
    <row r="2171" spans="1:9" ht="14.25" customHeight="1" x14ac:dyDescent="0.25">
      <c r="A2171" s="7" t="s">
        <v>8953</v>
      </c>
      <c r="B2171" s="8" t="s">
        <v>3058</v>
      </c>
      <c r="C2171" s="8" t="s">
        <v>8954</v>
      </c>
      <c r="D2171" s="8" t="s">
        <v>411</v>
      </c>
      <c r="E2171" s="8" t="s">
        <v>412</v>
      </c>
      <c r="F2171" s="12" t="s">
        <v>8955</v>
      </c>
      <c r="G2171" s="8"/>
      <c r="H2171" s="8" t="s">
        <v>8956</v>
      </c>
      <c r="I2171" s="8" t="s">
        <v>5347</v>
      </c>
    </row>
    <row r="2172" spans="1:9" ht="14.25" customHeight="1" x14ac:dyDescent="0.25">
      <c r="A2172" s="7" t="s">
        <v>8957</v>
      </c>
      <c r="B2172" s="8" t="s">
        <v>8958</v>
      </c>
      <c r="C2172" s="8" t="s">
        <v>8959</v>
      </c>
      <c r="D2172" s="8" t="s">
        <v>3163</v>
      </c>
      <c r="E2172" s="8" t="s">
        <v>412</v>
      </c>
      <c r="F2172" s="12" t="s">
        <v>8960</v>
      </c>
      <c r="G2172" s="8" t="s">
        <v>8961</v>
      </c>
      <c r="H2172" s="8" t="s">
        <v>2212</v>
      </c>
      <c r="I2172" s="8" t="s">
        <v>4039</v>
      </c>
    </row>
    <row r="2173" spans="1:9" ht="14.25" customHeight="1" x14ac:dyDescent="0.25">
      <c r="A2173" s="7" t="s">
        <v>8962</v>
      </c>
      <c r="B2173" s="8" t="s">
        <v>7622</v>
      </c>
      <c r="C2173" s="8" t="s">
        <v>7623</v>
      </c>
      <c r="D2173" s="8" t="s">
        <v>3163</v>
      </c>
      <c r="E2173" s="8" t="s">
        <v>412</v>
      </c>
      <c r="F2173" s="11" t="s">
        <v>8963</v>
      </c>
      <c r="G2173" s="8" t="s">
        <v>8964</v>
      </c>
      <c r="H2173" s="8" t="s">
        <v>72</v>
      </c>
      <c r="I2173" s="8" t="s">
        <v>3756</v>
      </c>
    </row>
    <row r="2174" spans="1:9" ht="14.25" customHeight="1" x14ac:dyDescent="0.25">
      <c r="A2174" s="7" t="s">
        <v>8965</v>
      </c>
      <c r="B2174" s="8" t="s">
        <v>8966</v>
      </c>
      <c r="C2174" s="8" t="s">
        <v>8967</v>
      </c>
      <c r="D2174" s="8" t="s">
        <v>3163</v>
      </c>
      <c r="E2174" s="8" t="s">
        <v>412</v>
      </c>
      <c r="F2174" s="11" t="s">
        <v>8968</v>
      </c>
      <c r="G2174" s="8"/>
      <c r="H2174" s="8"/>
      <c r="I2174" s="8" t="s">
        <v>4039</v>
      </c>
    </row>
    <row r="2175" spans="1:9" ht="14.25" customHeight="1" x14ac:dyDescent="0.25">
      <c r="A2175" s="7" t="s">
        <v>8969</v>
      </c>
      <c r="B2175" s="8" t="s">
        <v>8970</v>
      </c>
      <c r="C2175" s="8" t="s">
        <v>8971</v>
      </c>
      <c r="D2175" s="8" t="s">
        <v>411</v>
      </c>
      <c r="E2175" s="8" t="s">
        <v>3890</v>
      </c>
      <c r="F2175" s="11" t="s">
        <v>8972</v>
      </c>
      <c r="G2175" s="8" t="s">
        <v>8973</v>
      </c>
      <c r="H2175" s="8" t="s">
        <v>2212</v>
      </c>
      <c r="I2175" s="8" t="s">
        <v>4039</v>
      </c>
    </row>
    <row r="2176" spans="1:9" ht="14.25" customHeight="1" x14ac:dyDescent="0.25">
      <c r="A2176" s="7" t="s">
        <v>8974</v>
      </c>
      <c r="B2176" s="8" t="s">
        <v>8975</v>
      </c>
      <c r="C2176" s="8" t="s">
        <v>8976</v>
      </c>
      <c r="D2176" s="8" t="s">
        <v>3163</v>
      </c>
      <c r="E2176" s="8" t="s">
        <v>3890</v>
      </c>
      <c r="F2176" s="11"/>
      <c r="G2176" s="8" t="s">
        <v>8973</v>
      </c>
      <c r="H2176" s="8" t="s">
        <v>2212</v>
      </c>
      <c r="I2176" s="8" t="s">
        <v>4039</v>
      </c>
    </row>
    <row r="2177" spans="1:9" ht="14.25" customHeight="1" x14ac:dyDescent="0.25">
      <c r="A2177" s="7" t="s">
        <v>8977</v>
      </c>
      <c r="B2177" s="8" t="s">
        <v>4064</v>
      </c>
      <c r="C2177" s="8" t="s">
        <v>8978</v>
      </c>
      <c r="D2177" s="8" t="s">
        <v>3163</v>
      </c>
      <c r="E2177" s="8" t="s">
        <v>412</v>
      </c>
      <c r="F2177" s="11"/>
      <c r="G2177" s="8"/>
      <c r="H2177" s="8"/>
      <c r="I2177" s="8"/>
    </row>
    <row r="2178" spans="1:9" ht="14.25" customHeight="1" x14ac:dyDescent="0.25">
      <c r="A2178" s="7" t="s">
        <v>8979</v>
      </c>
      <c r="B2178" s="8" t="s">
        <v>5002</v>
      </c>
      <c r="C2178" s="8" t="s">
        <v>5041</v>
      </c>
      <c r="D2178" s="8" t="s">
        <v>411</v>
      </c>
      <c r="E2178" s="8" t="s">
        <v>412</v>
      </c>
      <c r="F2178" s="11" t="s">
        <v>8980</v>
      </c>
      <c r="G2178" s="8" t="s">
        <v>8981</v>
      </c>
      <c r="H2178" s="8" t="s">
        <v>4199</v>
      </c>
      <c r="I2178" s="8" t="s">
        <v>4039</v>
      </c>
    </row>
    <row r="2179" spans="1:9" ht="14.25" customHeight="1" x14ac:dyDescent="0.25">
      <c r="A2179" s="7" t="s">
        <v>8982</v>
      </c>
      <c r="B2179" s="8" t="s">
        <v>276</v>
      </c>
      <c r="C2179" s="8" t="s">
        <v>3648</v>
      </c>
      <c r="D2179" s="8" t="s">
        <v>3163</v>
      </c>
      <c r="E2179" s="8" t="s">
        <v>412</v>
      </c>
      <c r="F2179" s="11" t="s">
        <v>8983</v>
      </c>
      <c r="G2179" s="8" t="s">
        <v>8984</v>
      </c>
      <c r="H2179" s="8" t="s">
        <v>8985</v>
      </c>
      <c r="I2179" s="8" t="s">
        <v>3756</v>
      </c>
    </row>
    <row r="2180" spans="1:9" ht="14.25" customHeight="1" x14ac:dyDescent="0.25">
      <c r="A2180" s="7" t="s">
        <v>8986</v>
      </c>
      <c r="B2180" s="8" t="s">
        <v>8987</v>
      </c>
      <c r="C2180" s="8" t="s">
        <v>8988</v>
      </c>
      <c r="D2180" s="8" t="s">
        <v>411</v>
      </c>
      <c r="E2180" s="8" t="s">
        <v>3890</v>
      </c>
      <c r="F2180" s="11" t="s">
        <v>8989</v>
      </c>
      <c r="G2180" s="8" t="s">
        <v>8990</v>
      </c>
      <c r="H2180" s="8" t="s">
        <v>4199</v>
      </c>
      <c r="I2180" s="8" t="s">
        <v>4039</v>
      </c>
    </row>
    <row r="2181" spans="1:9" ht="14.25" customHeight="1" x14ac:dyDescent="0.25">
      <c r="A2181" s="7" t="s">
        <v>8991</v>
      </c>
      <c r="B2181" s="8" t="s">
        <v>8992</v>
      </c>
      <c r="C2181" s="8" t="s">
        <v>8993</v>
      </c>
      <c r="D2181" s="8" t="s">
        <v>3163</v>
      </c>
      <c r="E2181" s="8" t="s">
        <v>3890</v>
      </c>
      <c r="F2181" s="11"/>
      <c r="G2181" s="8" t="s">
        <v>8990</v>
      </c>
      <c r="H2181" s="8" t="s">
        <v>4199</v>
      </c>
      <c r="I2181" s="8" t="s">
        <v>4039</v>
      </c>
    </row>
    <row r="2182" spans="1:9" ht="14.25" customHeight="1" x14ac:dyDescent="0.25">
      <c r="A2182" s="7" t="s">
        <v>8994</v>
      </c>
      <c r="B2182" s="8" t="s">
        <v>8995</v>
      </c>
      <c r="C2182" s="8" t="s">
        <v>8996</v>
      </c>
      <c r="D2182" s="8" t="s">
        <v>3163</v>
      </c>
      <c r="E2182" s="8" t="s">
        <v>3890</v>
      </c>
      <c r="F2182" s="11" t="s">
        <v>8997</v>
      </c>
      <c r="G2182" s="8" t="s">
        <v>8998</v>
      </c>
      <c r="H2182" s="8" t="s">
        <v>4951</v>
      </c>
      <c r="I2182" s="8" t="s">
        <v>3756</v>
      </c>
    </row>
    <row r="2183" spans="1:9" ht="14.25" customHeight="1" x14ac:dyDescent="0.25">
      <c r="A2183" s="7" t="s">
        <v>8999</v>
      </c>
      <c r="B2183" s="8" t="s">
        <v>2847</v>
      </c>
      <c r="C2183" s="8" t="s">
        <v>9000</v>
      </c>
      <c r="D2183" s="8" t="s">
        <v>411</v>
      </c>
      <c r="E2183" s="8" t="s">
        <v>3890</v>
      </c>
      <c r="F2183" s="11" t="s">
        <v>9001</v>
      </c>
      <c r="G2183" s="8" t="s">
        <v>9002</v>
      </c>
      <c r="H2183" s="8" t="s">
        <v>9003</v>
      </c>
      <c r="I2183" s="8" t="s">
        <v>4039</v>
      </c>
    </row>
    <row r="2184" spans="1:9" ht="14.25" customHeight="1" x14ac:dyDescent="0.25">
      <c r="A2184" s="7" t="s">
        <v>9004</v>
      </c>
      <c r="B2184" s="8" t="s">
        <v>7308</v>
      </c>
      <c r="C2184" s="8" t="s">
        <v>9005</v>
      </c>
      <c r="D2184" s="8" t="s">
        <v>3163</v>
      </c>
      <c r="E2184" s="8" t="s">
        <v>3890</v>
      </c>
      <c r="F2184" s="11" t="s">
        <v>9006</v>
      </c>
      <c r="G2184" s="8" t="s">
        <v>9002</v>
      </c>
      <c r="H2184" s="8" t="s">
        <v>9003</v>
      </c>
      <c r="I2184" s="8" t="s">
        <v>4039</v>
      </c>
    </row>
    <row r="2185" spans="1:9" ht="14.25" customHeight="1" x14ac:dyDescent="0.25">
      <c r="A2185" s="7" t="s">
        <v>9007</v>
      </c>
      <c r="B2185" s="8" t="s">
        <v>4201</v>
      </c>
      <c r="C2185" s="8" t="s">
        <v>5314</v>
      </c>
      <c r="D2185" s="8" t="s">
        <v>411</v>
      </c>
      <c r="E2185" s="8" t="s">
        <v>412</v>
      </c>
      <c r="F2185" s="12" t="s">
        <v>9008</v>
      </c>
      <c r="G2185" s="8" t="s">
        <v>9009</v>
      </c>
      <c r="H2185" s="8" t="s">
        <v>5213</v>
      </c>
      <c r="I2185" s="8" t="s">
        <v>4039</v>
      </c>
    </row>
    <row r="2186" spans="1:9" ht="14.25" customHeight="1" x14ac:dyDescent="0.25">
      <c r="A2186" s="7" t="s">
        <v>9010</v>
      </c>
      <c r="B2186" s="8" t="s">
        <v>9011</v>
      </c>
      <c r="C2186" s="8" t="s">
        <v>9012</v>
      </c>
      <c r="D2186" s="8" t="s">
        <v>411</v>
      </c>
      <c r="E2186" s="8" t="s">
        <v>3890</v>
      </c>
      <c r="F2186" s="12" t="s">
        <v>9013</v>
      </c>
      <c r="G2186" s="8" t="s">
        <v>9014</v>
      </c>
      <c r="H2186" s="8" t="s">
        <v>3618</v>
      </c>
      <c r="I2186" s="8" t="s">
        <v>4039</v>
      </c>
    </row>
    <row r="2187" spans="1:9" ht="14.25" customHeight="1" x14ac:dyDescent="0.25">
      <c r="A2187" s="19" t="s">
        <v>9015</v>
      </c>
      <c r="B2187" s="8" t="s">
        <v>9016</v>
      </c>
      <c r="C2187" s="8" t="s">
        <v>9017</v>
      </c>
      <c r="D2187" s="8" t="s">
        <v>3163</v>
      </c>
      <c r="E2187" s="8" t="s">
        <v>3890</v>
      </c>
      <c r="F2187" s="12" t="s">
        <v>9018</v>
      </c>
      <c r="G2187" s="8" t="s">
        <v>9014</v>
      </c>
      <c r="H2187" s="8" t="s">
        <v>3618</v>
      </c>
      <c r="I2187" s="8" t="s">
        <v>4039</v>
      </c>
    </row>
    <row r="2188" spans="1:9" ht="14.25" customHeight="1" x14ac:dyDescent="0.25">
      <c r="A2188" s="7" t="s">
        <v>9019</v>
      </c>
      <c r="B2188" s="8" t="s">
        <v>9020</v>
      </c>
      <c r="C2188" s="8" t="s">
        <v>9021</v>
      </c>
      <c r="D2188" s="8" t="s">
        <v>411</v>
      </c>
      <c r="E2188" s="8" t="s">
        <v>412</v>
      </c>
      <c r="F2188" s="12" t="s">
        <v>9022</v>
      </c>
      <c r="G2188" s="8" t="s">
        <v>9023</v>
      </c>
      <c r="H2188" s="8" t="s">
        <v>72</v>
      </c>
      <c r="I2188" s="8" t="s">
        <v>4039</v>
      </c>
    </row>
    <row r="2189" spans="1:9" ht="14.25" customHeight="1" x14ac:dyDescent="0.25">
      <c r="A2189" s="7" t="s">
        <v>9024</v>
      </c>
      <c r="B2189" s="8" t="s">
        <v>9025</v>
      </c>
      <c r="C2189" s="8" t="s">
        <v>9026</v>
      </c>
      <c r="D2189" s="8" t="s">
        <v>411</v>
      </c>
      <c r="E2189" s="8" t="s">
        <v>412</v>
      </c>
      <c r="F2189" s="11"/>
      <c r="G2189" s="8"/>
      <c r="H2189" s="8"/>
      <c r="I2189" s="8" t="s">
        <v>3756</v>
      </c>
    </row>
    <row r="2190" spans="1:9" ht="14.25" customHeight="1" x14ac:dyDescent="0.25">
      <c r="A2190" s="7" t="s">
        <v>9027</v>
      </c>
      <c r="B2190" s="8" t="s">
        <v>9028</v>
      </c>
      <c r="C2190" s="8" t="s">
        <v>9029</v>
      </c>
      <c r="D2190" s="8" t="s">
        <v>411</v>
      </c>
      <c r="E2190" s="8" t="s">
        <v>412</v>
      </c>
      <c r="F2190" s="12" t="s">
        <v>9030</v>
      </c>
      <c r="G2190" s="8" t="s">
        <v>9031</v>
      </c>
      <c r="H2190" s="8" t="s">
        <v>4495</v>
      </c>
      <c r="I2190" s="8" t="s">
        <v>3756</v>
      </c>
    </row>
    <row r="2191" spans="1:9" ht="14.25" customHeight="1" x14ac:dyDescent="0.25">
      <c r="A2191" s="7" t="s">
        <v>9032</v>
      </c>
      <c r="B2191" s="8" t="s">
        <v>9033</v>
      </c>
      <c r="C2191" s="8" t="s">
        <v>9034</v>
      </c>
      <c r="D2191" s="8" t="s">
        <v>3163</v>
      </c>
      <c r="E2191" s="8" t="s">
        <v>412</v>
      </c>
      <c r="F2191" s="12" t="s">
        <v>9035</v>
      </c>
      <c r="G2191" s="8" t="s">
        <v>9036</v>
      </c>
      <c r="H2191" s="8" t="s">
        <v>9037</v>
      </c>
      <c r="I2191" s="8" t="s">
        <v>4039</v>
      </c>
    </row>
    <row r="2192" spans="1:9" ht="14.25" customHeight="1" x14ac:dyDescent="0.25">
      <c r="A2192" s="7" t="s">
        <v>9038</v>
      </c>
      <c r="B2192" s="8" t="s">
        <v>9039</v>
      </c>
      <c r="C2192" s="8" t="s">
        <v>3640</v>
      </c>
      <c r="D2192" s="8" t="s">
        <v>411</v>
      </c>
      <c r="E2192" s="8" t="s">
        <v>8382</v>
      </c>
      <c r="F2192" s="11" t="s">
        <v>9040</v>
      </c>
      <c r="G2192" s="8" t="s">
        <v>9041</v>
      </c>
      <c r="H2192" s="8" t="s">
        <v>6143</v>
      </c>
      <c r="I2192" s="8" t="s">
        <v>3756</v>
      </c>
    </row>
    <row r="2193" spans="1:9" ht="14.25" customHeight="1" x14ac:dyDescent="0.25">
      <c r="A2193" s="7" t="s">
        <v>9042</v>
      </c>
      <c r="B2193" s="8" t="s">
        <v>2988</v>
      </c>
      <c r="C2193" s="8" t="s">
        <v>9043</v>
      </c>
      <c r="D2193" s="8" t="s">
        <v>411</v>
      </c>
      <c r="E2193" s="8" t="s">
        <v>412</v>
      </c>
      <c r="F2193" s="12" t="s">
        <v>9044</v>
      </c>
      <c r="G2193" s="8" t="s">
        <v>9045</v>
      </c>
      <c r="H2193" s="8" t="s">
        <v>9046</v>
      </c>
      <c r="I2193" s="8" t="s">
        <v>4039</v>
      </c>
    </row>
    <row r="2194" spans="1:9" ht="14.25" customHeight="1" x14ac:dyDescent="0.25">
      <c r="A2194" s="7" t="s">
        <v>9047</v>
      </c>
      <c r="B2194" s="8" t="s">
        <v>9048</v>
      </c>
      <c r="C2194" s="8" t="s">
        <v>9049</v>
      </c>
      <c r="D2194" s="8" t="s">
        <v>411</v>
      </c>
      <c r="E2194" s="8" t="s">
        <v>412</v>
      </c>
      <c r="F2194" s="11" t="s">
        <v>9050</v>
      </c>
      <c r="G2194" s="8" t="s">
        <v>9051</v>
      </c>
      <c r="H2194" s="8" t="s">
        <v>8864</v>
      </c>
      <c r="I2194" s="8" t="s">
        <v>3756</v>
      </c>
    </row>
    <row r="2195" spans="1:9" ht="14.25" customHeight="1" x14ac:dyDescent="0.25">
      <c r="A2195" s="7" t="s">
        <v>9052</v>
      </c>
      <c r="B2195" s="8" t="s">
        <v>9053</v>
      </c>
      <c r="C2195" s="8" t="s">
        <v>9054</v>
      </c>
      <c r="D2195" s="8" t="s">
        <v>411</v>
      </c>
      <c r="E2195" s="8" t="s">
        <v>412</v>
      </c>
      <c r="F2195" s="11" t="s">
        <v>9055</v>
      </c>
      <c r="G2195" s="8" t="s">
        <v>9056</v>
      </c>
      <c r="H2195" s="8" t="s">
        <v>6480</v>
      </c>
      <c r="I2195" s="8" t="s">
        <v>4039</v>
      </c>
    </row>
    <row r="2196" spans="1:9" ht="14.25" customHeight="1" x14ac:dyDescent="0.25">
      <c r="A2196" s="7" t="s">
        <v>9057</v>
      </c>
      <c r="B2196" s="8" t="s">
        <v>1042</v>
      </c>
      <c r="C2196" s="8" t="s">
        <v>9058</v>
      </c>
      <c r="D2196" s="8" t="s">
        <v>411</v>
      </c>
      <c r="E2196" s="8" t="s">
        <v>3890</v>
      </c>
      <c r="F2196" s="11" t="s">
        <v>9059</v>
      </c>
      <c r="G2196" s="8" t="s">
        <v>9060</v>
      </c>
      <c r="H2196" s="8" t="s">
        <v>8084</v>
      </c>
      <c r="I2196" s="8" t="s">
        <v>4039</v>
      </c>
    </row>
    <row r="2197" spans="1:9" ht="14.25" customHeight="1" x14ac:dyDescent="0.25">
      <c r="A2197" s="7" t="s">
        <v>9061</v>
      </c>
      <c r="B2197" s="8" t="s">
        <v>1015</v>
      </c>
      <c r="C2197" s="8" t="s">
        <v>9062</v>
      </c>
      <c r="D2197" s="8" t="s">
        <v>3163</v>
      </c>
      <c r="E2197" s="8" t="s">
        <v>3890</v>
      </c>
      <c r="F2197" s="11" t="s">
        <v>9063</v>
      </c>
      <c r="G2197" s="8" t="s">
        <v>9060</v>
      </c>
      <c r="H2197" s="8" t="s">
        <v>8084</v>
      </c>
      <c r="I2197" s="8" t="s">
        <v>4039</v>
      </c>
    </row>
    <row r="2198" spans="1:9" ht="14.25" customHeight="1" x14ac:dyDescent="0.25">
      <c r="A2198" s="7" t="s">
        <v>9064</v>
      </c>
      <c r="B2198" s="8" t="s">
        <v>9065</v>
      </c>
      <c r="C2198" s="8" t="s">
        <v>9066</v>
      </c>
      <c r="D2198" s="8" t="s">
        <v>3163</v>
      </c>
      <c r="E2198" s="8" t="s">
        <v>412</v>
      </c>
      <c r="F2198" s="12" t="s">
        <v>9067</v>
      </c>
      <c r="G2198" s="8" t="s">
        <v>9068</v>
      </c>
      <c r="H2198" s="8" t="s">
        <v>20</v>
      </c>
      <c r="I2198" s="8" t="s">
        <v>4039</v>
      </c>
    </row>
    <row r="2199" spans="1:9" ht="14.25" customHeight="1" x14ac:dyDescent="0.25">
      <c r="A2199" s="7" t="s">
        <v>9069</v>
      </c>
      <c r="B2199" s="8" t="s">
        <v>9070</v>
      </c>
      <c r="C2199" s="8" t="s">
        <v>9071</v>
      </c>
      <c r="D2199" s="8" t="s">
        <v>411</v>
      </c>
      <c r="E2199" s="8" t="s">
        <v>412</v>
      </c>
      <c r="F2199" s="12" t="s">
        <v>9072</v>
      </c>
      <c r="G2199" s="8" t="s">
        <v>9073</v>
      </c>
      <c r="H2199" s="8" t="s">
        <v>61</v>
      </c>
      <c r="I2199" s="8" t="s">
        <v>3756</v>
      </c>
    </row>
    <row r="2200" spans="1:9" ht="14.25" customHeight="1" x14ac:dyDescent="0.25">
      <c r="A2200" s="7" t="s">
        <v>9074</v>
      </c>
      <c r="B2200" s="8" t="s">
        <v>9075</v>
      </c>
      <c r="C2200" s="8" t="s">
        <v>9076</v>
      </c>
      <c r="D2200" s="8" t="s">
        <v>411</v>
      </c>
      <c r="E2200" s="8" t="s">
        <v>412</v>
      </c>
      <c r="F2200" s="12" t="s">
        <v>9077</v>
      </c>
      <c r="G2200" s="8" t="s">
        <v>6047</v>
      </c>
      <c r="H2200" s="8" t="s">
        <v>37</v>
      </c>
      <c r="I2200" s="8" t="s">
        <v>3756</v>
      </c>
    </row>
    <row r="2201" spans="1:9" ht="14.25" customHeight="1" x14ac:dyDescent="0.25">
      <c r="A2201" s="7" t="s">
        <v>9078</v>
      </c>
      <c r="B2201" s="8" t="s">
        <v>5634</v>
      </c>
      <c r="C2201" s="8" t="s">
        <v>9079</v>
      </c>
      <c r="D2201" s="8" t="s">
        <v>411</v>
      </c>
      <c r="E2201" s="8" t="s">
        <v>412</v>
      </c>
      <c r="F2201" s="12" t="s">
        <v>9080</v>
      </c>
      <c r="G2201" s="8" t="s">
        <v>9081</v>
      </c>
      <c r="H2201" s="8" t="s">
        <v>4026</v>
      </c>
      <c r="I2201" s="8" t="s">
        <v>4039</v>
      </c>
    </row>
    <row r="2202" spans="1:9" ht="14.25" customHeight="1" x14ac:dyDescent="0.25">
      <c r="A2202" s="7" t="s">
        <v>9082</v>
      </c>
      <c r="B2202" s="8" t="s">
        <v>7584</v>
      </c>
      <c r="C2202" s="8" t="s">
        <v>9083</v>
      </c>
      <c r="D2202" s="8" t="s">
        <v>411</v>
      </c>
      <c r="E2202" s="8" t="s">
        <v>412</v>
      </c>
      <c r="F2202" s="12" t="s">
        <v>9084</v>
      </c>
      <c r="G2202" s="8" t="s">
        <v>9051</v>
      </c>
      <c r="H2202" s="8" t="s">
        <v>8864</v>
      </c>
      <c r="I2202" s="8" t="s">
        <v>3756</v>
      </c>
    </row>
    <row r="2203" spans="1:9" ht="14.25" customHeight="1" x14ac:dyDescent="0.25">
      <c r="A2203" s="7" t="s">
        <v>9085</v>
      </c>
      <c r="B2203" s="8" t="s">
        <v>3914</v>
      </c>
      <c r="C2203" s="8" t="s">
        <v>9086</v>
      </c>
      <c r="D2203" s="8" t="s">
        <v>411</v>
      </c>
      <c r="E2203" s="8" t="s">
        <v>412</v>
      </c>
      <c r="F2203" s="11" t="s">
        <v>9087</v>
      </c>
      <c r="G2203" s="8" t="s">
        <v>9088</v>
      </c>
      <c r="H2203" s="8" t="s">
        <v>4199</v>
      </c>
      <c r="I2203" s="8" t="s">
        <v>4371</v>
      </c>
    </row>
    <row r="2204" spans="1:9" ht="14.25" customHeight="1" x14ac:dyDescent="0.25">
      <c r="A2204" s="7" t="s">
        <v>9089</v>
      </c>
      <c r="B2204" s="8" t="s">
        <v>3089</v>
      </c>
      <c r="C2204" s="8" t="s">
        <v>9090</v>
      </c>
      <c r="D2204" s="8" t="s">
        <v>3163</v>
      </c>
      <c r="E2204" s="8" t="s">
        <v>3890</v>
      </c>
      <c r="F2204" s="11"/>
      <c r="G2204" s="8" t="s">
        <v>9091</v>
      </c>
      <c r="H2204" s="8" t="s">
        <v>61</v>
      </c>
      <c r="I2204" s="8" t="s">
        <v>3756</v>
      </c>
    </row>
    <row r="2205" spans="1:9" ht="14.25" customHeight="1" x14ac:dyDescent="0.25">
      <c r="A2205" s="7" t="s">
        <v>9092</v>
      </c>
      <c r="B2205" s="8" t="s">
        <v>4201</v>
      </c>
      <c r="C2205" s="8" t="s">
        <v>9093</v>
      </c>
      <c r="D2205" s="8" t="s">
        <v>411</v>
      </c>
      <c r="E2205" s="8" t="s">
        <v>412</v>
      </c>
      <c r="F2205" s="11" t="s">
        <v>9094</v>
      </c>
      <c r="G2205" s="8"/>
      <c r="H2205" s="8" t="s">
        <v>9095</v>
      </c>
      <c r="I2205" s="8" t="s">
        <v>4039</v>
      </c>
    </row>
    <row r="2206" spans="1:9" ht="14.25" customHeight="1" x14ac:dyDescent="0.25">
      <c r="A2206" s="7" t="s">
        <v>9096</v>
      </c>
      <c r="B2206" s="8" t="s">
        <v>1808</v>
      </c>
      <c r="C2206" s="8" t="s">
        <v>9097</v>
      </c>
      <c r="D2206" s="8" t="s">
        <v>3163</v>
      </c>
      <c r="E2206" s="8" t="s">
        <v>412</v>
      </c>
      <c r="F2206" s="12" t="s">
        <v>9098</v>
      </c>
      <c r="G2206" s="8"/>
      <c r="H2206" s="8" t="s">
        <v>9099</v>
      </c>
      <c r="I2206" s="8" t="s">
        <v>3756</v>
      </c>
    </row>
    <row r="2207" spans="1:9" ht="14.25" customHeight="1" x14ac:dyDescent="0.25">
      <c r="A2207" s="7" t="s">
        <v>9100</v>
      </c>
      <c r="B2207" s="8" t="s">
        <v>9101</v>
      </c>
      <c r="C2207" s="8" t="s">
        <v>9102</v>
      </c>
      <c r="D2207" s="8" t="s">
        <v>411</v>
      </c>
      <c r="E2207" s="8" t="s">
        <v>412</v>
      </c>
      <c r="F2207" s="12" t="s">
        <v>9103</v>
      </c>
      <c r="G2207" s="8" t="s">
        <v>9091</v>
      </c>
      <c r="H2207" s="8" t="s">
        <v>61</v>
      </c>
      <c r="I2207" s="8" t="s">
        <v>3756</v>
      </c>
    </row>
    <row r="2208" spans="1:9" ht="14.25" customHeight="1" x14ac:dyDescent="0.25">
      <c r="A2208" s="7" t="s">
        <v>9104</v>
      </c>
      <c r="B2208" s="8" t="s">
        <v>4305</v>
      </c>
      <c r="C2208" s="8" t="s">
        <v>9105</v>
      </c>
      <c r="D2208" s="8" t="s">
        <v>411</v>
      </c>
      <c r="E2208" s="8" t="s">
        <v>3890</v>
      </c>
      <c r="F2208" s="12" t="s">
        <v>9106</v>
      </c>
      <c r="G2208" s="8" t="s">
        <v>9107</v>
      </c>
      <c r="H2208" s="8" t="s">
        <v>4879</v>
      </c>
      <c r="I2208" s="8" t="s">
        <v>3756</v>
      </c>
    </row>
    <row r="2209" spans="1:9" ht="14.25" customHeight="1" x14ac:dyDescent="0.25">
      <c r="A2209" s="7" t="s">
        <v>9108</v>
      </c>
      <c r="B2209" s="8" t="s">
        <v>5375</v>
      </c>
      <c r="C2209" s="8" t="s">
        <v>9109</v>
      </c>
      <c r="D2209" s="8" t="s">
        <v>3163</v>
      </c>
      <c r="E2209" s="8" t="s">
        <v>3890</v>
      </c>
      <c r="F2209" s="11"/>
      <c r="G2209" s="8" t="s">
        <v>9107</v>
      </c>
      <c r="H2209" s="8" t="s">
        <v>4879</v>
      </c>
      <c r="I2209" s="8" t="s">
        <v>3756</v>
      </c>
    </row>
    <row r="2210" spans="1:9" ht="14.25" customHeight="1" x14ac:dyDescent="0.25">
      <c r="A2210" s="7" t="s">
        <v>9110</v>
      </c>
      <c r="B2210" s="8" t="s">
        <v>9111</v>
      </c>
      <c r="C2210" s="8" t="s">
        <v>462</v>
      </c>
      <c r="D2210" s="8" t="s">
        <v>411</v>
      </c>
      <c r="E2210" s="8" t="s">
        <v>412</v>
      </c>
      <c r="F2210" s="27" t="s">
        <v>9112</v>
      </c>
      <c r="G2210" s="8" t="s">
        <v>9113</v>
      </c>
      <c r="H2210" s="8" t="s">
        <v>25</v>
      </c>
      <c r="I2210" s="8" t="s">
        <v>4039</v>
      </c>
    </row>
    <row r="2211" spans="1:9" ht="14.25" customHeight="1" x14ac:dyDescent="0.25">
      <c r="A2211" s="7" t="s">
        <v>9114</v>
      </c>
      <c r="B2211" s="8" t="s">
        <v>9115</v>
      </c>
      <c r="C2211" s="8" t="s">
        <v>9116</v>
      </c>
      <c r="D2211" s="8" t="s">
        <v>3163</v>
      </c>
      <c r="E2211" s="8" t="s">
        <v>412</v>
      </c>
      <c r="F2211" s="12" t="s">
        <v>9117</v>
      </c>
      <c r="G2211" s="8" t="s">
        <v>9118</v>
      </c>
      <c r="H2211" s="8" t="s">
        <v>92</v>
      </c>
      <c r="I2211" s="8" t="s">
        <v>4039</v>
      </c>
    </row>
    <row r="2212" spans="1:9" ht="14.25" customHeight="1" x14ac:dyDescent="0.25">
      <c r="A2212" s="7" t="s">
        <v>9119</v>
      </c>
      <c r="B2212" s="8" t="s">
        <v>9120</v>
      </c>
      <c r="C2212" s="8" t="s">
        <v>9121</v>
      </c>
      <c r="D2212" s="8" t="s">
        <v>411</v>
      </c>
      <c r="E2212" s="8" t="s">
        <v>412</v>
      </c>
      <c r="F2212" s="12" t="s">
        <v>9122</v>
      </c>
      <c r="G2212" s="8" t="s">
        <v>9123</v>
      </c>
      <c r="H2212" s="8" t="s">
        <v>6809</v>
      </c>
      <c r="I2212" s="8" t="s">
        <v>4404</v>
      </c>
    </row>
    <row r="2213" spans="1:9" ht="14.25" customHeight="1" x14ac:dyDescent="0.25">
      <c r="A2213" s="7" t="s">
        <v>9124</v>
      </c>
      <c r="B2213" s="8" t="s">
        <v>518</v>
      </c>
      <c r="C2213" s="8" t="s">
        <v>9125</v>
      </c>
      <c r="D2213" s="8" t="s">
        <v>411</v>
      </c>
      <c r="E2213" s="8" t="s">
        <v>412</v>
      </c>
      <c r="F2213" s="12" t="s">
        <v>9126</v>
      </c>
      <c r="G2213" s="8" t="s">
        <v>9127</v>
      </c>
      <c r="H2213" s="8" t="s">
        <v>2212</v>
      </c>
      <c r="I2213" s="8" t="s">
        <v>4039</v>
      </c>
    </row>
    <row r="2214" spans="1:9" ht="14.25" customHeight="1" x14ac:dyDescent="0.25">
      <c r="A2214" s="7" t="s">
        <v>9128</v>
      </c>
      <c r="B2214" s="8" t="s">
        <v>6299</v>
      </c>
      <c r="C2214" s="8" t="s">
        <v>9129</v>
      </c>
      <c r="D2214" s="8" t="s">
        <v>411</v>
      </c>
      <c r="E2214" s="8" t="s">
        <v>412</v>
      </c>
      <c r="F2214" s="12" t="s">
        <v>9130</v>
      </c>
      <c r="G2214" s="8" t="s">
        <v>9131</v>
      </c>
      <c r="H2214" s="8" t="s">
        <v>25</v>
      </c>
      <c r="I2214" s="8" t="s">
        <v>3756</v>
      </c>
    </row>
    <row r="2215" spans="1:9" ht="14.25" customHeight="1" x14ac:dyDescent="0.25">
      <c r="A2215" s="7" t="s">
        <v>9132</v>
      </c>
      <c r="B2215" s="8" t="s">
        <v>3653</v>
      </c>
      <c r="C2215" s="8" t="s">
        <v>1043</v>
      </c>
      <c r="D2215" s="8" t="s">
        <v>411</v>
      </c>
      <c r="E2215" s="8" t="s">
        <v>412</v>
      </c>
      <c r="F2215" s="12" t="s">
        <v>9133</v>
      </c>
      <c r="G2215" s="8" t="s">
        <v>9134</v>
      </c>
      <c r="H2215" s="8" t="s">
        <v>4059</v>
      </c>
      <c r="I2215" s="8" t="s">
        <v>3756</v>
      </c>
    </row>
    <row r="2216" spans="1:9" ht="14.25" customHeight="1" x14ac:dyDescent="0.25">
      <c r="A2216" s="7" t="s">
        <v>9135</v>
      </c>
      <c r="B2216" s="8" t="s">
        <v>9136</v>
      </c>
      <c r="C2216" s="8" t="s">
        <v>9137</v>
      </c>
      <c r="D2216" s="8" t="s">
        <v>411</v>
      </c>
      <c r="E2216" s="8" t="s">
        <v>412</v>
      </c>
      <c r="F2216" s="12" t="s">
        <v>9138</v>
      </c>
      <c r="G2216" s="8" t="s">
        <v>9139</v>
      </c>
      <c r="H2216" s="8" t="s">
        <v>49</v>
      </c>
      <c r="I2216" s="8" t="s">
        <v>3756</v>
      </c>
    </row>
    <row r="2217" spans="1:9" ht="14.25" customHeight="1" x14ac:dyDescent="0.25">
      <c r="A2217" s="7" t="s">
        <v>9140</v>
      </c>
      <c r="B2217" s="8" t="s">
        <v>9141</v>
      </c>
      <c r="C2217" s="8" t="s">
        <v>9142</v>
      </c>
      <c r="D2217" s="8" t="s">
        <v>3163</v>
      </c>
      <c r="E2217" s="8" t="s">
        <v>3890</v>
      </c>
      <c r="F2217" s="12" t="s">
        <v>9143</v>
      </c>
      <c r="G2217" s="8" t="s">
        <v>9144</v>
      </c>
      <c r="H2217" s="8" t="s">
        <v>49</v>
      </c>
      <c r="I2217" s="8" t="s">
        <v>4039</v>
      </c>
    </row>
    <row r="2218" spans="1:9" ht="14.25" customHeight="1" x14ac:dyDescent="0.25">
      <c r="A2218" s="7" t="s">
        <v>9145</v>
      </c>
      <c r="B2218" s="8" t="s">
        <v>9146</v>
      </c>
      <c r="C2218" s="8" t="s">
        <v>9147</v>
      </c>
      <c r="D2218" s="8" t="s">
        <v>411</v>
      </c>
      <c r="E2218" s="8" t="s">
        <v>3890</v>
      </c>
      <c r="F2218" s="12" t="s">
        <v>9148</v>
      </c>
      <c r="G2218" s="8" t="s">
        <v>9144</v>
      </c>
      <c r="H2218" s="8" t="s">
        <v>49</v>
      </c>
      <c r="I2218" s="8" t="s">
        <v>4039</v>
      </c>
    </row>
    <row r="2219" spans="1:9" ht="14.25" customHeight="1" x14ac:dyDescent="0.25">
      <c r="A2219" s="7" t="s">
        <v>9149</v>
      </c>
      <c r="B2219" s="8" t="s">
        <v>1015</v>
      </c>
      <c r="C2219" s="8" t="s">
        <v>6394</v>
      </c>
      <c r="D2219" s="8" t="s">
        <v>3163</v>
      </c>
      <c r="E2219" s="8" t="s">
        <v>412</v>
      </c>
      <c r="F2219" s="12" t="s">
        <v>9150</v>
      </c>
      <c r="G2219" s="8" t="s">
        <v>9151</v>
      </c>
      <c r="H2219" s="8" t="s">
        <v>61</v>
      </c>
      <c r="I2219" s="8" t="s">
        <v>4039</v>
      </c>
    </row>
    <row r="2220" spans="1:9" ht="14.25" customHeight="1" x14ac:dyDescent="0.25">
      <c r="A2220" s="7" t="s">
        <v>9152</v>
      </c>
      <c r="B2220" s="8" t="s">
        <v>9153</v>
      </c>
      <c r="C2220" s="8" t="s">
        <v>9154</v>
      </c>
      <c r="D2220" s="8" t="s">
        <v>3163</v>
      </c>
      <c r="E2220" s="8" t="s">
        <v>412</v>
      </c>
      <c r="F2220" s="12" t="s">
        <v>9155</v>
      </c>
      <c r="G2220" s="8" t="s">
        <v>9156</v>
      </c>
      <c r="H2220" s="8" t="s">
        <v>4330</v>
      </c>
      <c r="I2220" s="8" t="s">
        <v>4039</v>
      </c>
    </row>
    <row r="2221" spans="1:9" ht="14.25" customHeight="1" x14ac:dyDescent="0.25">
      <c r="A2221" s="7" t="s">
        <v>9157</v>
      </c>
      <c r="B2221" s="8" t="s">
        <v>853</v>
      </c>
      <c r="C2221" s="8" t="s">
        <v>9158</v>
      </c>
      <c r="D2221" s="8" t="s">
        <v>3163</v>
      </c>
      <c r="E2221" s="8" t="s">
        <v>412</v>
      </c>
      <c r="F2221" s="12" t="s">
        <v>9159</v>
      </c>
      <c r="G2221" s="8" t="s">
        <v>9160</v>
      </c>
      <c r="H2221" s="8" t="s">
        <v>82</v>
      </c>
      <c r="I2221" s="8" t="s">
        <v>4039</v>
      </c>
    </row>
    <row r="2222" spans="1:9" ht="14.25" customHeight="1" x14ac:dyDescent="0.25">
      <c r="A2222" s="7" t="s">
        <v>9161</v>
      </c>
      <c r="B2222" s="8" t="s">
        <v>9162</v>
      </c>
      <c r="C2222" s="8" t="s">
        <v>9163</v>
      </c>
      <c r="D2222" s="8" t="s">
        <v>3163</v>
      </c>
      <c r="E2222" s="8" t="s">
        <v>412</v>
      </c>
      <c r="F2222" s="12" t="s">
        <v>9164</v>
      </c>
      <c r="G2222" s="8" t="s">
        <v>9139</v>
      </c>
      <c r="H2222" s="8" t="s">
        <v>49</v>
      </c>
      <c r="I2222" s="8" t="s">
        <v>3756</v>
      </c>
    </row>
    <row r="2223" spans="1:9" ht="14.25" customHeight="1" x14ac:dyDescent="0.25">
      <c r="A2223" s="7" t="s">
        <v>9165</v>
      </c>
      <c r="B2223" s="8" t="s">
        <v>133</v>
      </c>
      <c r="C2223" s="8" t="s">
        <v>9166</v>
      </c>
      <c r="D2223" s="8" t="s">
        <v>411</v>
      </c>
      <c r="E2223" s="8" t="s">
        <v>412</v>
      </c>
      <c r="F2223" s="12" t="s">
        <v>9167</v>
      </c>
      <c r="G2223" s="8" t="s">
        <v>9168</v>
      </c>
      <c r="H2223" s="8" t="s">
        <v>15</v>
      </c>
      <c r="I2223" s="8" t="s">
        <v>4039</v>
      </c>
    </row>
    <row r="2224" spans="1:9" ht="14.25" customHeight="1" x14ac:dyDescent="0.25">
      <c r="A2224" s="7" t="s">
        <v>9169</v>
      </c>
      <c r="B2224" s="8" t="s">
        <v>9170</v>
      </c>
      <c r="C2224" s="8" t="s">
        <v>9171</v>
      </c>
      <c r="D2224" s="8" t="s">
        <v>3163</v>
      </c>
      <c r="E2224" s="8" t="s">
        <v>412</v>
      </c>
      <c r="F2224" s="11" t="s">
        <v>9172</v>
      </c>
      <c r="G2224" s="8" t="s">
        <v>9173</v>
      </c>
      <c r="H2224" s="8" t="s">
        <v>3820</v>
      </c>
      <c r="I2224" s="8" t="s">
        <v>4039</v>
      </c>
    </row>
    <row r="2225" spans="1:9" ht="14.25" customHeight="1" x14ac:dyDescent="0.25">
      <c r="A2225" s="7" t="s">
        <v>9174</v>
      </c>
      <c r="B2225" s="8" t="s">
        <v>9175</v>
      </c>
      <c r="C2225" s="8" t="s">
        <v>9176</v>
      </c>
      <c r="D2225" s="8" t="s">
        <v>411</v>
      </c>
      <c r="E2225" s="8" t="s">
        <v>412</v>
      </c>
      <c r="F2225" s="12" t="s">
        <v>9177</v>
      </c>
      <c r="G2225" s="8" t="s">
        <v>9178</v>
      </c>
      <c r="H2225" s="8" t="s">
        <v>92</v>
      </c>
      <c r="I2225" s="8" t="s">
        <v>4039</v>
      </c>
    </row>
    <row r="2226" spans="1:9" ht="14.25" customHeight="1" x14ac:dyDescent="0.25">
      <c r="A2226" s="7" t="s">
        <v>9179</v>
      </c>
      <c r="B2226" s="8" t="s">
        <v>9180</v>
      </c>
      <c r="C2226" s="8" t="s">
        <v>9181</v>
      </c>
      <c r="D2226" s="8" t="s">
        <v>411</v>
      </c>
      <c r="E2226" s="8" t="s">
        <v>412</v>
      </c>
      <c r="F2226" s="12" t="s">
        <v>9182</v>
      </c>
      <c r="G2226" s="8" t="s">
        <v>9183</v>
      </c>
      <c r="H2226" s="8" t="s">
        <v>25</v>
      </c>
      <c r="I2226" s="8" t="s">
        <v>4039</v>
      </c>
    </row>
    <row r="2227" spans="1:9" ht="14.25" customHeight="1" x14ac:dyDescent="0.25">
      <c r="A2227" s="7" t="s">
        <v>9184</v>
      </c>
      <c r="B2227" s="8" t="s">
        <v>9185</v>
      </c>
      <c r="C2227" s="8" t="s">
        <v>9186</v>
      </c>
      <c r="D2227" s="8" t="s">
        <v>411</v>
      </c>
      <c r="E2227" s="8" t="s">
        <v>412</v>
      </c>
      <c r="F2227" s="12" t="s">
        <v>9187</v>
      </c>
      <c r="G2227" s="8" t="s">
        <v>9188</v>
      </c>
      <c r="H2227" s="8" t="s">
        <v>49</v>
      </c>
      <c r="I2227" s="8" t="s">
        <v>4039</v>
      </c>
    </row>
    <row r="2228" spans="1:9" ht="14.25" customHeight="1" x14ac:dyDescent="0.25">
      <c r="A2228" s="7" t="s">
        <v>9189</v>
      </c>
      <c r="B2228" s="8" t="s">
        <v>3201</v>
      </c>
      <c r="C2228" s="8" t="s">
        <v>9190</v>
      </c>
      <c r="D2228" s="8" t="s">
        <v>411</v>
      </c>
      <c r="E2228" s="8" t="s">
        <v>412</v>
      </c>
      <c r="F2228" s="12" t="s">
        <v>9191</v>
      </c>
      <c r="G2228" s="8" t="s">
        <v>9192</v>
      </c>
      <c r="H2228" s="8" t="s">
        <v>2212</v>
      </c>
      <c r="I2228" s="8" t="s">
        <v>4039</v>
      </c>
    </row>
    <row r="2229" spans="1:9" ht="14.25" customHeight="1" x14ac:dyDescent="0.25">
      <c r="A2229" s="7" t="s">
        <v>9193</v>
      </c>
      <c r="B2229" s="8" t="s">
        <v>9194</v>
      </c>
      <c r="C2229" s="8" t="s">
        <v>9195</v>
      </c>
      <c r="D2229" s="8" t="s">
        <v>411</v>
      </c>
      <c r="E2229" s="8" t="s">
        <v>412</v>
      </c>
      <c r="F2229" s="12" t="s">
        <v>9196</v>
      </c>
      <c r="G2229" s="8" t="s">
        <v>9197</v>
      </c>
      <c r="H2229" s="8" t="s">
        <v>9198</v>
      </c>
      <c r="I2229" s="8" t="s">
        <v>5347</v>
      </c>
    </row>
    <row r="2230" spans="1:9" ht="14.25" customHeight="1" x14ac:dyDescent="0.25">
      <c r="A2230" s="19" t="s">
        <v>9199</v>
      </c>
      <c r="B2230" s="8" t="s">
        <v>9200</v>
      </c>
      <c r="C2230" s="8" t="s">
        <v>9195</v>
      </c>
      <c r="D2230" s="8" t="s">
        <v>411</v>
      </c>
      <c r="E2230" s="8" t="s">
        <v>412</v>
      </c>
      <c r="F2230" s="12" t="s">
        <v>9201</v>
      </c>
      <c r="G2230" s="8" t="s">
        <v>9202</v>
      </c>
      <c r="H2230" s="8" t="s">
        <v>5772</v>
      </c>
      <c r="I2230" s="8" t="s">
        <v>5347</v>
      </c>
    </row>
    <row r="2231" spans="1:9" ht="14.25" customHeight="1" x14ac:dyDescent="0.25">
      <c r="A2231" s="7" t="s">
        <v>9203</v>
      </c>
      <c r="B2231" s="8" t="s">
        <v>9204</v>
      </c>
      <c r="C2231" s="8" t="s">
        <v>9205</v>
      </c>
      <c r="D2231" s="8" t="s">
        <v>411</v>
      </c>
      <c r="E2231" s="8" t="s">
        <v>3890</v>
      </c>
      <c r="F2231" s="12" t="s">
        <v>9206</v>
      </c>
      <c r="G2231" s="8" t="s">
        <v>9207</v>
      </c>
      <c r="H2231" s="8" t="s">
        <v>92</v>
      </c>
      <c r="I2231" s="8" t="s">
        <v>4039</v>
      </c>
    </row>
    <row r="2232" spans="1:9" ht="14.25" customHeight="1" x14ac:dyDescent="0.25">
      <c r="A2232" s="7" t="s">
        <v>9208</v>
      </c>
      <c r="B2232" s="8" t="s">
        <v>9209</v>
      </c>
      <c r="C2232" s="8" t="s">
        <v>9210</v>
      </c>
      <c r="D2232" s="8" t="s">
        <v>3163</v>
      </c>
      <c r="E2232" s="8" t="s">
        <v>3890</v>
      </c>
      <c r="F2232" s="12" t="s">
        <v>9211</v>
      </c>
      <c r="G2232" s="8" t="s">
        <v>9207</v>
      </c>
      <c r="H2232" s="8" t="s">
        <v>92</v>
      </c>
      <c r="I2232" s="8" t="s">
        <v>4039</v>
      </c>
    </row>
    <row r="2233" spans="1:9" ht="14.25" customHeight="1" x14ac:dyDescent="0.25">
      <c r="A2233" s="7" t="s">
        <v>9212</v>
      </c>
      <c r="B2233" s="8" t="s">
        <v>9213</v>
      </c>
      <c r="C2233" s="8" t="s">
        <v>5041</v>
      </c>
      <c r="D2233" s="8" t="s">
        <v>3163</v>
      </c>
      <c r="E2233" s="8" t="s">
        <v>3890</v>
      </c>
      <c r="F2233" s="11"/>
      <c r="G2233" s="8"/>
      <c r="H2233" s="8"/>
      <c r="I2233" s="8" t="s">
        <v>3756</v>
      </c>
    </row>
    <row r="2234" spans="1:9" ht="14.25" customHeight="1" x14ac:dyDescent="0.25">
      <c r="A2234" s="28" t="s">
        <v>9214</v>
      </c>
      <c r="B2234" s="8" t="s">
        <v>5015</v>
      </c>
      <c r="C2234" s="8" t="s">
        <v>9215</v>
      </c>
      <c r="D2234" s="8" t="s">
        <v>411</v>
      </c>
      <c r="E2234" s="8" t="s">
        <v>412</v>
      </c>
      <c r="F2234" s="11" t="s">
        <v>9216</v>
      </c>
      <c r="G2234" s="8" t="s">
        <v>9217</v>
      </c>
      <c r="H2234" s="8" t="s">
        <v>72</v>
      </c>
      <c r="I2234" s="8" t="s">
        <v>3756</v>
      </c>
    </row>
    <row r="2235" spans="1:9" ht="14.25" customHeight="1" x14ac:dyDescent="0.25">
      <c r="A2235" s="7" t="s">
        <v>9218</v>
      </c>
      <c r="B2235" s="8" t="s">
        <v>3874</v>
      </c>
      <c r="C2235" s="8" t="s">
        <v>9219</v>
      </c>
      <c r="D2235" s="8" t="s">
        <v>3163</v>
      </c>
      <c r="E2235" s="8" t="s">
        <v>412</v>
      </c>
      <c r="F2235" s="12" t="s">
        <v>9220</v>
      </c>
      <c r="G2235" s="8" t="s">
        <v>9221</v>
      </c>
      <c r="H2235" s="8" t="s">
        <v>61</v>
      </c>
      <c r="I2235" s="8" t="s">
        <v>9222</v>
      </c>
    </row>
    <row r="2236" spans="1:9" ht="14.25" customHeight="1" x14ac:dyDescent="0.25">
      <c r="A2236" s="7" t="s">
        <v>9223</v>
      </c>
      <c r="B2236" s="8" t="s">
        <v>9224</v>
      </c>
      <c r="C2236" s="8" t="s">
        <v>9225</v>
      </c>
      <c r="D2236" s="8" t="s">
        <v>411</v>
      </c>
      <c r="E2236" s="8" t="s">
        <v>3890</v>
      </c>
      <c r="F2236" s="12" t="s">
        <v>9226</v>
      </c>
      <c r="G2236" s="8" t="s">
        <v>9227</v>
      </c>
      <c r="H2236" s="8" t="s">
        <v>4330</v>
      </c>
      <c r="I2236" s="8" t="s">
        <v>4039</v>
      </c>
    </row>
    <row r="2237" spans="1:9" ht="14.25" customHeight="1" x14ac:dyDescent="0.25">
      <c r="A2237" s="7" t="s">
        <v>9228</v>
      </c>
      <c r="B2237" s="8" t="s">
        <v>9229</v>
      </c>
      <c r="C2237" s="8" t="s">
        <v>9225</v>
      </c>
      <c r="D2237" s="8" t="s">
        <v>3163</v>
      </c>
      <c r="E2237" s="8" t="s">
        <v>3890</v>
      </c>
      <c r="F2237" s="12" t="s">
        <v>9230</v>
      </c>
      <c r="G2237" s="8" t="s">
        <v>9227</v>
      </c>
      <c r="H2237" s="8" t="s">
        <v>4330</v>
      </c>
      <c r="I2237" s="8" t="s">
        <v>4039</v>
      </c>
    </row>
    <row r="2238" spans="1:9" ht="14.25" customHeight="1" x14ac:dyDescent="0.25">
      <c r="A2238" s="7" t="s">
        <v>9231</v>
      </c>
      <c r="B2238" s="8" t="s">
        <v>2877</v>
      </c>
      <c r="C2238" s="8" t="s">
        <v>6429</v>
      </c>
      <c r="D2238" s="8" t="s">
        <v>411</v>
      </c>
      <c r="E2238" s="8" t="s">
        <v>412</v>
      </c>
      <c r="F2238" s="12" t="s">
        <v>9232</v>
      </c>
      <c r="G2238" s="8" t="s">
        <v>9233</v>
      </c>
      <c r="H2238" s="8" t="s">
        <v>9234</v>
      </c>
      <c r="I2238" s="8" t="s">
        <v>4039</v>
      </c>
    </row>
    <row r="2239" spans="1:9" ht="14.25" customHeight="1" x14ac:dyDescent="0.25">
      <c r="A2239" s="7" t="s">
        <v>9235</v>
      </c>
      <c r="B2239" s="8" t="s">
        <v>5957</v>
      </c>
      <c r="C2239" s="8" t="s">
        <v>9236</v>
      </c>
      <c r="D2239" s="8" t="s">
        <v>411</v>
      </c>
      <c r="E2239" s="8" t="s">
        <v>412</v>
      </c>
      <c r="F2239" s="12" t="s">
        <v>9237</v>
      </c>
      <c r="G2239" s="8"/>
      <c r="H2239" s="8" t="s">
        <v>5613</v>
      </c>
      <c r="I2239" s="8" t="s">
        <v>4039</v>
      </c>
    </row>
    <row r="2240" spans="1:9" ht="14.25" customHeight="1" x14ac:dyDescent="0.25">
      <c r="A2240" s="7" t="s">
        <v>9238</v>
      </c>
      <c r="B2240" s="8" t="s">
        <v>9239</v>
      </c>
      <c r="C2240" s="8" t="s">
        <v>287</v>
      </c>
      <c r="D2240" s="8" t="s">
        <v>411</v>
      </c>
      <c r="E2240" s="8" t="s">
        <v>412</v>
      </c>
      <c r="F2240" s="12" t="s">
        <v>9240</v>
      </c>
      <c r="G2240" s="8"/>
      <c r="H2240" s="8" t="s">
        <v>5039</v>
      </c>
      <c r="I2240" s="8" t="s">
        <v>4039</v>
      </c>
    </row>
    <row r="2241" spans="1:9" ht="14.25" customHeight="1" x14ac:dyDescent="0.25">
      <c r="A2241" s="7" t="s">
        <v>9241</v>
      </c>
      <c r="B2241" s="8" t="s">
        <v>8825</v>
      </c>
      <c r="C2241" s="8" t="s">
        <v>9242</v>
      </c>
      <c r="D2241" s="8" t="s">
        <v>411</v>
      </c>
      <c r="E2241" s="8" t="s">
        <v>412</v>
      </c>
      <c r="F2241" s="12" t="s">
        <v>9243</v>
      </c>
      <c r="G2241" s="8" t="s">
        <v>9244</v>
      </c>
      <c r="H2241" s="8" t="s">
        <v>72</v>
      </c>
      <c r="I2241" s="8" t="s">
        <v>3756</v>
      </c>
    </row>
    <row r="2242" spans="1:9" ht="14.25" customHeight="1" x14ac:dyDescent="0.25">
      <c r="A2242" s="7" t="s">
        <v>9245</v>
      </c>
      <c r="B2242" s="8" t="s">
        <v>3694</v>
      </c>
      <c r="C2242" s="8" t="s">
        <v>9246</v>
      </c>
      <c r="D2242" s="8" t="s">
        <v>411</v>
      </c>
      <c r="E2242" s="8" t="s">
        <v>412</v>
      </c>
      <c r="F2242" s="12" t="s">
        <v>9247</v>
      </c>
      <c r="G2242" s="8" t="s">
        <v>9248</v>
      </c>
      <c r="H2242" s="8" t="s">
        <v>37</v>
      </c>
      <c r="I2242" s="8" t="s">
        <v>5347</v>
      </c>
    </row>
    <row r="2243" spans="1:9" ht="14.25" customHeight="1" x14ac:dyDescent="0.25">
      <c r="A2243" s="7" t="s">
        <v>9249</v>
      </c>
      <c r="B2243" s="8" t="s">
        <v>4881</v>
      </c>
      <c r="C2243" s="8" t="s">
        <v>9250</v>
      </c>
      <c r="D2243" s="8" t="s">
        <v>411</v>
      </c>
      <c r="E2243" s="8" t="s">
        <v>412</v>
      </c>
      <c r="F2243" s="11" t="s">
        <v>9251</v>
      </c>
      <c r="G2243" s="8" t="s">
        <v>9252</v>
      </c>
      <c r="H2243" s="8" t="s">
        <v>9253</v>
      </c>
      <c r="I2243" s="8" t="s">
        <v>4039</v>
      </c>
    </row>
    <row r="2244" spans="1:9" ht="14.25" customHeight="1" x14ac:dyDescent="0.25">
      <c r="A2244" s="7" t="s">
        <v>9254</v>
      </c>
      <c r="B2244" s="8" t="s">
        <v>8188</v>
      </c>
      <c r="C2244" s="8" t="s">
        <v>9255</v>
      </c>
      <c r="D2244" s="8" t="s">
        <v>3163</v>
      </c>
      <c r="E2244" s="8" t="s">
        <v>412</v>
      </c>
      <c r="F2244" s="11" t="s">
        <v>9256</v>
      </c>
      <c r="G2244" s="8" t="s">
        <v>9257</v>
      </c>
      <c r="H2244" s="8" t="s">
        <v>82</v>
      </c>
      <c r="I2244" s="8" t="s">
        <v>3756</v>
      </c>
    </row>
    <row r="2245" spans="1:9" ht="14.25" customHeight="1" x14ac:dyDescent="0.25">
      <c r="A2245" s="7" t="s">
        <v>9258</v>
      </c>
      <c r="B2245" s="8" t="s">
        <v>9259</v>
      </c>
      <c r="C2245" s="8" t="s">
        <v>9260</v>
      </c>
      <c r="D2245" s="8" t="s">
        <v>411</v>
      </c>
      <c r="E2245" s="8" t="s">
        <v>412</v>
      </c>
      <c r="F2245" s="12" t="s">
        <v>9261</v>
      </c>
      <c r="G2245" s="8"/>
      <c r="H2245" s="8" t="s">
        <v>4330</v>
      </c>
      <c r="I2245" s="8" t="s">
        <v>4039</v>
      </c>
    </row>
    <row r="2246" spans="1:9" ht="14.25" customHeight="1" x14ac:dyDescent="0.25">
      <c r="A2246" s="29" t="s">
        <v>9262</v>
      </c>
      <c r="B2246" s="8" t="s">
        <v>9263</v>
      </c>
      <c r="C2246" s="8" t="s">
        <v>9264</v>
      </c>
      <c r="D2246" s="8" t="s">
        <v>411</v>
      </c>
      <c r="E2246" s="8" t="s">
        <v>412</v>
      </c>
      <c r="F2246" s="11" t="s">
        <v>9265</v>
      </c>
      <c r="G2246" s="8" t="s">
        <v>9266</v>
      </c>
      <c r="H2246" s="8" t="s">
        <v>49</v>
      </c>
      <c r="I2246" s="8" t="s">
        <v>3756</v>
      </c>
    </row>
    <row r="2247" spans="1:9" ht="14.25" customHeight="1" x14ac:dyDescent="0.25">
      <c r="A2247" s="7" t="s">
        <v>9267</v>
      </c>
      <c r="B2247" s="8" t="s">
        <v>771</v>
      </c>
      <c r="C2247" s="8" t="s">
        <v>9268</v>
      </c>
      <c r="D2247" s="8" t="s">
        <v>3163</v>
      </c>
      <c r="E2247" s="8" t="s">
        <v>3890</v>
      </c>
      <c r="F2247" s="12" t="s">
        <v>9269</v>
      </c>
      <c r="G2247" s="8" t="s">
        <v>9270</v>
      </c>
      <c r="H2247" s="8" t="s">
        <v>25</v>
      </c>
      <c r="I2247" s="8" t="s">
        <v>4371</v>
      </c>
    </row>
    <row r="2248" spans="1:9" ht="14.25" customHeight="1" x14ac:dyDescent="0.25">
      <c r="A2248" s="7" t="s">
        <v>9271</v>
      </c>
      <c r="B2248" s="8" t="s">
        <v>9272</v>
      </c>
      <c r="C2248" s="8" t="s">
        <v>5798</v>
      </c>
      <c r="D2248" s="8" t="s">
        <v>411</v>
      </c>
      <c r="E2248" s="8" t="s">
        <v>3890</v>
      </c>
      <c r="F2248" s="12" t="s">
        <v>9273</v>
      </c>
      <c r="G2248" s="8" t="s">
        <v>9270</v>
      </c>
      <c r="H2248" s="8" t="s">
        <v>25</v>
      </c>
      <c r="I2248" s="8" t="s">
        <v>4371</v>
      </c>
    </row>
    <row r="2249" spans="1:9" ht="14.25" customHeight="1" x14ac:dyDescent="0.25">
      <c r="A2249" s="7" t="s">
        <v>9274</v>
      </c>
      <c r="B2249" s="8" t="s">
        <v>9275</v>
      </c>
      <c r="C2249" s="8" t="s">
        <v>9276</v>
      </c>
      <c r="D2249" s="8" t="s">
        <v>411</v>
      </c>
      <c r="E2249" s="8" t="s">
        <v>412</v>
      </c>
      <c r="F2249" s="12" t="s">
        <v>9277</v>
      </c>
      <c r="G2249" s="8" t="s">
        <v>9278</v>
      </c>
      <c r="H2249" s="8" t="s">
        <v>5613</v>
      </c>
      <c r="I2249" s="8" t="s">
        <v>4039</v>
      </c>
    </row>
    <row r="2250" spans="1:9" ht="14.25" customHeight="1" x14ac:dyDescent="0.25">
      <c r="A2250" s="7" t="s">
        <v>9279</v>
      </c>
      <c r="B2250" s="8" t="s">
        <v>3058</v>
      </c>
      <c r="C2250" s="8" t="s">
        <v>9280</v>
      </c>
      <c r="D2250" s="8" t="s">
        <v>411</v>
      </c>
      <c r="E2250" s="8" t="s">
        <v>412</v>
      </c>
      <c r="F2250" s="12" t="s">
        <v>9281</v>
      </c>
      <c r="G2250" s="8" t="s">
        <v>9282</v>
      </c>
      <c r="H2250" s="8" t="s">
        <v>82</v>
      </c>
      <c r="I2250" s="8" t="s">
        <v>4039</v>
      </c>
    </row>
    <row r="2251" spans="1:9" ht="14.25" customHeight="1" x14ac:dyDescent="0.25">
      <c r="A2251" s="7" t="s">
        <v>9283</v>
      </c>
      <c r="B2251" s="8" t="s">
        <v>355</v>
      </c>
      <c r="C2251" s="8" t="s">
        <v>9284</v>
      </c>
      <c r="D2251" s="8" t="s">
        <v>3163</v>
      </c>
      <c r="E2251" s="8" t="s">
        <v>412</v>
      </c>
      <c r="F2251" s="12" t="s">
        <v>9285</v>
      </c>
      <c r="G2251" s="8" t="s">
        <v>9286</v>
      </c>
      <c r="H2251" s="8" t="s">
        <v>15</v>
      </c>
      <c r="I2251" s="8" t="s">
        <v>4039</v>
      </c>
    </row>
    <row r="2252" spans="1:9" ht="14.25" customHeight="1" x14ac:dyDescent="0.25">
      <c r="A2252" s="7" t="s">
        <v>9287</v>
      </c>
      <c r="B2252" s="8" t="s">
        <v>9288</v>
      </c>
      <c r="C2252" s="8" t="s">
        <v>9289</v>
      </c>
      <c r="D2252" s="8" t="s">
        <v>3163</v>
      </c>
      <c r="E2252" s="8" t="s">
        <v>3890</v>
      </c>
      <c r="F2252" s="12" t="s">
        <v>9290</v>
      </c>
      <c r="G2252" s="8" t="s">
        <v>9291</v>
      </c>
      <c r="H2252" s="8" t="s">
        <v>9292</v>
      </c>
      <c r="I2252" s="8" t="s">
        <v>4039</v>
      </c>
    </row>
    <row r="2253" spans="1:9" ht="14.25" customHeight="1" x14ac:dyDescent="0.25">
      <c r="A2253" s="7" t="s">
        <v>9293</v>
      </c>
      <c r="B2253" s="8" t="s">
        <v>1463</v>
      </c>
      <c r="C2253" s="8" t="s">
        <v>9294</v>
      </c>
      <c r="D2253" s="8" t="s">
        <v>411</v>
      </c>
      <c r="E2253" s="8" t="s">
        <v>3890</v>
      </c>
      <c r="F2253" s="12" t="s">
        <v>9295</v>
      </c>
      <c r="G2253" s="8" t="s">
        <v>9291</v>
      </c>
      <c r="H2253" s="8" t="s">
        <v>9292</v>
      </c>
      <c r="I2253" s="8" t="s">
        <v>4039</v>
      </c>
    </row>
    <row r="2254" spans="1:9" ht="14.25" customHeight="1" x14ac:dyDescent="0.25">
      <c r="A2254" s="7" t="s">
        <v>9296</v>
      </c>
      <c r="B2254" s="8" t="s">
        <v>9297</v>
      </c>
      <c r="C2254" s="8" t="s">
        <v>9298</v>
      </c>
      <c r="D2254" s="8" t="s">
        <v>411</v>
      </c>
      <c r="E2254" s="8" t="s">
        <v>412</v>
      </c>
      <c r="F2254" s="12" t="s">
        <v>9299</v>
      </c>
      <c r="G2254" s="8" t="s">
        <v>9300</v>
      </c>
      <c r="H2254" s="8" t="s">
        <v>6255</v>
      </c>
      <c r="I2254" s="8" t="s">
        <v>3756</v>
      </c>
    </row>
    <row r="2255" spans="1:9" ht="14.25" customHeight="1" x14ac:dyDescent="0.25">
      <c r="A2255" s="7" t="s">
        <v>9301</v>
      </c>
      <c r="B2255" s="8" t="s">
        <v>3078</v>
      </c>
      <c r="C2255" s="8" t="s">
        <v>8756</v>
      </c>
      <c r="D2255" s="8" t="s">
        <v>3163</v>
      </c>
      <c r="E2255" s="8" t="s">
        <v>412</v>
      </c>
      <c r="F2255" s="12" t="s">
        <v>9302</v>
      </c>
      <c r="G2255" s="8" t="s">
        <v>9303</v>
      </c>
      <c r="H2255" s="8" t="s">
        <v>49</v>
      </c>
      <c r="I2255" s="8" t="s">
        <v>3756</v>
      </c>
    </row>
    <row r="2256" spans="1:9" ht="14.25" customHeight="1" x14ac:dyDescent="0.25">
      <c r="A2256" s="7" t="s">
        <v>9304</v>
      </c>
      <c r="B2256" s="8" t="s">
        <v>1431</v>
      </c>
      <c r="C2256" s="8" t="s">
        <v>9305</v>
      </c>
      <c r="D2256" s="8" t="s">
        <v>3163</v>
      </c>
      <c r="E2256" s="8" t="s">
        <v>412</v>
      </c>
      <c r="F2256" s="12" t="s">
        <v>9306</v>
      </c>
      <c r="G2256" s="8"/>
      <c r="H2256" s="8" t="s">
        <v>9307</v>
      </c>
      <c r="I2256" s="8" t="s">
        <v>5347</v>
      </c>
    </row>
    <row r="2257" spans="1:9" ht="14.25" customHeight="1" x14ac:dyDescent="0.25">
      <c r="A2257" s="7" t="s">
        <v>9308</v>
      </c>
      <c r="B2257" s="8" t="s">
        <v>9309</v>
      </c>
      <c r="C2257" s="8" t="s">
        <v>9310</v>
      </c>
      <c r="D2257" s="8" t="s">
        <v>3163</v>
      </c>
      <c r="E2257" s="8" t="s">
        <v>412</v>
      </c>
      <c r="F2257" s="12" t="s">
        <v>9311</v>
      </c>
      <c r="G2257" s="8"/>
      <c r="H2257" s="8" t="s">
        <v>92</v>
      </c>
      <c r="I2257" s="8" t="s">
        <v>4039</v>
      </c>
    </row>
    <row r="2258" spans="1:9" ht="14.25" customHeight="1" x14ac:dyDescent="0.25">
      <c r="A2258" s="7" t="s">
        <v>9312</v>
      </c>
      <c r="B2258" s="8" t="s">
        <v>8684</v>
      </c>
      <c r="C2258" s="8" t="s">
        <v>9313</v>
      </c>
      <c r="D2258" s="8" t="s">
        <v>3163</v>
      </c>
      <c r="E2258" s="8" t="s">
        <v>412</v>
      </c>
      <c r="F2258" s="12" t="s">
        <v>9314</v>
      </c>
      <c r="G2258" s="8" t="s">
        <v>9315</v>
      </c>
      <c r="H2258" s="8" t="s">
        <v>4951</v>
      </c>
      <c r="I2258" s="8" t="s">
        <v>3756</v>
      </c>
    </row>
    <row r="2259" spans="1:9" ht="14.25" customHeight="1" x14ac:dyDescent="0.25">
      <c r="A2259" s="7" t="s">
        <v>9316</v>
      </c>
      <c r="B2259" s="8" t="s">
        <v>9075</v>
      </c>
      <c r="C2259" s="8" t="s">
        <v>9317</v>
      </c>
      <c r="D2259" s="8" t="s">
        <v>411</v>
      </c>
      <c r="E2259" s="8" t="s">
        <v>3890</v>
      </c>
      <c r="F2259" s="12" t="s">
        <v>9318</v>
      </c>
      <c r="G2259" s="8" t="s">
        <v>9319</v>
      </c>
      <c r="H2259" s="8" t="s">
        <v>5392</v>
      </c>
      <c r="I2259" s="8" t="s">
        <v>4039</v>
      </c>
    </row>
    <row r="2260" spans="1:9" ht="14.25" customHeight="1" x14ac:dyDescent="0.25">
      <c r="A2260" s="7" t="s">
        <v>9320</v>
      </c>
      <c r="B2260" s="8" t="s">
        <v>7095</v>
      </c>
      <c r="C2260" s="8" t="s">
        <v>9321</v>
      </c>
      <c r="D2260" s="8" t="s">
        <v>3163</v>
      </c>
      <c r="E2260" s="8" t="s">
        <v>3890</v>
      </c>
      <c r="F2260" s="11"/>
      <c r="G2260" s="8" t="s">
        <v>9319</v>
      </c>
      <c r="H2260" s="8" t="s">
        <v>5392</v>
      </c>
      <c r="I2260" s="8" t="s">
        <v>4039</v>
      </c>
    </row>
    <row r="2261" spans="1:9" ht="14.25" customHeight="1" x14ac:dyDescent="0.25">
      <c r="A2261" s="7" t="s">
        <v>9322</v>
      </c>
      <c r="B2261" s="8" t="s">
        <v>3157</v>
      </c>
      <c r="C2261" s="8" t="s">
        <v>9323</v>
      </c>
      <c r="D2261" s="8" t="s">
        <v>3163</v>
      </c>
      <c r="E2261" s="8" t="s">
        <v>412</v>
      </c>
      <c r="F2261" s="12" t="s">
        <v>9324</v>
      </c>
      <c r="G2261" s="8" t="s">
        <v>9325</v>
      </c>
      <c r="H2261" s="8" t="s">
        <v>4199</v>
      </c>
      <c r="I2261" s="8" t="s">
        <v>3756</v>
      </c>
    </row>
    <row r="2262" spans="1:9" ht="14.25" customHeight="1" x14ac:dyDescent="0.25">
      <c r="A2262" s="7" t="s">
        <v>9326</v>
      </c>
      <c r="B2262" s="8" t="s">
        <v>302</v>
      </c>
      <c r="C2262" s="8" t="s">
        <v>9327</v>
      </c>
      <c r="D2262" s="8" t="s">
        <v>3163</v>
      </c>
      <c r="E2262" s="8" t="s">
        <v>412</v>
      </c>
      <c r="F2262" s="12" t="s">
        <v>9328</v>
      </c>
      <c r="G2262" s="8" t="s">
        <v>9329</v>
      </c>
      <c r="H2262" s="8" t="s">
        <v>20</v>
      </c>
      <c r="I2262" s="8" t="s">
        <v>4039</v>
      </c>
    </row>
    <row r="2263" spans="1:9" ht="14.25" customHeight="1" x14ac:dyDescent="0.25">
      <c r="A2263" s="7" t="s">
        <v>9330</v>
      </c>
      <c r="B2263" s="8" t="s">
        <v>2208</v>
      </c>
      <c r="C2263" s="8" t="s">
        <v>9331</v>
      </c>
      <c r="D2263" s="8" t="s">
        <v>411</v>
      </c>
      <c r="E2263" s="8" t="s">
        <v>412</v>
      </c>
      <c r="F2263" s="12" t="s">
        <v>9332</v>
      </c>
      <c r="G2263" s="8" t="s">
        <v>9333</v>
      </c>
      <c r="H2263" s="8" t="s">
        <v>6255</v>
      </c>
      <c r="I2263" s="8" t="s">
        <v>3756</v>
      </c>
    </row>
    <row r="2264" spans="1:9" ht="14.25" customHeight="1" x14ac:dyDescent="0.25">
      <c r="A2264" s="7" t="s">
        <v>9334</v>
      </c>
      <c r="B2264" s="8" t="s">
        <v>359</v>
      </c>
      <c r="C2264" s="8" t="s">
        <v>7734</v>
      </c>
      <c r="D2264" s="8" t="s">
        <v>411</v>
      </c>
      <c r="E2264" s="8" t="s">
        <v>412</v>
      </c>
      <c r="F2264" s="12" t="s">
        <v>9335</v>
      </c>
      <c r="G2264" s="8" t="s">
        <v>9336</v>
      </c>
      <c r="H2264" s="8" t="s">
        <v>8903</v>
      </c>
      <c r="I2264" s="8" t="s">
        <v>3756</v>
      </c>
    </row>
    <row r="2265" spans="1:9" ht="14.25" customHeight="1" x14ac:dyDescent="0.25">
      <c r="A2265" s="7" t="s">
        <v>9337</v>
      </c>
      <c r="B2265" s="8" t="s">
        <v>726</v>
      </c>
      <c r="C2265" s="8" t="s">
        <v>9338</v>
      </c>
      <c r="D2265" s="8" t="s">
        <v>3163</v>
      </c>
      <c r="E2265" s="8" t="s">
        <v>412</v>
      </c>
      <c r="F2265" s="12" t="s">
        <v>9339</v>
      </c>
      <c r="G2265" s="8" t="s">
        <v>9340</v>
      </c>
      <c r="H2265" s="8" t="s">
        <v>2212</v>
      </c>
      <c r="I2265" s="8" t="s">
        <v>4039</v>
      </c>
    </row>
    <row r="2266" spans="1:9" ht="14.25" customHeight="1" x14ac:dyDescent="0.25">
      <c r="A2266" s="7" t="s">
        <v>9341</v>
      </c>
      <c r="B2266" s="8" t="s">
        <v>3718</v>
      </c>
      <c r="C2266" s="8" t="s">
        <v>9342</v>
      </c>
      <c r="D2266" s="8" t="s">
        <v>411</v>
      </c>
      <c r="E2266" s="8" t="s">
        <v>412</v>
      </c>
      <c r="F2266" s="12" t="s">
        <v>9343</v>
      </c>
      <c r="G2266" s="8"/>
      <c r="H2266" s="8" t="s">
        <v>37</v>
      </c>
      <c r="I2266" s="8" t="s">
        <v>3756</v>
      </c>
    </row>
    <row r="2267" spans="1:9" ht="14.25" customHeight="1" x14ac:dyDescent="0.25">
      <c r="A2267" s="7" t="s">
        <v>9344</v>
      </c>
      <c r="B2267" s="8" t="s">
        <v>308</v>
      </c>
      <c r="C2267" s="8" t="s">
        <v>9345</v>
      </c>
      <c r="D2267" s="8" t="s">
        <v>3163</v>
      </c>
      <c r="E2267" s="8" t="s">
        <v>412</v>
      </c>
      <c r="F2267" s="12" t="s">
        <v>9346</v>
      </c>
      <c r="G2267" s="8"/>
      <c r="H2267" s="8" t="s">
        <v>102</v>
      </c>
      <c r="I2267" s="8" t="s">
        <v>5347</v>
      </c>
    </row>
    <row r="2268" spans="1:9" ht="14.25" customHeight="1" x14ac:dyDescent="0.25">
      <c r="A2268" s="7" t="s">
        <v>9347</v>
      </c>
      <c r="B2268" s="8" t="s">
        <v>9348</v>
      </c>
      <c r="C2268" s="8" t="s">
        <v>9349</v>
      </c>
      <c r="D2268" s="8" t="s">
        <v>411</v>
      </c>
      <c r="E2268" s="8" t="s">
        <v>412</v>
      </c>
      <c r="F2268" s="12" t="s">
        <v>9350</v>
      </c>
      <c r="G2268" s="8" t="s">
        <v>9351</v>
      </c>
      <c r="H2268" s="8" t="s">
        <v>92</v>
      </c>
      <c r="I2268" s="8" t="s">
        <v>5347</v>
      </c>
    </row>
    <row r="2269" spans="1:9" ht="14.25" customHeight="1" x14ac:dyDescent="0.25">
      <c r="A2269" s="7" t="s">
        <v>9352</v>
      </c>
      <c r="B2269" s="8" t="s">
        <v>9353</v>
      </c>
      <c r="C2269" s="8" t="s">
        <v>9354</v>
      </c>
      <c r="D2269" s="8" t="s">
        <v>3163</v>
      </c>
      <c r="E2269" s="8" t="s">
        <v>412</v>
      </c>
      <c r="F2269" s="12" t="s">
        <v>9355</v>
      </c>
      <c r="G2269" s="8" t="s">
        <v>9356</v>
      </c>
      <c r="H2269" s="8" t="s">
        <v>25</v>
      </c>
      <c r="I2269" s="8" t="s">
        <v>4039</v>
      </c>
    </row>
    <row r="2270" spans="1:9" ht="14.25" customHeight="1" x14ac:dyDescent="0.25">
      <c r="A2270" s="7" t="s">
        <v>9357</v>
      </c>
      <c r="B2270" s="8" t="s">
        <v>9358</v>
      </c>
      <c r="C2270" s="8" t="s">
        <v>9359</v>
      </c>
      <c r="D2270" s="8" t="s">
        <v>411</v>
      </c>
      <c r="E2270" s="8" t="s">
        <v>412</v>
      </c>
      <c r="F2270" s="11" t="s">
        <v>9360</v>
      </c>
      <c r="G2270" s="8"/>
      <c r="H2270" s="8" t="s">
        <v>2212</v>
      </c>
      <c r="I2270" s="8" t="s">
        <v>5347</v>
      </c>
    </row>
    <row r="2271" spans="1:9" ht="14.25" customHeight="1" x14ac:dyDescent="0.25">
      <c r="A2271" s="7" t="s">
        <v>9361</v>
      </c>
      <c r="B2271" s="8" t="s">
        <v>9362</v>
      </c>
      <c r="C2271" s="8" t="s">
        <v>9363</v>
      </c>
      <c r="D2271" s="8" t="s">
        <v>3163</v>
      </c>
      <c r="E2271" s="8" t="s">
        <v>412</v>
      </c>
      <c r="F2271" s="11" t="s">
        <v>9364</v>
      </c>
      <c r="G2271" s="8" t="s">
        <v>9365</v>
      </c>
      <c r="H2271" s="8" t="s">
        <v>4317</v>
      </c>
      <c r="I2271" s="8" t="s">
        <v>4039</v>
      </c>
    </row>
    <row r="2272" spans="1:9" ht="14.25" customHeight="1" x14ac:dyDescent="0.25">
      <c r="A2272" s="7" t="s">
        <v>9366</v>
      </c>
      <c r="B2272" s="8" t="s">
        <v>98</v>
      </c>
      <c r="C2272" s="8" t="s">
        <v>3026</v>
      </c>
      <c r="D2272" s="8" t="s">
        <v>411</v>
      </c>
      <c r="E2272" s="8" t="s">
        <v>412</v>
      </c>
      <c r="F2272" s="11" t="s">
        <v>9367</v>
      </c>
      <c r="G2272" s="8" t="s">
        <v>9368</v>
      </c>
      <c r="H2272" s="8" t="s">
        <v>9369</v>
      </c>
      <c r="I2272" s="8" t="s">
        <v>4039</v>
      </c>
    </row>
    <row r="2273" spans="1:9" ht="14.25" customHeight="1" x14ac:dyDescent="0.25">
      <c r="A2273" s="7" t="s">
        <v>9370</v>
      </c>
      <c r="B2273" s="8" t="s">
        <v>5586</v>
      </c>
      <c r="C2273" s="8" t="s">
        <v>5725</v>
      </c>
      <c r="D2273" s="8" t="s">
        <v>411</v>
      </c>
      <c r="E2273" s="8" t="s">
        <v>1359</v>
      </c>
      <c r="F2273" s="12" t="s">
        <v>9371</v>
      </c>
      <c r="G2273" s="8"/>
      <c r="H2273" s="8" t="s">
        <v>2212</v>
      </c>
      <c r="I2273" s="8" t="s">
        <v>3756</v>
      </c>
    </row>
    <row r="2274" spans="1:9" ht="14.25" customHeight="1" x14ac:dyDescent="0.25">
      <c r="A2274" s="7" t="s">
        <v>9372</v>
      </c>
      <c r="B2274" s="8" t="s">
        <v>9373</v>
      </c>
      <c r="C2274" s="8" t="s">
        <v>9374</v>
      </c>
      <c r="D2274" s="8" t="s">
        <v>411</v>
      </c>
      <c r="E2274" s="8" t="s">
        <v>412</v>
      </c>
      <c r="F2274" s="12" t="s">
        <v>9375</v>
      </c>
      <c r="G2274" s="8" t="s">
        <v>9376</v>
      </c>
      <c r="H2274" s="8" t="s">
        <v>20</v>
      </c>
      <c r="I2274" s="8" t="s">
        <v>4039</v>
      </c>
    </row>
    <row r="2275" spans="1:9" ht="14.25" customHeight="1" x14ac:dyDescent="0.25">
      <c r="A2275" s="7" t="s">
        <v>9377</v>
      </c>
      <c r="B2275" s="8" t="s">
        <v>9378</v>
      </c>
      <c r="C2275" s="8" t="s">
        <v>9379</v>
      </c>
      <c r="D2275" s="8" t="s">
        <v>411</v>
      </c>
      <c r="E2275" s="8" t="s">
        <v>412</v>
      </c>
      <c r="F2275" s="12" t="s">
        <v>9380</v>
      </c>
      <c r="G2275" s="8" t="s">
        <v>9381</v>
      </c>
      <c r="H2275" s="8" t="s">
        <v>2212</v>
      </c>
      <c r="I2275" s="8" t="s">
        <v>3756</v>
      </c>
    </row>
    <row r="2276" spans="1:9" ht="14.25" customHeight="1" x14ac:dyDescent="0.25">
      <c r="A2276" s="7" t="s">
        <v>9382</v>
      </c>
      <c r="B2276" s="8" t="s">
        <v>9383</v>
      </c>
      <c r="C2276" s="8" t="s">
        <v>9384</v>
      </c>
      <c r="D2276" s="8" t="s">
        <v>411</v>
      </c>
      <c r="E2276" s="8" t="s">
        <v>412</v>
      </c>
      <c r="F2276" s="12" t="s">
        <v>9385</v>
      </c>
      <c r="G2276" s="8" t="s">
        <v>6137</v>
      </c>
      <c r="H2276" s="8" t="s">
        <v>37</v>
      </c>
      <c r="I2276" s="8" t="s">
        <v>3756</v>
      </c>
    </row>
    <row r="2277" spans="1:9" ht="14.25" customHeight="1" x14ac:dyDescent="0.25">
      <c r="A2277" s="7" t="s">
        <v>9386</v>
      </c>
      <c r="B2277" s="8" t="s">
        <v>8209</v>
      </c>
      <c r="C2277" s="8" t="s">
        <v>9387</v>
      </c>
      <c r="D2277" s="8" t="s">
        <v>3163</v>
      </c>
      <c r="E2277" s="8" t="s">
        <v>412</v>
      </c>
      <c r="F2277" s="12" t="s">
        <v>9388</v>
      </c>
      <c r="G2277" s="8" t="s">
        <v>9389</v>
      </c>
      <c r="H2277" s="8" t="s">
        <v>4199</v>
      </c>
      <c r="I2277" s="8" t="s">
        <v>4371</v>
      </c>
    </row>
    <row r="2278" spans="1:9" ht="14.25" customHeight="1" x14ac:dyDescent="0.25">
      <c r="A2278" s="7" t="s">
        <v>9390</v>
      </c>
      <c r="B2278" s="8" t="s">
        <v>6242</v>
      </c>
      <c r="C2278" s="8" t="s">
        <v>9391</v>
      </c>
      <c r="D2278" s="8" t="s">
        <v>411</v>
      </c>
      <c r="E2278" s="8" t="s">
        <v>412</v>
      </c>
      <c r="F2278" s="11" t="s">
        <v>9392</v>
      </c>
      <c r="G2278" s="8"/>
      <c r="H2278" s="8"/>
      <c r="I2278" s="8" t="s">
        <v>3756</v>
      </c>
    </row>
    <row r="2279" spans="1:9" ht="14.25" customHeight="1" x14ac:dyDescent="0.25">
      <c r="A2279" s="7" t="s">
        <v>9393</v>
      </c>
      <c r="B2279" s="8" t="s">
        <v>1458</v>
      </c>
      <c r="C2279" s="8" t="s">
        <v>9394</v>
      </c>
      <c r="D2279" s="8" t="s">
        <v>411</v>
      </c>
      <c r="E2279" s="8" t="s">
        <v>412</v>
      </c>
      <c r="F2279" s="11" t="s">
        <v>9395</v>
      </c>
      <c r="G2279" s="8" t="s">
        <v>9396</v>
      </c>
      <c r="H2279" s="8" t="s">
        <v>5652</v>
      </c>
      <c r="I2279" s="8" t="s">
        <v>3756</v>
      </c>
    </row>
    <row r="2280" spans="1:9" ht="14.25" customHeight="1" x14ac:dyDescent="0.25">
      <c r="A2280" s="7" t="s">
        <v>9397</v>
      </c>
      <c r="B2280" s="8" t="s">
        <v>1907</v>
      </c>
      <c r="C2280" s="8" t="s">
        <v>9398</v>
      </c>
      <c r="D2280" s="8" t="s">
        <v>411</v>
      </c>
      <c r="E2280" s="8" t="s">
        <v>3890</v>
      </c>
      <c r="F2280" s="11" t="s">
        <v>9399</v>
      </c>
      <c r="G2280" s="8" t="s">
        <v>9400</v>
      </c>
      <c r="H2280" s="8" t="s">
        <v>61</v>
      </c>
      <c r="I2280" s="8" t="s">
        <v>3756</v>
      </c>
    </row>
    <row r="2281" spans="1:9" ht="14.25" customHeight="1" x14ac:dyDescent="0.25">
      <c r="A2281" s="7" t="s">
        <v>9401</v>
      </c>
      <c r="B2281" s="8" t="s">
        <v>966</v>
      </c>
      <c r="C2281" s="8" t="s">
        <v>9402</v>
      </c>
      <c r="D2281" s="8" t="s">
        <v>3163</v>
      </c>
      <c r="E2281" s="8" t="s">
        <v>3890</v>
      </c>
      <c r="F2281" s="11" t="s">
        <v>9403</v>
      </c>
      <c r="G2281" s="8"/>
      <c r="H2281" s="8"/>
      <c r="I2281" s="8" t="s">
        <v>3756</v>
      </c>
    </row>
    <row r="2282" spans="1:9" ht="14.25" customHeight="1" x14ac:dyDescent="0.25">
      <c r="A2282" s="7" t="s">
        <v>9404</v>
      </c>
      <c r="B2282" s="8" t="s">
        <v>9405</v>
      </c>
      <c r="C2282" s="8" t="s">
        <v>1938</v>
      </c>
      <c r="D2282" s="8" t="s">
        <v>411</v>
      </c>
      <c r="E2282" s="8" t="s">
        <v>412</v>
      </c>
      <c r="F2282" s="11" t="s">
        <v>9406</v>
      </c>
      <c r="G2282" s="8" t="s">
        <v>9407</v>
      </c>
      <c r="H2282" s="8" t="s">
        <v>15</v>
      </c>
      <c r="I2282" s="8" t="s">
        <v>3756</v>
      </c>
    </row>
    <row r="2283" spans="1:9" ht="14.25" customHeight="1" x14ac:dyDescent="0.25">
      <c r="A2283" s="7" t="s">
        <v>9408</v>
      </c>
      <c r="B2283" s="8" t="s">
        <v>9409</v>
      </c>
      <c r="C2283" s="8" t="s">
        <v>9410</v>
      </c>
      <c r="D2283" s="8" t="s">
        <v>411</v>
      </c>
      <c r="E2283" s="8" t="s">
        <v>412</v>
      </c>
      <c r="F2283" s="11" t="s">
        <v>9411</v>
      </c>
      <c r="G2283" s="8" t="s">
        <v>9412</v>
      </c>
      <c r="H2283" s="8" t="s">
        <v>9413</v>
      </c>
      <c r="I2283" s="8" t="s">
        <v>3756</v>
      </c>
    </row>
    <row r="2284" spans="1:9" ht="14.25" customHeight="1" x14ac:dyDescent="0.25">
      <c r="A2284" s="7" t="s">
        <v>9414</v>
      </c>
      <c r="B2284" s="8" t="s">
        <v>9415</v>
      </c>
      <c r="C2284" s="8" t="s">
        <v>9416</v>
      </c>
      <c r="D2284" s="8" t="s">
        <v>411</v>
      </c>
      <c r="E2284" s="8" t="s">
        <v>412</v>
      </c>
      <c r="F2284" s="12" t="s">
        <v>9417</v>
      </c>
      <c r="G2284" s="8" t="s">
        <v>9418</v>
      </c>
      <c r="H2284" s="8" t="s">
        <v>6255</v>
      </c>
      <c r="I2284" s="8" t="s">
        <v>4039</v>
      </c>
    </row>
    <row r="2285" spans="1:9" ht="14.25" customHeight="1" x14ac:dyDescent="0.25">
      <c r="A2285" s="7" t="s">
        <v>9419</v>
      </c>
      <c r="B2285" s="8" t="s">
        <v>9011</v>
      </c>
      <c r="C2285" s="8" t="s">
        <v>9420</v>
      </c>
      <c r="D2285" s="8" t="s">
        <v>411</v>
      </c>
      <c r="E2285" s="8" t="s">
        <v>412</v>
      </c>
      <c r="F2285" s="11" t="s">
        <v>9421</v>
      </c>
      <c r="G2285" s="8"/>
      <c r="H2285" s="8" t="s">
        <v>82</v>
      </c>
      <c r="I2285" s="8" t="s">
        <v>3756</v>
      </c>
    </row>
    <row r="2286" spans="1:9" ht="14.25" customHeight="1" x14ac:dyDescent="0.25">
      <c r="A2286" s="7" t="s">
        <v>9422</v>
      </c>
      <c r="B2286" s="8" t="s">
        <v>1463</v>
      </c>
      <c r="C2286" s="8" t="s">
        <v>9423</v>
      </c>
      <c r="D2286" s="8" t="s">
        <v>411</v>
      </c>
      <c r="E2286" s="8" t="s">
        <v>412</v>
      </c>
      <c r="F2286" s="11" t="s">
        <v>9424</v>
      </c>
      <c r="G2286" s="8" t="s">
        <v>9425</v>
      </c>
      <c r="H2286" s="8" t="s">
        <v>5920</v>
      </c>
      <c r="I2286" s="8" t="s">
        <v>4039</v>
      </c>
    </row>
    <row r="2287" spans="1:9" ht="14.25" customHeight="1" x14ac:dyDescent="0.25">
      <c r="A2287" s="7" t="s">
        <v>9426</v>
      </c>
      <c r="B2287" s="8" t="s">
        <v>68</v>
      </c>
      <c r="C2287" s="8" t="s">
        <v>1530</v>
      </c>
      <c r="D2287" s="8" t="s">
        <v>411</v>
      </c>
      <c r="E2287" s="8" t="s">
        <v>412</v>
      </c>
      <c r="F2287" s="12" t="s">
        <v>9427</v>
      </c>
      <c r="G2287" s="8" t="s">
        <v>9428</v>
      </c>
      <c r="H2287" s="8" t="s">
        <v>2212</v>
      </c>
      <c r="I2287" s="8" t="s">
        <v>3756</v>
      </c>
    </row>
    <row r="2288" spans="1:9" ht="14.25" customHeight="1" x14ac:dyDescent="0.25">
      <c r="A2288" s="7" t="s">
        <v>9429</v>
      </c>
      <c r="B2288" s="8" t="s">
        <v>2329</v>
      </c>
      <c r="C2288" s="8" t="s">
        <v>9430</v>
      </c>
      <c r="D2288" s="8" t="s">
        <v>411</v>
      </c>
      <c r="E2288" s="8" t="s">
        <v>412</v>
      </c>
      <c r="F2288" s="12" t="s">
        <v>9431</v>
      </c>
      <c r="G2288" s="8" t="s">
        <v>9432</v>
      </c>
      <c r="H2288" s="8" t="s">
        <v>4199</v>
      </c>
      <c r="I2288" s="8" t="s">
        <v>3756</v>
      </c>
    </row>
    <row r="2289" spans="1:9" ht="14.25" customHeight="1" x14ac:dyDescent="0.25">
      <c r="A2289" s="7" t="s">
        <v>9433</v>
      </c>
      <c r="B2289" s="8" t="s">
        <v>7863</v>
      </c>
      <c r="C2289" s="8" t="s">
        <v>9434</v>
      </c>
      <c r="D2289" s="8" t="s">
        <v>3163</v>
      </c>
      <c r="E2289" s="8" t="s">
        <v>412</v>
      </c>
      <c r="F2289" s="12" t="s">
        <v>9435</v>
      </c>
      <c r="G2289" s="8" t="s">
        <v>8440</v>
      </c>
      <c r="H2289" s="8" t="s">
        <v>25</v>
      </c>
      <c r="I2289" s="8" t="s">
        <v>3756</v>
      </c>
    </row>
    <row r="2290" spans="1:9" ht="14.25" customHeight="1" x14ac:dyDescent="0.25">
      <c r="A2290" s="7" t="s">
        <v>9436</v>
      </c>
      <c r="B2290" s="8" t="s">
        <v>7834</v>
      </c>
      <c r="C2290" s="8" t="s">
        <v>5668</v>
      </c>
      <c r="D2290" s="8" t="s">
        <v>3163</v>
      </c>
      <c r="E2290" s="8" t="s">
        <v>412</v>
      </c>
      <c r="F2290" s="12" t="s">
        <v>5669</v>
      </c>
      <c r="G2290" s="8"/>
      <c r="H2290" s="8" t="s">
        <v>5213</v>
      </c>
      <c r="I2290" s="8" t="s">
        <v>4039</v>
      </c>
    </row>
    <row r="2291" spans="1:9" ht="14.25" customHeight="1" x14ac:dyDescent="0.25">
      <c r="A2291" s="19" t="s">
        <v>9437</v>
      </c>
      <c r="B2291" s="8" t="s">
        <v>6324</v>
      </c>
      <c r="C2291" s="8" t="s">
        <v>6325</v>
      </c>
      <c r="D2291" s="8" t="s">
        <v>3163</v>
      </c>
      <c r="E2291" s="8" t="s">
        <v>412</v>
      </c>
      <c r="F2291" s="11" t="s">
        <v>6326</v>
      </c>
      <c r="G2291" s="8"/>
      <c r="H2291" s="8"/>
      <c r="I2291" s="8" t="s">
        <v>3756</v>
      </c>
    </row>
    <row r="2292" spans="1:9" ht="14.25" customHeight="1" x14ac:dyDescent="0.25">
      <c r="A2292" s="7" t="s">
        <v>9438</v>
      </c>
      <c r="B2292" s="8" t="s">
        <v>9439</v>
      </c>
      <c r="C2292" s="8" t="s">
        <v>4844</v>
      </c>
      <c r="D2292" s="8" t="s">
        <v>411</v>
      </c>
      <c r="E2292" s="8" t="s">
        <v>412</v>
      </c>
      <c r="F2292" s="11" t="s">
        <v>9440</v>
      </c>
      <c r="G2292" s="8" t="s">
        <v>9441</v>
      </c>
      <c r="H2292" s="8" t="s">
        <v>5570</v>
      </c>
      <c r="I2292" s="8"/>
    </row>
    <row r="2293" spans="1:9" ht="14.25" customHeight="1" x14ac:dyDescent="0.25">
      <c r="A2293" s="7" t="s">
        <v>9442</v>
      </c>
      <c r="B2293" s="8" t="s">
        <v>2899</v>
      </c>
      <c r="C2293" s="8" t="s">
        <v>9443</v>
      </c>
      <c r="D2293" s="8" t="s">
        <v>411</v>
      </c>
      <c r="E2293" s="8" t="s">
        <v>412</v>
      </c>
      <c r="F2293" s="12" t="s">
        <v>9444</v>
      </c>
      <c r="G2293" s="8" t="s">
        <v>9445</v>
      </c>
      <c r="H2293" s="8" t="s">
        <v>9446</v>
      </c>
      <c r="I2293" s="8" t="s">
        <v>3756</v>
      </c>
    </row>
    <row r="2294" spans="1:9" ht="14.25" customHeight="1" x14ac:dyDescent="0.25">
      <c r="A2294" s="19" t="s">
        <v>9447</v>
      </c>
      <c r="B2294" s="8" t="s">
        <v>4092</v>
      </c>
      <c r="C2294" s="8" t="s">
        <v>9448</v>
      </c>
      <c r="D2294" s="8" t="s">
        <v>411</v>
      </c>
      <c r="E2294" s="8" t="s">
        <v>412</v>
      </c>
      <c r="F2294" s="11"/>
      <c r="G2294" s="8"/>
      <c r="H2294" s="8"/>
      <c r="I2294" s="8"/>
    </row>
    <row r="2295" spans="1:9" ht="14.25" customHeight="1" x14ac:dyDescent="0.25">
      <c r="A2295" s="7" t="s">
        <v>9449</v>
      </c>
      <c r="B2295" s="8" t="s">
        <v>726</v>
      </c>
      <c r="C2295" s="8" t="s">
        <v>9450</v>
      </c>
      <c r="D2295" s="8" t="s">
        <v>3163</v>
      </c>
      <c r="E2295" s="8" t="s">
        <v>412</v>
      </c>
      <c r="F2295" s="11" t="s">
        <v>9451</v>
      </c>
      <c r="G2295" s="8" t="s">
        <v>9452</v>
      </c>
      <c r="H2295" s="8" t="s">
        <v>8166</v>
      </c>
      <c r="I2295" s="8" t="s">
        <v>4039</v>
      </c>
    </row>
    <row r="2296" spans="1:9" ht="14.25" customHeight="1" x14ac:dyDescent="0.25">
      <c r="A2296" s="7" t="s">
        <v>9453</v>
      </c>
      <c r="B2296" s="8" t="s">
        <v>799</v>
      </c>
      <c r="C2296" s="8" t="s">
        <v>9454</v>
      </c>
      <c r="D2296" s="8" t="s">
        <v>3163</v>
      </c>
      <c r="E2296" s="8" t="s">
        <v>412</v>
      </c>
      <c r="F2296" s="11" t="s">
        <v>9455</v>
      </c>
      <c r="G2296" s="8" t="s">
        <v>9456</v>
      </c>
      <c r="H2296" s="8" t="s">
        <v>3918</v>
      </c>
      <c r="I2296" s="8" t="s">
        <v>3756</v>
      </c>
    </row>
    <row r="2297" spans="1:9" ht="14.25" customHeight="1" x14ac:dyDescent="0.25">
      <c r="A2297" s="7" t="s">
        <v>9457</v>
      </c>
      <c r="B2297" s="8" t="s">
        <v>4082</v>
      </c>
      <c r="C2297" s="8" t="s">
        <v>9458</v>
      </c>
      <c r="D2297" s="8" t="s">
        <v>3163</v>
      </c>
      <c r="E2297" s="8" t="s">
        <v>412</v>
      </c>
      <c r="F2297" s="12" t="s">
        <v>9459</v>
      </c>
      <c r="G2297" s="8" t="s">
        <v>9460</v>
      </c>
      <c r="H2297" s="8" t="s">
        <v>9461</v>
      </c>
      <c r="I2297" s="8" t="s">
        <v>4039</v>
      </c>
    </row>
    <row r="2298" spans="1:9" ht="14.25" customHeight="1" x14ac:dyDescent="0.25">
      <c r="A2298" s="19" t="s">
        <v>9462</v>
      </c>
      <c r="B2298" s="8" t="s">
        <v>9463</v>
      </c>
      <c r="C2298" s="8" t="s">
        <v>9464</v>
      </c>
      <c r="D2298" s="8" t="s">
        <v>411</v>
      </c>
      <c r="E2298" s="8" t="s">
        <v>412</v>
      </c>
      <c r="F2298" s="12" t="s">
        <v>9465</v>
      </c>
      <c r="G2298" s="8" t="s">
        <v>9466</v>
      </c>
      <c r="H2298" s="8" t="s">
        <v>9467</v>
      </c>
      <c r="I2298" s="8" t="s">
        <v>4039</v>
      </c>
    </row>
    <row r="2299" spans="1:9" ht="14.25" customHeight="1" x14ac:dyDescent="0.25">
      <c r="A2299" s="7" t="s">
        <v>9468</v>
      </c>
      <c r="B2299" s="8" t="s">
        <v>9469</v>
      </c>
      <c r="C2299" s="8" t="s">
        <v>9470</v>
      </c>
      <c r="D2299" s="8" t="s">
        <v>411</v>
      </c>
      <c r="E2299" s="8" t="s">
        <v>3890</v>
      </c>
      <c r="F2299" s="12" t="s">
        <v>9471</v>
      </c>
      <c r="G2299" s="8" t="s">
        <v>9472</v>
      </c>
      <c r="H2299" s="8" t="s">
        <v>72</v>
      </c>
      <c r="I2299" s="8" t="s">
        <v>3756</v>
      </c>
    </row>
    <row r="2300" spans="1:9" ht="14.25" customHeight="1" x14ac:dyDescent="0.25">
      <c r="A2300" s="7" t="s">
        <v>9473</v>
      </c>
      <c r="B2300" s="8" t="s">
        <v>8648</v>
      </c>
      <c r="C2300" s="8" t="s">
        <v>9474</v>
      </c>
      <c r="D2300" s="8" t="s">
        <v>3163</v>
      </c>
      <c r="E2300" s="8" t="s">
        <v>3890</v>
      </c>
      <c r="F2300" s="12" t="s">
        <v>9475</v>
      </c>
      <c r="G2300" s="8" t="s">
        <v>9472</v>
      </c>
      <c r="H2300" s="8" t="s">
        <v>72</v>
      </c>
      <c r="I2300" s="8" t="s">
        <v>3756</v>
      </c>
    </row>
    <row r="2301" spans="1:9" ht="14.25" customHeight="1" x14ac:dyDescent="0.25">
      <c r="A2301" s="7" t="s">
        <v>9476</v>
      </c>
      <c r="B2301" s="8" t="s">
        <v>4810</v>
      </c>
      <c r="C2301" s="8" t="s">
        <v>9477</v>
      </c>
      <c r="D2301" s="8" t="s">
        <v>411</v>
      </c>
      <c r="E2301" s="8" t="s">
        <v>412</v>
      </c>
      <c r="F2301" s="12" t="s">
        <v>9478</v>
      </c>
      <c r="G2301" s="8" t="s">
        <v>9479</v>
      </c>
      <c r="H2301" s="8" t="s">
        <v>37</v>
      </c>
      <c r="I2301" s="8" t="s">
        <v>3756</v>
      </c>
    </row>
    <row r="2302" spans="1:9" ht="14.25" customHeight="1" x14ac:dyDescent="0.25">
      <c r="A2302" s="7" t="s">
        <v>9480</v>
      </c>
      <c r="B2302" s="8" t="s">
        <v>2100</v>
      </c>
      <c r="C2302" s="8" t="s">
        <v>5539</v>
      </c>
      <c r="D2302" s="8" t="s">
        <v>3163</v>
      </c>
      <c r="E2302" s="8" t="s">
        <v>412</v>
      </c>
      <c r="F2302" s="11" t="s">
        <v>9481</v>
      </c>
      <c r="G2302" s="8" t="s">
        <v>9482</v>
      </c>
      <c r="H2302" s="8" t="s">
        <v>72</v>
      </c>
      <c r="I2302" s="8" t="s">
        <v>4371</v>
      </c>
    </row>
    <row r="2303" spans="1:9" ht="14.25" customHeight="1" x14ac:dyDescent="0.25">
      <c r="A2303" s="7" t="s">
        <v>9483</v>
      </c>
      <c r="B2303" s="8" t="s">
        <v>2208</v>
      </c>
      <c r="C2303" s="8" t="s">
        <v>9484</v>
      </c>
      <c r="D2303" s="8" t="s">
        <v>411</v>
      </c>
      <c r="E2303" s="8" t="s">
        <v>412</v>
      </c>
      <c r="F2303" s="11" t="s">
        <v>9485</v>
      </c>
      <c r="G2303" s="8"/>
      <c r="H2303" s="8"/>
      <c r="I2303" s="8"/>
    </row>
    <row r="2304" spans="1:9" ht="14.25" customHeight="1" x14ac:dyDescent="0.25">
      <c r="A2304" s="7" t="s">
        <v>9486</v>
      </c>
      <c r="B2304" s="8" t="s">
        <v>5586</v>
      </c>
      <c r="C2304" s="8" t="s">
        <v>1661</v>
      </c>
      <c r="D2304" s="8" t="s">
        <v>411</v>
      </c>
      <c r="E2304" s="8" t="s">
        <v>412</v>
      </c>
      <c r="F2304" s="11" t="s">
        <v>1662</v>
      </c>
      <c r="G2304" s="8"/>
      <c r="H2304" s="8" t="s">
        <v>9487</v>
      </c>
      <c r="I2304" s="8" t="s">
        <v>5347</v>
      </c>
    </row>
    <row r="2305" spans="1:9" ht="14.25" customHeight="1" x14ac:dyDescent="0.25">
      <c r="A2305" s="7" t="s">
        <v>9488</v>
      </c>
      <c r="B2305" s="8" t="s">
        <v>1767</v>
      </c>
      <c r="C2305" s="8" t="s">
        <v>9489</v>
      </c>
      <c r="D2305" s="8" t="s">
        <v>3163</v>
      </c>
      <c r="E2305" s="8" t="s">
        <v>412</v>
      </c>
      <c r="F2305" s="12" t="s">
        <v>9490</v>
      </c>
      <c r="G2305" s="8"/>
      <c r="H2305" s="8" t="s">
        <v>3618</v>
      </c>
      <c r="I2305" s="8" t="s">
        <v>4039</v>
      </c>
    </row>
    <row r="2306" spans="1:9" ht="14.25" customHeight="1" x14ac:dyDescent="0.25">
      <c r="A2306" s="7" t="s">
        <v>9491</v>
      </c>
      <c r="B2306" s="8" t="s">
        <v>4307</v>
      </c>
      <c r="C2306" s="8" t="s">
        <v>9492</v>
      </c>
      <c r="D2306" s="8" t="s">
        <v>411</v>
      </c>
      <c r="E2306" s="8" t="s">
        <v>412</v>
      </c>
      <c r="F2306" s="12" t="s">
        <v>9493</v>
      </c>
      <c r="G2306" s="8"/>
      <c r="H2306" s="8" t="s">
        <v>9494</v>
      </c>
      <c r="I2306" s="8" t="s">
        <v>4039</v>
      </c>
    </row>
    <row r="2307" spans="1:9" ht="14.25" customHeight="1" x14ac:dyDescent="0.25">
      <c r="A2307" s="7" t="s">
        <v>9495</v>
      </c>
      <c r="B2307" s="8" t="s">
        <v>3157</v>
      </c>
      <c r="C2307" s="8" t="s">
        <v>9496</v>
      </c>
      <c r="D2307" s="8" t="s">
        <v>3163</v>
      </c>
      <c r="E2307" s="8" t="s">
        <v>412</v>
      </c>
      <c r="F2307" s="12" t="s">
        <v>9497</v>
      </c>
      <c r="G2307" s="8" t="s">
        <v>9498</v>
      </c>
      <c r="H2307" s="8" t="s">
        <v>2212</v>
      </c>
      <c r="I2307" s="8" t="s">
        <v>4039</v>
      </c>
    </row>
    <row r="2308" spans="1:9" ht="14.25" customHeight="1" x14ac:dyDescent="0.25">
      <c r="A2308" s="7" t="s">
        <v>9499</v>
      </c>
      <c r="B2308" s="8" t="s">
        <v>6918</v>
      </c>
      <c r="C2308" s="8" t="s">
        <v>9500</v>
      </c>
      <c r="D2308" s="8" t="s">
        <v>411</v>
      </c>
      <c r="E2308" s="8" t="s">
        <v>412</v>
      </c>
      <c r="F2308" s="12" t="s">
        <v>9501</v>
      </c>
      <c r="G2308" s="8" t="s">
        <v>9498</v>
      </c>
      <c r="H2308" s="8" t="s">
        <v>2212</v>
      </c>
      <c r="I2308" s="8" t="s">
        <v>4039</v>
      </c>
    </row>
    <row r="2309" spans="1:9" ht="14.25" customHeight="1" x14ac:dyDescent="0.25">
      <c r="A2309" s="7" t="s">
        <v>9502</v>
      </c>
      <c r="B2309" s="8" t="s">
        <v>9503</v>
      </c>
      <c r="C2309" s="8" t="s">
        <v>9504</v>
      </c>
      <c r="D2309" s="8" t="s">
        <v>411</v>
      </c>
      <c r="E2309" s="8" t="s">
        <v>412</v>
      </c>
      <c r="F2309" s="12" t="s">
        <v>9505</v>
      </c>
      <c r="G2309" s="8"/>
      <c r="H2309" s="8" t="s">
        <v>2212</v>
      </c>
      <c r="I2309" s="8" t="s">
        <v>5347</v>
      </c>
    </row>
    <row r="2310" spans="1:9" ht="14.25" customHeight="1" x14ac:dyDescent="0.25">
      <c r="A2310" s="7" t="s">
        <v>9506</v>
      </c>
      <c r="B2310" s="8" t="s">
        <v>1529</v>
      </c>
      <c r="C2310" s="8" t="s">
        <v>9507</v>
      </c>
      <c r="D2310" s="8" t="s">
        <v>411</v>
      </c>
      <c r="E2310" s="8" t="s">
        <v>412</v>
      </c>
      <c r="F2310" s="11" t="s">
        <v>9508</v>
      </c>
      <c r="G2310" s="8"/>
      <c r="H2310" s="8" t="s">
        <v>9509</v>
      </c>
      <c r="I2310" s="8" t="s">
        <v>4404</v>
      </c>
    </row>
    <row r="2311" spans="1:9" ht="14.25" customHeight="1" x14ac:dyDescent="0.25">
      <c r="A2311" s="7" t="s">
        <v>9510</v>
      </c>
      <c r="B2311" s="8" t="s">
        <v>2537</v>
      </c>
      <c r="C2311" s="8" t="s">
        <v>9511</v>
      </c>
      <c r="D2311" s="8" t="s">
        <v>411</v>
      </c>
      <c r="E2311" s="8" t="s">
        <v>412</v>
      </c>
      <c r="F2311" s="12" t="s">
        <v>9512</v>
      </c>
      <c r="G2311" s="8" t="s">
        <v>9513</v>
      </c>
      <c r="H2311" s="8" t="s">
        <v>92</v>
      </c>
      <c r="I2311" s="8" t="s">
        <v>3756</v>
      </c>
    </row>
    <row r="2312" spans="1:9" ht="14.25" customHeight="1" x14ac:dyDescent="0.25">
      <c r="A2312" s="7" t="s">
        <v>9514</v>
      </c>
      <c r="B2312" s="8" t="s">
        <v>2329</v>
      </c>
      <c r="C2312" s="8" t="s">
        <v>9515</v>
      </c>
      <c r="D2312" s="8" t="s">
        <v>411</v>
      </c>
      <c r="E2312" s="8" t="s">
        <v>412</v>
      </c>
      <c r="F2312" s="12" t="s">
        <v>9516</v>
      </c>
      <c r="G2312" s="8" t="s">
        <v>9517</v>
      </c>
      <c r="H2312" s="8" t="s">
        <v>2212</v>
      </c>
      <c r="I2312" s="8" t="s">
        <v>4371</v>
      </c>
    </row>
    <row r="2313" spans="1:9" ht="14.25" customHeight="1" x14ac:dyDescent="0.25">
      <c r="A2313" s="7" t="s">
        <v>9518</v>
      </c>
      <c r="B2313" s="8" t="s">
        <v>5957</v>
      </c>
      <c r="C2313" s="8" t="s">
        <v>433</v>
      </c>
      <c r="D2313" s="8" t="s">
        <v>411</v>
      </c>
      <c r="E2313" s="8" t="s">
        <v>412</v>
      </c>
      <c r="F2313" s="12" t="s">
        <v>9519</v>
      </c>
      <c r="G2313" s="8" t="s">
        <v>9520</v>
      </c>
      <c r="H2313" s="8" t="s">
        <v>20</v>
      </c>
      <c r="I2313" s="8" t="s">
        <v>4039</v>
      </c>
    </row>
    <row r="2314" spans="1:9" ht="14.25" customHeight="1" x14ac:dyDescent="0.25">
      <c r="A2314" s="7" t="s">
        <v>9521</v>
      </c>
      <c r="B2314" s="8" t="s">
        <v>4283</v>
      </c>
      <c r="C2314" s="8" t="s">
        <v>9522</v>
      </c>
      <c r="D2314" s="8" t="s">
        <v>411</v>
      </c>
      <c r="E2314" s="8" t="s">
        <v>412</v>
      </c>
      <c r="F2314" s="12" t="s">
        <v>9523</v>
      </c>
      <c r="G2314" s="8" t="s">
        <v>9524</v>
      </c>
      <c r="H2314" s="8" t="s">
        <v>37</v>
      </c>
      <c r="I2314" s="8" t="s">
        <v>4039</v>
      </c>
    </row>
    <row r="2315" spans="1:9" ht="14.25" customHeight="1" x14ac:dyDescent="0.25">
      <c r="A2315" s="7" t="s">
        <v>9525</v>
      </c>
      <c r="B2315" s="8" t="s">
        <v>630</v>
      </c>
      <c r="C2315" s="8" t="s">
        <v>9526</v>
      </c>
      <c r="D2315" s="8" t="s">
        <v>411</v>
      </c>
      <c r="E2315" s="8" t="s">
        <v>412</v>
      </c>
      <c r="F2315" s="12" t="s">
        <v>9527</v>
      </c>
      <c r="G2315" s="8" t="s">
        <v>9528</v>
      </c>
      <c r="H2315" s="8" t="s">
        <v>9529</v>
      </c>
      <c r="I2315" s="8" t="s">
        <v>4039</v>
      </c>
    </row>
    <row r="2316" spans="1:9" ht="14.25" customHeight="1" x14ac:dyDescent="0.25">
      <c r="A2316" s="7" t="s">
        <v>9530</v>
      </c>
      <c r="B2316" s="8" t="s">
        <v>1866</v>
      </c>
      <c r="C2316" s="8" t="s">
        <v>9531</v>
      </c>
      <c r="D2316" s="8" t="s">
        <v>411</v>
      </c>
      <c r="E2316" s="8" t="s">
        <v>412</v>
      </c>
      <c r="F2316" s="12" t="s">
        <v>9532</v>
      </c>
      <c r="G2316" s="8" t="s">
        <v>9533</v>
      </c>
      <c r="H2316" s="8" t="s">
        <v>20</v>
      </c>
      <c r="I2316" s="8" t="s">
        <v>3756</v>
      </c>
    </row>
    <row r="2317" spans="1:9" ht="14.25" customHeight="1" x14ac:dyDescent="0.25">
      <c r="A2317" s="7" t="s">
        <v>9534</v>
      </c>
      <c r="B2317" s="8" t="s">
        <v>1228</v>
      </c>
      <c r="C2317" s="8" t="s">
        <v>9535</v>
      </c>
      <c r="D2317" s="8" t="s">
        <v>411</v>
      </c>
      <c r="E2317" s="8" t="s">
        <v>412</v>
      </c>
      <c r="F2317" s="11" t="s">
        <v>9536</v>
      </c>
      <c r="G2317" s="8"/>
      <c r="H2317" s="8"/>
      <c r="I2317" s="8" t="s">
        <v>3756</v>
      </c>
    </row>
    <row r="2318" spans="1:9" ht="14.25" customHeight="1" x14ac:dyDescent="0.25">
      <c r="A2318" s="7" t="s">
        <v>9537</v>
      </c>
      <c r="B2318" s="8" t="s">
        <v>1222</v>
      </c>
      <c r="C2318" s="8" t="s">
        <v>371</v>
      </c>
      <c r="D2318" s="8" t="s">
        <v>411</v>
      </c>
      <c r="E2318" s="8" t="s">
        <v>412</v>
      </c>
      <c r="F2318" s="12" t="s">
        <v>9538</v>
      </c>
      <c r="G2318" s="8" t="s">
        <v>9539</v>
      </c>
      <c r="H2318" s="8" t="s">
        <v>3918</v>
      </c>
      <c r="I2318" s="8" t="s">
        <v>4039</v>
      </c>
    </row>
    <row r="2319" spans="1:9" ht="14.25" customHeight="1" x14ac:dyDescent="0.25">
      <c r="A2319" s="7" t="s">
        <v>9540</v>
      </c>
      <c r="B2319" s="8" t="s">
        <v>2650</v>
      </c>
      <c r="C2319" s="8" t="s">
        <v>9541</v>
      </c>
      <c r="D2319" s="8" t="s">
        <v>3163</v>
      </c>
      <c r="E2319" s="8" t="s">
        <v>412</v>
      </c>
      <c r="F2319" s="11" t="s">
        <v>9542</v>
      </c>
      <c r="G2319" s="8" t="s">
        <v>9543</v>
      </c>
      <c r="H2319" s="8" t="s">
        <v>6255</v>
      </c>
      <c r="I2319" s="8" t="s">
        <v>4039</v>
      </c>
    </row>
    <row r="2320" spans="1:9" ht="14.25" customHeight="1" x14ac:dyDescent="0.25">
      <c r="A2320" s="7" t="s">
        <v>9544</v>
      </c>
      <c r="B2320" s="8" t="s">
        <v>2070</v>
      </c>
      <c r="C2320" s="8" t="s">
        <v>994</v>
      </c>
      <c r="D2320" s="8" t="s">
        <v>411</v>
      </c>
      <c r="E2320" s="8" t="s">
        <v>412</v>
      </c>
      <c r="F2320" s="12" t="s">
        <v>9545</v>
      </c>
      <c r="G2320" s="8" t="s">
        <v>9546</v>
      </c>
      <c r="H2320" s="8" t="s">
        <v>15</v>
      </c>
      <c r="I2320" s="8" t="s">
        <v>4039</v>
      </c>
    </row>
    <row r="2321" spans="1:9" ht="14.25" customHeight="1" x14ac:dyDescent="0.25">
      <c r="A2321" s="7" t="s">
        <v>9547</v>
      </c>
      <c r="B2321" s="8" t="s">
        <v>9548</v>
      </c>
      <c r="C2321" s="8" t="s">
        <v>9549</v>
      </c>
      <c r="D2321" s="8" t="s">
        <v>3163</v>
      </c>
      <c r="E2321" s="8" t="s">
        <v>412</v>
      </c>
      <c r="F2321" s="12" t="s">
        <v>9550</v>
      </c>
      <c r="G2321" s="8" t="s">
        <v>9546</v>
      </c>
      <c r="H2321" s="8" t="s">
        <v>15</v>
      </c>
      <c r="I2321" s="8" t="s">
        <v>4039</v>
      </c>
    </row>
    <row r="2322" spans="1:9" ht="14.25" customHeight="1" x14ac:dyDescent="0.25">
      <c r="A2322" s="7" t="s">
        <v>9551</v>
      </c>
      <c r="B2322" s="8" t="s">
        <v>9552</v>
      </c>
      <c r="C2322" s="8" t="s">
        <v>9553</v>
      </c>
      <c r="D2322" s="8" t="s">
        <v>411</v>
      </c>
      <c r="E2322" s="8" t="s">
        <v>3890</v>
      </c>
      <c r="F2322" s="12" t="s">
        <v>9554</v>
      </c>
      <c r="G2322" s="8" t="s">
        <v>9555</v>
      </c>
      <c r="H2322" s="8" t="s">
        <v>72</v>
      </c>
      <c r="I2322" s="8" t="s">
        <v>4039</v>
      </c>
    </row>
    <row r="2323" spans="1:9" ht="14.25" customHeight="1" x14ac:dyDescent="0.25">
      <c r="A2323" s="7" t="s">
        <v>9556</v>
      </c>
      <c r="B2323" s="8" t="s">
        <v>4033</v>
      </c>
      <c r="C2323" s="8" t="s">
        <v>9557</v>
      </c>
      <c r="D2323" s="8" t="s">
        <v>3163</v>
      </c>
      <c r="E2323" s="8" t="s">
        <v>3890</v>
      </c>
      <c r="F2323" s="12" t="s">
        <v>9558</v>
      </c>
      <c r="G2323" s="8" t="s">
        <v>9555</v>
      </c>
      <c r="H2323" s="8" t="s">
        <v>72</v>
      </c>
      <c r="I2323" s="8" t="s">
        <v>4039</v>
      </c>
    </row>
    <row r="2324" spans="1:9" ht="14.25" customHeight="1" x14ac:dyDescent="0.25">
      <c r="A2324" s="7" t="s">
        <v>8957</v>
      </c>
      <c r="B2324" s="8" t="s">
        <v>8958</v>
      </c>
      <c r="C2324" s="8" t="s">
        <v>8959</v>
      </c>
      <c r="D2324" s="8" t="s">
        <v>3163</v>
      </c>
      <c r="E2324" s="8" t="s">
        <v>412</v>
      </c>
      <c r="F2324" s="12" t="s">
        <v>8960</v>
      </c>
      <c r="G2324" s="8" t="s">
        <v>8961</v>
      </c>
      <c r="H2324" s="8" t="s">
        <v>2212</v>
      </c>
      <c r="I2324" s="8" t="s">
        <v>4039</v>
      </c>
    </row>
    <row r="2325" spans="1:9" ht="14.25" customHeight="1" x14ac:dyDescent="0.25">
      <c r="A2325" s="7" t="s">
        <v>9559</v>
      </c>
      <c r="B2325" s="8" t="s">
        <v>9560</v>
      </c>
      <c r="C2325" s="8" t="s">
        <v>9561</v>
      </c>
      <c r="D2325" s="8" t="s">
        <v>411</v>
      </c>
      <c r="E2325" s="8" t="s">
        <v>3865</v>
      </c>
      <c r="F2325" s="12" t="s">
        <v>9562</v>
      </c>
      <c r="G2325" s="8" t="s">
        <v>9563</v>
      </c>
      <c r="H2325" s="8" t="s">
        <v>49</v>
      </c>
      <c r="I2325" s="8" t="s">
        <v>3756</v>
      </c>
    </row>
    <row r="2326" spans="1:9" ht="14.25" customHeight="1" x14ac:dyDescent="0.25">
      <c r="A2326" s="7" t="s">
        <v>9564</v>
      </c>
      <c r="B2326" s="8" t="s">
        <v>68</v>
      </c>
      <c r="C2326" s="8" t="s">
        <v>9565</v>
      </c>
      <c r="D2326" s="8" t="s">
        <v>411</v>
      </c>
      <c r="E2326" s="8" t="s">
        <v>412</v>
      </c>
      <c r="F2326" s="12" t="s">
        <v>9566</v>
      </c>
      <c r="G2326" s="8" t="s">
        <v>9567</v>
      </c>
      <c r="H2326" s="8" t="s">
        <v>37</v>
      </c>
      <c r="I2326" s="8" t="s">
        <v>3756</v>
      </c>
    </row>
    <row r="2327" spans="1:9" ht="14.25" customHeight="1" x14ac:dyDescent="0.25">
      <c r="A2327" s="7" t="s">
        <v>9568</v>
      </c>
      <c r="B2327" s="8" t="s">
        <v>155</v>
      </c>
      <c r="C2327" s="8" t="s">
        <v>9569</v>
      </c>
      <c r="D2327" s="8" t="s">
        <v>3163</v>
      </c>
      <c r="E2327" s="8" t="s">
        <v>3890</v>
      </c>
      <c r="F2327" s="12" t="s">
        <v>9570</v>
      </c>
      <c r="G2327" s="8" t="s">
        <v>9571</v>
      </c>
      <c r="H2327" s="8" t="s">
        <v>49</v>
      </c>
      <c r="I2327" s="8" t="s">
        <v>4039</v>
      </c>
    </row>
    <row r="2328" spans="1:9" ht="14.25" customHeight="1" x14ac:dyDescent="0.25">
      <c r="A2328" s="7" t="s">
        <v>9572</v>
      </c>
      <c r="B2328" s="8" t="s">
        <v>4089</v>
      </c>
      <c r="C2328" s="8" t="s">
        <v>9573</v>
      </c>
      <c r="D2328" s="8" t="s">
        <v>411</v>
      </c>
      <c r="E2328" s="8" t="s">
        <v>3890</v>
      </c>
      <c r="F2328" s="12" t="s">
        <v>9574</v>
      </c>
      <c r="G2328" s="8" t="s">
        <v>9571</v>
      </c>
      <c r="H2328" s="8" t="s">
        <v>49</v>
      </c>
      <c r="I2328" s="8" t="s">
        <v>4039</v>
      </c>
    </row>
    <row r="2329" spans="1:9" ht="14.25" customHeight="1" x14ac:dyDescent="0.25">
      <c r="A2329" s="7" t="s">
        <v>9575</v>
      </c>
      <c r="B2329" s="8" t="s">
        <v>1676</v>
      </c>
      <c r="C2329" s="8" t="s">
        <v>9576</v>
      </c>
      <c r="D2329" s="8" t="s">
        <v>411</v>
      </c>
      <c r="E2329" s="8" t="s">
        <v>412</v>
      </c>
      <c r="F2329" s="12" t="s">
        <v>9577</v>
      </c>
      <c r="G2329" s="8" t="s">
        <v>9578</v>
      </c>
      <c r="H2329" s="8" t="s">
        <v>37</v>
      </c>
      <c r="I2329" s="8" t="s">
        <v>3756</v>
      </c>
    </row>
    <row r="2330" spans="1:9" ht="14.25" customHeight="1" x14ac:dyDescent="0.25">
      <c r="A2330" s="7" t="s">
        <v>9579</v>
      </c>
      <c r="B2330" s="8" t="s">
        <v>9580</v>
      </c>
      <c r="C2330" s="8" t="s">
        <v>9581</v>
      </c>
      <c r="D2330" s="8" t="s">
        <v>3163</v>
      </c>
      <c r="E2330" s="8" t="s">
        <v>412</v>
      </c>
      <c r="F2330" s="12" t="s">
        <v>9582</v>
      </c>
      <c r="G2330" s="8" t="s">
        <v>9583</v>
      </c>
      <c r="H2330" s="8" t="s">
        <v>9584</v>
      </c>
      <c r="I2330" s="8" t="s">
        <v>4039</v>
      </c>
    </row>
    <row r="2331" spans="1:9" ht="14.25" customHeight="1" x14ac:dyDescent="0.25">
      <c r="A2331" s="7" t="s">
        <v>9585</v>
      </c>
      <c r="B2331" s="8" t="s">
        <v>382</v>
      </c>
      <c r="C2331" s="8" t="s">
        <v>9586</v>
      </c>
      <c r="D2331" s="8" t="s">
        <v>411</v>
      </c>
      <c r="E2331" s="8" t="s">
        <v>3890</v>
      </c>
      <c r="F2331" s="12" t="s">
        <v>9587</v>
      </c>
      <c r="G2331" s="8" t="s">
        <v>9588</v>
      </c>
      <c r="H2331" s="8" t="s">
        <v>92</v>
      </c>
      <c r="I2331" s="8" t="s">
        <v>4039</v>
      </c>
    </row>
    <row r="2332" spans="1:9" ht="14.25" customHeight="1" x14ac:dyDescent="0.25">
      <c r="A2332" s="7" t="s">
        <v>9589</v>
      </c>
      <c r="B2332" s="8" t="s">
        <v>1808</v>
      </c>
      <c r="C2332" s="8" t="s">
        <v>9590</v>
      </c>
      <c r="D2332" s="8" t="s">
        <v>3163</v>
      </c>
      <c r="E2332" s="8" t="s">
        <v>3890</v>
      </c>
      <c r="F2332" s="12" t="s">
        <v>9591</v>
      </c>
      <c r="G2332" s="8" t="s">
        <v>9588</v>
      </c>
      <c r="H2332" s="8" t="s">
        <v>92</v>
      </c>
      <c r="I2332" s="8" t="s">
        <v>4039</v>
      </c>
    </row>
    <row r="2333" spans="1:9" ht="14.25" customHeight="1" x14ac:dyDescent="0.25">
      <c r="A2333" s="7" t="s">
        <v>9592</v>
      </c>
      <c r="B2333" s="8" t="s">
        <v>9593</v>
      </c>
      <c r="C2333" s="8" t="s">
        <v>9594</v>
      </c>
      <c r="D2333" s="8" t="s">
        <v>3163</v>
      </c>
      <c r="E2333" s="8" t="s">
        <v>412</v>
      </c>
      <c r="F2333" s="12" t="s">
        <v>9595</v>
      </c>
      <c r="G2333" s="8" t="s">
        <v>9596</v>
      </c>
      <c r="H2333" s="8">
        <v>68300</v>
      </c>
      <c r="I2333" s="8" t="s">
        <v>3756</v>
      </c>
    </row>
    <row r="2334" spans="1:9" ht="14.25" customHeight="1" x14ac:dyDescent="0.25">
      <c r="A2334" s="7" t="s">
        <v>9597</v>
      </c>
      <c r="B2334" s="8" t="s">
        <v>2150</v>
      </c>
      <c r="C2334" s="8" t="s">
        <v>9598</v>
      </c>
      <c r="D2334" s="8" t="s">
        <v>411</v>
      </c>
      <c r="E2334" s="8" t="s">
        <v>3890</v>
      </c>
      <c r="F2334" s="12" t="s">
        <v>9599</v>
      </c>
      <c r="G2334" s="8" t="s">
        <v>9600</v>
      </c>
      <c r="H2334" s="8" t="s">
        <v>9601</v>
      </c>
      <c r="I2334" s="8" t="s">
        <v>3756</v>
      </c>
    </row>
    <row r="2335" spans="1:9" ht="14.25" customHeight="1" x14ac:dyDescent="0.25">
      <c r="A2335" s="7" t="s">
        <v>9602</v>
      </c>
      <c r="B2335" s="8" t="s">
        <v>6815</v>
      </c>
      <c r="C2335" s="8" t="s">
        <v>9603</v>
      </c>
      <c r="D2335" s="8" t="s">
        <v>3163</v>
      </c>
      <c r="E2335" s="8" t="s">
        <v>3890</v>
      </c>
      <c r="F2335" s="12" t="s">
        <v>9604</v>
      </c>
      <c r="G2335" s="8" t="s">
        <v>9600</v>
      </c>
      <c r="H2335" s="8" t="s">
        <v>9601</v>
      </c>
      <c r="I2335" s="8" t="s">
        <v>3756</v>
      </c>
    </row>
    <row r="2336" spans="1:9" ht="14.25" customHeight="1" x14ac:dyDescent="0.25">
      <c r="A2336" s="7" t="s">
        <v>9605</v>
      </c>
      <c r="B2336" s="8" t="s">
        <v>2144</v>
      </c>
      <c r="C2336" s="8" t="s">
        <v>5385</v>
      </c>
      <c r="D2336" s="8" t="s">
        <v>411</v>
      </c>
      <c r="E2336" s="8" t="s">
        <v>412</v>
      </c>
      <c r="F2336" s="12" t="s">
        <v>9606</v>
      </c>
      <c r="G2336" s="8" t="s">
        <v>9607</v>
      </c>
      <c r="H2336" s="8" t="s">
        <v>9608</v>
      </c>
      <c r="I2336" s="8" t="s">
        <v>3756</v>
      </c>
    </row>
    <row r="2337" spans="1:9" ht="14.25" customHeight="1" x14ac:dyDescent="0.25">
      <c r="A2337" s="7" t="s">
        <v>9609</v>
      </c>
      <c r="B2337" s="8" t="s">
        <v>3229</v>
      </c>
      <c r="C2337" s="8" t="s">
        <v>9610</v>
      </c>
      <c r="D2337" s="8" t="s">
        <v>3163</v>
      </c>
      <c r="E2337" s="8" t="s">
        <v>412</v>
      </c>
      <c r="F2337" s="12" t="s">
        <v>9611</v>
      </c>
      <c r="G2337" s="8" t="s">
        <v>9612</v>
      </c>
      <c r="H2337" s="8" t="s">
        <v>4330</v>
      </c>
      <c r="I2337" s="8" t="s">
        <v>4039</v>
      </c>
    </row>
    <row r="2338" spans="1:9" ht="14.25" customHeight="1" x14ac:dyDescent="0.25">
      <c r="A2338" s="7" t="s">
        <v>9613</v>
      </c>
      <c r="B2338" s="8" t="s">
        <v>9614</v>
      </c>
      <c r="C2338" s="8" t="s">
        <v>9615</v>
      </c>
      <c r="D2338" s="8" t="s">
        <v>3163</v>
      </c>
      <c r="E2338" s="8" t="s">
        <v>412</v>
      </c>
      <c r="F2338" s="12" t="s">
        <v>9616</v>
      </c>
      <c r="G2338" s="8" t="s">
        <v>6201</v>
      </c>
      <c r="H2338" s="8" t="s">
        <v>2212</v>
      </c>
      <c r="I2338" s="8" t="s">
        <v>4039</v>
      </c>
    </row>
    <row r="2339" spans="1:9" ht="14.25" customHeight="1" x14ac:dyDescent="0.25">
      <c r="A2339" s="19" t="s">
        <v>9617</v>
      </c>
      <c r="B2339" s="8" t="s">
        <v>4307</v>
      </c>
      <c r="C2339" s="8" t="s">
        <v>9492</v>
      </c>
      <c r="D2339" s="8" t="s">
        <v>411</v>
      </c>
      <c r="E2339" s="8" t="s">
        <v>412</v>
      </c>
      <c r="F2339" s="12" t="s">
        <v>9493</v>
      </c>
      <c r="G2339" s="8" t="s">
        <v>9618</v>
      </c>
      <c r="H2339" s="8" t="s">
        <v>9494</v>
      </c>
      <c r="I2339" s="8" t="s">
        <v>3756</v>
      </c>
    </row>
    <row r="2340" spans="1:9" ht="14.25" customHeight="1" x14ac:dyDescent="0.25">
      <c r="A2340" s="7" t="s">
        <v>9619</v>
      </c>
      <c r="B2340" s="8" t="s">
        <v>9620</v>
      </c>
      <c r="C2340" s="8" t="s">
        <v>4563</v>
      </c>
      <c r="D2340" s="8" t="s">
        <v>411</v>
      </c>
      <c r="E2340" s="8" t="s">
        <v>412</v>
      </c>
      <c r="F2340" s="12" t="s">
        <v>9621</v>
      </c>
      <c r="G2340" s="8" t="s">
        <v>9622</v>
      </c>
      <c r="H2340" s="8" t="s">
        <v>72</v>
      </c>
      <c r="I2340" s="8" t="s">
        <v>4039</v>
      </c>
    </row>
    <row r="2341" spans="1:9" ht="14.25" customHeight="1" x14ac:dyDescent="0.25">
      <c r="A2341" s="7" t="s">
        <v>9623</v>
      </c>
      <c r="B2341" s="8" t="s">
        <v>659</v>
      </c>
      <c r="C2341" s="8" t="s">
        <v>9624</v>
      </c>
      <c r="D2341" s="8" t="s">
        <v>3163</v>
      </c>
      <c r="E2341" s="8" t="s">
        <v>412</v>
      </c>
      <c r="F2341" s="12" t="s">
        <v>9625</v>
      </c>
      <c r="G2341" s="8" t="s">
        <v>9626</v>
      </c>
      <c r="H2341" s="8" t="s">
        <v>15</v>
      </c>
      <c r="I2341" s="8" t="s">
        <v>4371</v>
      </c>
    </row>
    <row r="2342" spans="1:9" ht="14.25" customHeight="1" x14ac:dyDescent="0.25">
      <c r="A2342" s="7" t="s">
        <v>9627</v>
      </c>
      <c r="B2342" s="8" t="s">
        <v>877</v>
      </c>
      <c r="C2342" s="8" t="s">
        <v>8375</v>
      </c>
      <c r="D2342" s="8" t="s">
        <v>3163</v>
      </c>
      <c r="E2342" s="8" t="s">
        <v>412</v>
      </c>
      <c r="F2342" s="12" t="s">
        <v>9628</v>
      </c>
      <c r="G2342" s="8" t="s">
        <v>9629</v>
      </c>
      <c r="H2342" s="8" t="s">
        <v>6698</v>
      </c>
      <c r="I2342" s="8" t="s">
        <v>3756</v>
      </c>
    </row>
    <row r="2343" spans="1:9" ht="14.25" customHeight="1" x14ac:dyDescent="0.25">
      <c r="A2343" s="7" t="s">
        <v>9630</v>
      </c>
      <c r="B2343" s="8" t="s">
        <v>9631</v>
      </c>
      <c r="C2343" s="8" t="s">
        <v>9632</v>
      </c>
      <c r="D2343" s="8" t="s">
        <v>411</v>
      </c>
      <c r="E2343" s="8" t="s">
        <v>412</v>
      </c>
      <c r="F2343" s="12" t="s">
        <v>9633</v>
      </c>
      <c r="G2343" s="8" t="s">
        <v>9634</v>
      </c>
      <c r="H2343" s="8" t="s">
        <v>37</v>
      </c>
      <c r="I2343" s="8" t="s">
        <v>5347</v>
      </c>
    </row>
    <row r="2344" spans="1:9" ht="14.25" customHeight="1" x14ac:dyDescent="0.25">
      <c r="A2344" s="7" t="s">
        <v>9635</v>
      </c>
      <c r="B2344" s="8" t="s">
        <v>9636</v>
      </c>
      <c r="C2344" s="8" t="s">
        <v>1304</v>
      </c>
      <c r="D2344" s="8" t="s">
        <v>3163</v>
      </c>
      <c r="E2344" s="8" t="s">
        <v>3890</v>
      </c>
      <c r="F2344" s="12" t="s">
        <v>9637</v>
      </c>
      <c r="G2344" s="8" t="s">
        <v>9638</v>
      </c>
      <c r="H2344" s="8" t="s">
        <v>92</v>
      </c>
      <c r="I2344" s="8" t="s">
        <v>3756</v>
      </c>
    </row>
    <row r="2345" spans="1:9" ht="14.25" customHeight="1" x14ac:dyDescent="0.25">
      <c r="A2345" s="7" t="s">
        <v>9639</v>
      </c>
      <c r="B2345" s="8" t="s">
        <v>4719</v>
      </c>
      <c r="C2345" s="8" t="s">
        <v>1474</v>
      </c>
      <c r="D2345" s="8" t="s">
        <v>411</v>
      </c>
      <c r="E2345" s="8" t="s">
        <v>3890</v>
      </c>
      <c r="F2345" s="12" t="s">
        <v>9640</v>
      </c>
      <c r="G2345" s="8" t="s">
        <v>9638</v>
      </c>
      <c r="H2345" s="8" t="s">
        <v>92</v>
      </c>
      <c r="I2345" s="8" t="s">
        <v>3756</v>
      </c>
    </row>
    <row r="2346" spans="1:9" ht="14.25" customHeight="1" x14ac:dyDescent="0.25">
      <c r="A2346" s="7" t="s">
        <v>9641</v>
      </c>
      <c r="B2346" s="8" t="s">
        <v>9642</v>
      </c>
      <c r="C2346" s="8" t="s">
        <v>9643</v>
      </c>
      <c r="D2346" s="8" t="s">
        <v>3163</v>
      </c>
      <c r="E2346" s="8" t="s">
        <v>412</v>
      </c>
      <c r="F2346" s="12" t="s">
        <v>9644</v>
      </c>
      <c r="G2346" s="8" t="s">
        <v>9645</v>
      </c>
      <c r="H2346" s="8" t="s">
        <v>6559</v>
      </c>
      <c r="I2346" s="8" t="s">
        <v>3756</v>
      </c>
    </row>
    <row r="2347" spans="1:9" ht="14.25" customHeight="1" x14ac:dyDescent="0.25">
      <c r="A2347" s="7" t="s">
        <v>9646</v>
      </c>
      <c r="B2347" s="8" t="s">
        <v>437</v>
      </c>
      <c r="C2347" s="8" t="s">
        <v>9647</v>
      </c>
      <c r="D2347" s="8" t="s">
        <v>411</v>
      </c>
      <c r="E2347" s="8" t="s">
        <v>412</v>
      </c>
      <c r="F2347" s="12" t="s">
        <v>9648</v>
      </c>
      <c r="G2347" s="8" t="s">
        <v>9649</v>
      </c>
      <c r="H2347" s="8" t="s">
        <v>7748</v>
      </c>
      <c r="I2347" s="8" t="s">
        <v>3756</v>
      </c>
    </row>
    <row r="2348" spans="1:9" ht="14.25" customHeight="1" x14ac:dyDescent="0.25">
      <c r="A2348" s="7" t="s">
        <v>9650</v>
      </c>
      <c r="B2348" s="8" t="s">
        <v>9651</v>
      </c>
      <c r="C2348" s="8" t="s">
        <v>9652</v>
      </c>
      <c r="D2348" s="8" t="s">
        <v>3163</v>
      </c>
      <c r="E2348" s="8" t="s">
        <v>412</v>
      </c>
      <c r="F2348" s="12" t="s">
        <v>9653</v>
      </c>
      <c r="G2348" s="8" t="s">
        <v>9654</v>
      </c>
      <c r="H2348" s="8" t="s">
        <v>5925</v>
      </c>
      <c r="I2348" s="8" t="s">
        <v>4039</v>
      </c>
    </row>
    <row r="2349" spans="1:9" ht="14.25" customHeight="1" x14ac:dyDescent="0.25">
      <c r="A2349" s="7" t="s">
        <v>9655</v>
      </c>
      <c r="B2349" s="8" t="s">
        <v>9656</v>
      </c>
      <c r="C2349" s="8" t="s">
        <v>8835</v>
      </c>
      <c r="D2349" s="8" t="s">
        <v>3163</v>
      </c>
      <c r="E2349" s="8" t="s">
        <v>412</v>
      </c>
      <c r="F2349" s="12" t="s">
        <v>9657</v>
      </c>
      <c r="G2349" s="8" t="s">
        <v>9658</v>
      </c>
      <c r="H2349" s="8" t="s">
        <v>25</v>
      </c>
      <c r="I2349" s="8" t="s">
        <v>4039</v>
      </c>
    </row>
    <row r="2350" spans="1:9" ht="14.25" customHeight="1" x14ac:dyDescent="0.25">
      <c r="A2350" s="7" t="s">
        <v>9659</v>
      </c>
      <c r="B2350" s="8" t="s">
        <v>2847</v>
      </c>
      <c r="C2350" s="8" t="s">
        <v>9660</v>
      </c>
      <c r="D2350" s="8" t="s">
        <v>411</v>
      </c>
      <c r="E2350" s="8" t="s">
        <v>412</v>
      </c>
      <c r="F2350" s="12" t="s">
        <v>9661</v>
      </c>
      <c r="G2350" s="8" t="s">
        <v>9662</v>
      </c>
      <c r="H2350" s="8" t="s">
        <v>9663</v>
      </c>
      <c r="I2350" s="8" t="s">
        <v>4039</v>
      </c>
    </row>
    <row r="2351" spans="1:9" ht="14.25" customHeight="1" x14ac:dyDescent="0.25">
      <c r="A2351" s="7" t="s">
        <v>9664</v>
      </c>
      <c r="B2351" s="8" t="s">
        <v>1375</v>
      </c>
      <c r="C2351" s="8" t="s">
        <v>9665</v>
      </c>
      <c r="D2351" s="8" t="s">
        <v>411</v>
      </c>
      <c r="E2351" s="8" t="s">
        <v>412</v>
      </c>
      <c r="F2351" s="12" t="s">
        <v>9666</v>
      </c>
      <c r="G2351" s="8" t="s">
        <v>9667</v>
      </c>
      <c r="H2351" s="8" t="s">
        <v>5392</v>
      </c>
      <c r="I2351" s="8" t="s">
        <v>5347</v>
      </c>
    </row>
    <row r="2352" spans="1:9" ht="14.25" customHeight="1" x14ac:dyDescent="0.25">
      <c r="A2352" s="7" t="s">
        <v>9668</v>
      </c>
      <c r="B2352" s="8" t="s">
        <v>7625</v>
      </c>
      <c r="C2352" s="8" t="s">
        <v>2319</v>
      </c>
      <c r="D2352" s="8" t="s">
        <v>411</v>
      </c>
      <c r="E2352" s="8" t="s">
        <v>3865</v>
      </c>
      <c r="F2352" s="12" t="s">
        <v>9669</v>
      </c>
      <c r="G2352" s="8" t="s">
        <v>9670</v>
      </c>
      <c r="H2352" s="8" t="s">
        <v>49</v>
      </c>
      <c r="I2352" s="8" t="s">
        <v>3756</v>
      </c>
    </row>
    <row r="2353" spans="1:9" ht="14.25" customHeight="1" x14ac:dyDescent="0.25">
      <c r="A2353" s="7" t="s">
        <v>9671</v>
      </c>
      <c r="B2353" s="8" t="s">
        <v>5470</v>
      </c>
      <c r="C2353" s="8" t="s">
        <v>9672</v>
      </c>
      <c r="D2353" s="8" t="s">
        <v>411</v>
      </c>
      <c r="E2353" s="8" t="s">
        <v>412</v>
      </c>
      <c r="F2353" s="12" t="s">
        <v>9673</v>
      </c>
      <c r="G2353" s="8" t="s">
        <v>9674</v>
      </c>
      <c r="H2353" s="8" t="s">
        <v>4651</v>
      </c>
      <c r="I2353" s="8" t="s">
        <v>3756</v>
      </c>
    </row>
    <row r="2354" spans="1:9" ht="14.25" customHeight="1" x14ac:dyDescent="0.25">
      <c r="A2354" s="7" t="s">
        <v>9675</v>
      </c>
      <c r="B2354" s="8" t="s">
        <v>7648</v>
      </c>
      <c r="C2354" s="8" t="s">
        <v>9676</v>
      </c>
      <c r="D2354" s="8" t="s">
        <v>411</v>
      </c>
      <c r="E2354" s="8" t="s">
        <v>412</v>
      </c>
      <c r="F2354" s="12" t="s">
        <v>9677</v>
      </c>
      <c r="G2354" s="8" t="s">
        <v>9678</v>
      </c>
      <c r="H2354" s="8" t="s">
        <v>72</v>
      </c>
      <c r="I2354" s="8" t="s">
        <v>3756</v>
      </c>
    </row>
    <row r="2355" spans="1:9" ht="14.25" customHeight="1" x14ac:dyDescent="0.25">
      <c r="A2355" s="7" t="s">
        <v>9679</v>
      </c>
      <c r="B2355" s="8" t="s">
        <v>2165</v>
      </c>
      <c r="C2355" s="8" t="s">
        <v>9680</v>
      </c>
      <c r="D2355" s="8" t="s">
        <v>3163</v>
      </c>
      <c r="E2355" s="8" t="s">
        <v>412</v>
      </c>
      <c r="F2355" s="12" t="s">
        <v>9681</v>
      </c>
      <c r="G2355" s="8" t="s">
        <v>9682</v>
      </c>
      <c r="H2355" s="8" t="s">
        <v>6255</v>
      </c>
      <c r="I2355" s="8" t="s">
        <v>4039</v>
      </c>
    </row>
    <row r="2356" spans="1:9" ht="14.25" customHeight="1" x14ac:dyDescent="0.25">
      <c r="A2356" s="7" t="s">
        <v>9683</v>
      </c>
      <c r="B2356" s="8" t="s">
        <v>319</v>
      </c>
      <c r="C2356" s="8" t="s">
        <v>9684</v>
      </c>
      <c r="D2356" s="8" t="s">
        <v>411</v>
      </c>
      <c r="E2356" s="8" t="s">
        <v>412</v>
      </c>
      <c r="F2356" s="12" t="s">
        <v>9685</v>
      </c>
      <c r="G2356" s="8" t="s">
        <v>9686</v>
      </c>
      <c r="H2356" s="8" t="s">
        <v>7784</v>
      </c>
      <c r="I2356" s="8" t="s">
        <v>4039</v>
      </c>
    </row>
    <row r="2357" spans="1:9" ht="14.25" customHeight="1" x14ac:dyDescent="0.25">
      <c r="A2357" s="7" t="s">
        <v>9687</v>
      </c>
      <c r="B2357" s="8" t="s">
        <v>9688</v>
      </c>
      <c r="C2357" s="8" t="s">
        <v>9689</v>
      </c>
      <c r="D2357" s="8" t="s">
        <v>411</v>
      </c>
      <c r="E2357" s="8" t="s">
        <v>412</v>
      </c>
      <c r="F2357" s="12" t="s">
        <v>9690</v>
      </c>
      <c r="G2357" s="8" t="s">
        <v>9691</v>
      </c>
      <c r="H2357" s="8" t="s">
        <v>2212</v>
      </c>
      <c r="I2357" s="8" t="s">
        <v>4039</v>
      </c>
    </row>
    <row r="2358" spans="1:9" ht="14.25" customHeight="1" x14ac:dyDescent="0.25">
      <c r="A2358" s="7" t="s">
        <v>9692</v>
      </c>
      <c r="B2358" s="8" t="s">
        <v>9693</v>
      </c>
      <c r="C2358" s="8" t="s">
        <v>3738</v>
      </c>
      <c r="D2358" s="8" t="s">
        <v>3163</v>
      </c>
      <c r="E2358" s="8" t="s">
        <v>412</v>
      </c>
      <c r="F2358" s="12" t="s">
        <v>9694</v>
      </c>
      <c r="G2358" s="8" t="s">
        <v>9695</v>
      </c>
      <c r="H2358" s="8" t="s">
        <v>61</v>
      </c>
      <c r="I2358" s="8" t="s">
        <v>3756</v>
      </c>
    </row>
    <row r="2359" spans="1:9" ht="14.25" customHeight="1" x14ac:dyDescent="0.25">
      <c r="A2359" s="7" t="s">
        <v>9696</v>
      </c>
      <c r="B2359" s="8" t="s">
        <v>9697</v>
      </c>
      <c r="C2359" s="8" t="s">
        <v>9698</v>
      </c>
      <c r="D2359" s="8" t="s">
        <v>3163</v>
      </c>
      <c r="E2359" s="8" t="s">
        <v>412</v>
      </c>
      <c r="F2359" s="12" t="s">
        <v>9699</v>
      </c>
      <c r="G2359" s="8" t="s">
        <v>9700</v>
      </c>
      <c r="H2359" s="8" t="s">
        <v>9701</v>
      </c>
      <c r="I2359" s="8" t="s">
        <v>4039</v>
      </c>
    </row>
    <row r="2360" spans="1:9" ht="14.25" customHeight="1" x14ac:dyDescent="0.25">
      <c r="A2360" s="7" t="s">
        <v>9702</v>
      </c>
      <c r="B2360" s="8" t="s">
        <v>944</v>
      </c>
      <c r="C2360" s="8" t="s">
        <v>1403</v>
      </c>
      <c r="D2360" s="8" t="s">
        <v>411</v>
      </c>
      <c r="E2360" s="8" t="s">
        <v>412</v>
      </c>
      <c r="F2360" s="12" t="s">
        <v>9703</v>
      </c>
      <c r="G2360" s="8" t="s">
        <v>9704</v>
      </c>
      <c r="H2360" s="8" t="s">
        <v>3820</v>
      </c>
      <c r="I2360" s="8" t="s">
        <v>4371</v>
      </c>
    </row>
    <row r="2361" spans="1:9" ht="14.25" customHeight="1" x14ac:dyDescent="0.25">
      <c r="A2361" s="7" t="s">
        <v>9705</v>
      </c>
      <c r="B2361" s="8" t="s">
        <v>877</v>
      </c>
      <c r="C2361" s="8" t="s">
        <v>691</v>
      </c>
      <c r="D2361" s="8" t="s">
        <v>3163</v>
      </c>
      <c r="E2361" s="8" t="s">
        <v>412</v>
      </c>
      <c r="F2361" s="11" t="s">
        <v>9706</v>
      </c>
      <c r="G2361" s="8" t="s">
        <v>9707</v>
      </c>
      <c r="H2361" s="8" t="s">
        <v>9708</v>
      </c>
      <c r="I2361" s="8" t="s">
        <v>3756</v>
      </c>
    </row>
    <row r="2362" spans="1:9" ht="14.25" customHeight="1" x14ac:dyDescent="0.25">
      <c r="A2362" s="7" t="s">
        <v>9709</v>
      </c>
      <c r="B2362" s="8" t="s">
        <v>5586</v>
      </c>
      <c r="C2362" s="8" t="s">
        <v>9710</v>
      </c>
      <c r="D2362" s="8" t="s">
        <v>411</v>
      </c>
      <c r="E2362" s="8" t="s">
        <v>412</v>
      </c>
      <c r="F2362" s="11" t="s">
        <v>9711</v>
      </c>
      <c r="G2362" s="8" t="s">
        <v>9712</v>
      </c>
      <c r="H2362" s="8" t="s">
        <v>9713</v>
      </c>
      <c r="I2362" s="8" t="s">
        <v>9222</v>
      </c>
    </row>
    <row r="2363" spans="1:9" ht="14.25" customHeight="1" x14ac:dyDescent="0.25">
      <c r="A2363" s="7" t="s">
        <v>9714</v>
      </c>
      <c r="B2363" s="8" t="s">
        <v>7953</v>
      </c>
      <c r="C2363" s="8" t="s">
        <v>9715</v>
      </c>
      <c r="D2363" s="8" t="s">
        <v>411</v>
      </c>
      <c r="E2363" s="8" t="s">
        <v>412</v>
      </c>
      <c r="F2363" s="12" t="s">
        <v>9716</v>
      </c>
      <c r="G2363" s="8" t="s">
        <v>9717</v>
      </c>
      <c r="H2363" s="8" t="s">
        <v>25</v>
      </c>
      <c r="I2363" s="8" t="s">
        <v>4039</v>
      </c>
    </row>
    <row r="2364" spans="1:9" ht="14.25" customHeight="1" x14ac:dyDescent="0.25">
      <c r="A2364" s="7" t="s">
        <v>9718</v>
      </c>
      <c r="B2364" s="8" t="s">
        <v>659</v>
      </c>
      <c r="C2364" s="8" t="s">
        <v>9624</v>
      </c>
      <c r="D2364" s="8" t="s">
        <v>3163</v>
      </c>
      <c r="E2364" s="8" t="s">
        <v>412</v>
      </c>
      <c r="F2364" s="8" t="s">
        <v>9625</v>
      </c>
      <c r="G2364" s="8" t="s">
        <v>9626</v>
      </c>
      <c r="H2364" s="8" t="s">
        <v>8266</v>
      </c>
      <c r="I2364" s="8" t="s">
        <v>4371</v>
      </c>
    </row>
    <row r="2365" spans="1:9" ht="14.25" customHeight="1" x14ac:dyDescent="0.25">
      <c r="A2365" s="7" t="s">
        <v>9719</v>
      </c>
      <c r="B2365" s="8" t="s">
        <v>6139</v>
      </c>
      <c r="C2365" s="8" t="s">
        <v>9720</v>
      </c>
      <c r="D2365" s="8" t="s">
        <v>411</v>
      </c>
      <c r="E2365" s="8" t="s">
        <v>412</v>
      </c>
      <c r="F2365" s="12" t="s">
        <v>9721</v>
      </c>
      <c r="G2365" s="8" t="s">
        <v>9722</v>
      </c>
      <c r="H2365" s="8" t="s">
        <v>8084</v>
      </c>
      <c r="I2365" s="8" t="s">
        <v>4039</v>
      </c>
    </row>
    <row r="2366" spans="1:9" ht="14.25" customHeight="1" x14ac:dyDescent="0.25">
      <c r="A2366" s="7" t="s">
        <v>9723</v>
      </c>
      <c r="B2366" s="8" t="s">
        <v>3421</v>
      </c>
      <c r="C2366" s="8" t="s">
        <v>9724</v>
      </c>
      <c r="D2366" s="8" t="s">
        <v>3163</v>
      </c>
      <c r="E2366" s="8" t="s">
        <v>3890</v>
      </c>
      <c r="F2366" s="12" t="s">
        <v>9725</v>
      </c>
      <c r="G2366" s="8" t="s">
        <v>9726</v>
      </c>
      <c r="H2366" s="8" t="s">
        <v>6143</v>
      </c>
      <c r="I2366" s="8" t="s">
        <v>4039</v>
      </c>
    </row>
    <row r="2367" spans="1:9" ht="14.25" customHeight="1" x14ac:dyDescent="0.25">
      <c r="A2367" s="7" t="s">
        <v>9727</v>
      </c>
      <c r="B2367" s="8" t="s">
        <v>3127</v>
      </c>
      <c r="C2367" s="8" t="s">
        <v>9728</v>
      </c>
      <c r="D2367" s="8" t="s">
        <v>411</v>
      </c>
      <c r="E2367" s="8" t="s">
        <v>3890</v>
      </c>
      <c r="F2367" s="12" t="s">
        <v>9729</v>
      </c>
      <c r="G2367" s="8" t="s">
        <v>9726</v>
      </c>
      <c r="H2367" s="8" t="s">
        <v>6143</v>
      </c>
      <c r="I2367" s="8" t="s">
        <v>4039</v>
      </c>
    </row>
    <row r="2368" spans="1:9" ht="14.25" customHeight="1" x14ac:dyDescent="0.25">
      <c r="A2368" s="7" t="s">
        <v>9730</v>
      </c>
      <c r="B2368" s="8" t="s">
        <v>9731</v>
      </c>
      <c r="C2368" s="8" t="s">
        <v>9732</v>
      </c>
      <c r="D2368" s="8" t="s">
        <v>411</v>
      </c>
      <c r="E2368" s="8" t="s">
        <v>412</v>
      </c>
      <c r="F2368" s="12" t="s">
        <v>9733</v>
      </c>
      <c r="G2368" s="8" t="s">
        <v>9734</v>
      </c>
      <c r="H2368" s="8" t="s">
        <v>37</v>
      </c>
      <c r="I2368" s="8" t="s">
        <v>4039</v>
      </c>
    </row>
    <row r="2369" spans="1:9" ht="14.25" customHeight="1" x14ac:dyDescent="0.25">
      <c r="A2369" s="7" t="s">
        <v>9735</v>
      </c>
      <c r="B2369" s="8" t="s">
        <v>2297</v>
      </c>
      <c r="C2369" s="8" t="s">
        <v>9736</v>
      </c>
      <c r="D2369" s="8" t="s">
        <v>411</v>
      </c>
      <c r="E2369" s="8" t="s">
        <v>412</v>
      </c>
      <c r="F2369" s="12" t="s">
        <v>9737</v>
      </c>
      <c r="G2369" s="8" t="s">
        <v>9738</v>
      </c>
      <c r="H2369" s="8" t="s">
        <v>8536</v>
      </c>
      <c r="I2369" s="8" t="s">
        <v>4039</v>
      </c>
    </row>
    <row r="2370" spans="1:9" ht="14.25" customHeight="1" x14ac:dyDescent="0.25">
      <c r="A2370" s="7" t="s">
        <v>9739</v>
      </c>
      <c r="B2370" s="8" t="s">
        <v>2294</v>
      </c>
      <c r="C2370" s="8" t="s">
        <v>9740</v>
      </c>
      <c r="D2370" s="8" t="s">
        <v>411</v>
      </c>
      <c r="E2370" s="8" t="s">
        <v>412</v>
      </c>
      <c r="F2370" s="11" t="s">
        <v>9741</v>
      </c>
      <c r="G2370" s="8" t="s">
        <v>9742</v>
      </c>
      <c r="H2370" s="8" t="s">
        <v>6143</v>
      </c>
      <c r="I2370" s="8" t="s">
        <v>3756</v>
      </c>
    </row>
    <row r="2371" spans="1:9" ht="14.25" customHeight="1" x14ac:dyDescent="0.25">
      <c r="A2371" s="19" t="s">
        <v>9743</v>
      </c>
      <c r="B2371" s="8" t="s">
        <v>1402</v>
      </c>
      <c r="C2371" s="8" t="s">
        <v>9744</v>
      </c>
      <c r="D2371" s="8" t="s">
        <v>411</v>
      </c>
      <c r="E2371" s="8" t="s">
        <v>412</v>
      </c>
      <c r="F2371" s="11" t="s">
        <v>9745</v>
      </c>
      <c r="G2371" s="8" t="s">
        <v>9746</v>
      </c>
      <c r="H2371" s="8" t="s">
        <v>61</v>
      </c>
      <c r="I2371" s="8" t="s">
        <v>4039</v>
      </c>
    </row>
    <row r="2372" spans="1:9" ht="14.25" customHeight="1" x14ac:dyDescent="0.25">
      <c r="A2372" s="7" t="s">
        <v>9747</v>
      </c>
      <c r="B2372" s="8" t="s">
        <v>726</v>
      </c>
      <c r="C2372" s="8" t="s">
        <v>9748</v>
      </c>
      <c r="D2372" s="8" t="s">
        <v>3163</v>
      </c>
      <c r="E2372" s="8" t="s">
        <v>412</v>
      </c>
      <c r="F2372" s="11" t="s">
        <v>9749</v>
      </c>
      <c r="G2372" s="8" t="s">
        <v>9750</v>
      </c>
      <c r="H2372" s="8" t="s">
        <v>82</v>
      </c>
      <c r="I2372" s="8" t="s">
        <v>4039</v>
      </c>
    </row>
    <row r="2373" spans="1:9" ht="14.25" customHeight="1" x14ac:dyDescent="0.25">
      <c r="A2373" s="7" t="s">
        <v>9751</v>
      </c>
      <c r="B2373" s="8" t="s">
        <v>5560</v>
      </c>
      <c r="C2373" s="8" t="s">
        <v>9752</v>
      </c>
      <c r="D2373" s="8" t="s">
        <v>411</v>
      </c>
      <c r="E2373" s="8" t="s">
        <v>412</v>
      </c>
      <c r="F2373" s="11" t="s">
        <v>9753</v>
      </c>
      <c r="G2373" s="8" t="s">
        <v>9754</v>
      </c>
      <c r="H2373" s="8" t="s">
        <v>6143</v>
      </c>
      <c r="I2373" s="8" t="s">
        <v>3756</v>
      </c>
    </row>
    <row r="2374" spans="1:9" ht="14.25" customHeight="1" x14ac:dyDescent="0.25">
      <c r="A2374" s="19" t="s">
        <v>9755</v>
      </c>
      <c r="B2374" s="8" t="s">
        <v>8946</v>
      </c>
      <c r="C2374" s="8" t="s">
        <v>9756</v>
      </c>
      <c r="D2374" s="8" t="s">
        <v>411</v>
      </c>
      <c r="E2374" s="8" t="s">
        <v>412</v>
      </c>
      <c r="F2374" s="11" t="s">
        <v>9757</v>
      </c>
      <c r="G2374" s="8" t="s">
        <v>9758</v>
      </c>
      <c r="H2374" s="8" t="s">
        <v>5213</v>
      </c>
      <c r="I2374" s="8" t="s">
        <v>4039</v>
      </c>
    </row>
    <row r="2375" spans="1:9" ht="14.25" customHeight="1" x14ac:dyDescent="0.25">
      <c r="A2375" s="7" t="s">
        <v>9759</v>
      </c>
      <c r="B2375" s="8" t="s">
        <v>6242</v>
      </c>
      <c r="C2375" s="8" t="s">
        <v>9760</v>
      </c>
      <c r="D2375" s="8" t="s">
        <v>411</v>
      </c>
      <c r="E2375" s="8" t="s">
        <v>412</v>
      </c>
      <c r="F2375" s="11" t="s">
        <v>9761</v>
      </c>
      <c r="G2375" s="8" t="s">
        <v>9762</v>
      </c>
      <c r="H2375" s="8" t="s">
        <v>92</v>
      </c>
      <c r="I2375" s="8" t="s">
        <v>4039</v>
      </c>
    </row>
    <row r="2376" spans="1:9" ht="14.25" customHeight="1" x14ac:dyDescent="0.25">
      <c r="A2376" s="7" t="s">
        <v>9763</v>
      </c>
      <c r="B2376" s="8" t="s">
        <v>349</v>
      </c>
      <c r="C2376" s="8" t="s">
        <v>9764</v>
      </c>
      <c r="D2376" s="8" t="s">
        <v>411</v>
      </c>
      <c r="E2376" s="8" t="s">
        <v>412</v>
      </c>
      <c r="F2376" s="12" t="s">
        <v>9765</v>
      </c>
      <c r="G2376" s="8" t="s">
        <v>9766</v>
      </c>
      <c r="H2376" s="8" t="s">
        <v>7063</v>
      </c>
      <c r="I2376" s="8" t="s">
        <v>5347</v>
      </c>
    </row>
    <row r="2377" spans="1:9" ht="14.25" customHeight="1" x14ac:dyDescent="0.25">
      <c r="A2377" s="7" t="s">
        <v>9767</v>
      </c>
      <c r="B2377" s="8" t="s">
        <v>1222</v>
      </c>
      <c r="C2377" s="8" t="s">
        <v>9768</v>
      </c>
      <c r="D2377" s="8" t="s">
        <v>411</v>
      </c>
      <c r="E2377" s="8" t="s">
        <v>412</v>
      </c>
      <c r="F2377" s="12" t="s">
        <v>9769</v>
      </c>
      <c r="G2377" s="8" t="s">
        <v>9770</v>
      </c>
      <c r="H2377" s="8" t="s">
        <v>72</v>
      </c>
      <c r="I2377" s="8" t="s">
        <v>3756</v>
      </c>
    </row>
    <row r="2378" spans="1:9" ht="14.25" customHeight="1" x14ac:dyDescent="0.25">
      <c r="A2378" s="7" t="s">
        <v>9771</v>
      </c>
      <c r="B2378" s="8" t="s">
        <v>1072</v>
      </c>
      <c r="C2378" s="8" t="s">
        <v>2024</v>
      </c>
      <c r="D2378" s="8" t="s">
        <v>3163</v>
      </c>
      <c r="E2378" s="8" t="s">
        <v>412</v>
      </c>
      <c r="F2378" s="12" t="s">
        <v>9769</v>
      </c>
      <c r="G2378" s="8" t="s">
        <v>9770</v>
      </c>
      <c r="H2378" s="8" t="s">
        <v>72</v>
      </c>
      <c r="I2378" s="8" t="s">
        <v>3756</v>
      </c>
    </row>
    <row r="2379" spans="1:9" ht="14.25" customHeight="1" x14ac:dyDescent="0.25">
      <c r="A2379" s="7" t="s">
        <v>9772</v>
      </c>
      <c r="B2379" s="8" t="s">
        <v>2972</v>
      </c>
      <c r="C2379" s="8" t="s">
        <v>2633</v>
      </c>
      <c r="D2379" s="8" t="s">
        <v>411</v>
      </c>
      <c r="E2379" s="8" t="s">
        <v>412</v>
      </c>
      <c r="F2379" s="12" t="s">
        <v>9773</v>
      </c>
      <c r="G2379" s="8" t="s">
        <v>9774</v>
      </c>
      <c r="H2379" s="8" t="s">
        <v>49</v>
      </c>
      <c r="I2379" s="8" t="s">
        <v>3756</v>
      </c>
    </row>
    <row r="2380" spans="1:9" ht="14.25" customHeight="1" x14ac:dyDescent="0.25">
      <c r="A2380" s="7" t="s">
        <v>9775</v>
      </c>
      <c r="B2380" s="8" t="s">
        <v>3718</v>
      </c>
      <c r="C2380" s="8" t="s">
        <v>1881</v>
      </c>
      <c r="D2380" s="8" t="s">
        <v>411</v>
      </c>
      <c r="E2380" s="8" t="s">
        <v>412</v>
      </c>
      <c r="F2380" s="12" t="s">
        <v>9776</v>
      </c>
      <c r="G2380" s="8" t="s">
        <v>9118</v>
      </c>
      <c r="H2380" s="8" t="s">
        <v>92</v>
      </c>
      <c r="I2380" s="8" t="s">
        <v>3756</v>
      </c>
    </row>
    <row r="2381" spans="1:9" ht="14.25" customHeight="1" x14ac:dyDescent="0.25">
      <c r="A2381" s="7" t="s">
        <v>9777</v>
      </c>
      <c r="B2381" s="8" t="s">
        <v>5586</v>
      </c>
      <c r="C2381" s="8" t="s">
        <v>3064</v>
      </c>
      <c r="D2381" s="8" t="s">
        <v>411</v>
      </c>
      <c r="E2381" s="8" t="s">
        <v>412</v>
      </c>
      <c r="F2381" s="11"/>
      <c r="G2381" s="8"/>
      <c r="H2381" s="8"/>
      <c r="I2381" s="8" t="s">
        <v>3756</v>
      </c>
    </row>
    <row r="2382" spans="1:9" ht="14.25" customHeight="1" x14ac:dyDescent="0.25">
      <c r="A2382" s="7" t="s">
        <v>9778</v>
      </c>
      <c r="B2382" s="8" t="s">
        <v>9033</v>
      </c>
      <c r="C2382" s="8" t="s">
        <v>9779</v>
      </c>
      <c r="D2382" s="8" t="s">
        <v>3163</v>
      </c>
      <c r="E2382" s="8" t="s">
        <v>412</v>
      </c>
      <c r="F2382" s="11" t="s">
        <v>9780</v>
      </c>
      <c r="G2382" s="8" t="s">
        <v>9674</v>
      </c>
      <c r="H2382" s="8" t="s">
        <v>4651</v>
      </c>
      <c r="I2382" s="8" t="s">
        <v>3756</v>
      </c>
    </row>
    <row r="2383" spans="1:9" ht="14.25" customHeight="1" x14ac:dyDescent="0.25">
      <c r="A2383" s="7" t="s">
        <v>9781</v>
      </c>
      <c r="B2383" s="8" t="s">
        <v>5365</v>
      </c>
      <c r="C2383" s="8" t="s">
        <v>9782</v>
      </c>
      <c r="D2383" s="8" t="s">
        <v>3163</v>
      </c>
      <c r="E2383" s="8" t="s">
        <v>412</v>
      </c>
      <c r="F2383" s="11"/>
      <c r="G2383" s="8"/>
      <c r="H2383" s="8"/>
      <c r="I2383" s="8"/>
    </row>
    <row r="2384" spans="1:9" ht="14.25" customHeight="1" x14ac:dyDescent="0.25">
      <c r="A2384" s="7" t="s">
        <v>9783</v>
      </c>
      <c r="B2384" s="8" t="s">
        <v>3718</v>
      </c>
      <c r="C2384" s="8" t="s">
        <v>9784</v>
      </c>
      <c r="D2384" s="8" t="s">
        <v>411</v>
      </c>
      <c r="E2384" s="8" t="s">
        <v>412</v>
      </c>
      <c r="F2384" s="11" t="s">
        <v>9785</v>
      </c>
      <c r="G2384" s="8" t="s">
        <v>9786</v>
      </c>
      <c r="H2384" s="8"/>
      <c r="I2384" s="8" t="s">
        <v>4039</v>
      </c>
    </row>
    <row r="2385" spans="1:9" ht="14.25" customHeight="1" x14ac:dyDescent="0.25">
      <c r="A2385" s="7" t="s">
        <v>9787</v>
      </c>
      <c r="B2385" s="8" t="s">
        <v>9101</v>
      </c>
      <c r="C2385" s="8" t="s">
        <v>9788</v>
      </c>
      <c r="D2385" s="8" t="s">
        <v>411</v>
      </c>
      <c r="E2385" s="8" t="s">
        <v>412</v>
      </c>
      <c r="F2385" s="11" t="s">
        <v>9789</v>
      </c>
      <c r="G2385" s="8" t="s">
        <v>9790</v>
      </c>
      <c r="H2385" s="8" t="s">
        <v>61</v>
      </c>
      <c r="I2385" s="8" t="s">
        <v>4039</v>
      </c>
    </row>
    <row r="2386" spans="1:9" ht="14.25" customHeight="1" x14ac:dyDescent="0.25">
      <c r="A2386" s="7" t="s">
        <v>9791</v>
      </c>
      <c r="B2386" s="8" t="s">
        <v>9792</v>
      </c>
      <c r="C2386" s="8" t="s">
        <v>9793</v>
      </c>
      <c r="D2386" s="8" t="s">
        <v>3163</v>
      </c>
      <c r="E2386" s="8" t="s">
        <v>412</v>
      </c>
      <c r="F2386" s="12" t="s">
        <v>9794</v>
      </c>
      <c r="G2386" s="8" t="s">
        <v>9795</v>
      </c>
      <c r="H2386" s="8" t="s">
        <v>82</v>
      </c>
      <c r="I2386" s="8" t="s">
        <v>4039</v>
      </c>
    </row>
    <row r="2387" spans="1:9" ht="14.25" customHeight="1" x14ac:dyDescent="0.25">
      <c r="A2387" s="30" t="s">
        <v>9796</v>
      </c>
      <c r="B2387" s="31" t="s">
        <v>9797</v>
      </c>
      <c r="C2387" s="31" t="s">
        <v>9798</v>
      </c>
      <c r="D2387" s="8" t="s">
        <v>3163</v>
      </c>
      <c r="E2387" s="8" t="s">
        <v>412</v>
      </c>
      <c r="F2387" s="32" t="s">
        <v>9799</v>
      </c>
      <c r="G2387" s="8"/>
      <c r="H2387" s="8"/>
      <c r="I2387" s="8"/>
    </row>
    <row r="2388" spans="1:9" ht="14.25" customHeight="1" x14ac:dyDescent="0.25">
      <c r="A2388" s="7" t="s">
        <v>9800</v>
      </c>
      <c r="B2388" s="8" t="s">
        <v>11</v>
      </c>
      <c r="C2388" s="8" t="s">
        <v>9801</v>
      </c>
      <c r="D2388" s="8" t="s">
        <v>3163</v>
      </c>
      <c r="E2388" s="8" t="s">
        <v>412</v>
      </c>
      <c r="F2388" s="12" t="s">
        <v>9802</v>
      </c>
      <c r="G2388" s="8" t="s">
        <v>9803</v>
      </c>
      <c r="H2388" s="8" t="s">
        <v>25</v>
      </c>
      <c r="I2388" s="8" t="s">
        <v>3756</v>
      </c>
    </row>
    <row r="2389" spans="1:9" ht="14.25" customHeight="1" x14ac:dyDescent="0.25">
      <c r="A2389" s="7" t="s">
        <v>9804</v>
      </c>
      <c r="B2389" s="8" t="s">
        <v>3157</v>
      </c>
      <c r="C2389" s="8" t="s">
        <v>9805</v>
      </c>
      <c r="D2389" s="8" t="s">
        <v>3163</v>
      </c>
      <c r="E2389" s="8" t="s">
        <v>412</v>
      </c>
      <c r="F2389" s="11" t="s">
        <v>9806</v>
      </c>
      <c r="G2389" s="8"/>
      <c r="H2389" s="8" t="s">
        <v>2212</v>
      </c>
      <c r="I2389" s="8" t="s">
        <v>4039</v>
      </c>
    </row>
    <row r="2390" spans="1:9" ht="14.25" customHeight="1" x14ac:dyDescent="0.25">
      <c r="A2390" s="7" t="s">
        <v>9807</v>
      </c>
      <c r="B2390" s="8" t="s">
        <v>3501</v>
      </c>
      <c r="C2390" s="8" t="s">
        <v>9805</v>
      </c>
      <c r="D2390" s="8" t="s">
        <v>411</v>
      </c>
      <c r="E2390" s="8" t="s">
        <v>412</v>
      </c>
      <c r="F2390" s="11"/>
      <c r="G2390" s="8"/>
      <c r="H2390" s="8" t="s">
        <v>2212</v>
      </c>
      <c r="I2390" s="8" t="s">
        <v>4039</v>
      </c>
    </row>
    <row r="2391" spans="1:9" ht="14.25" customHeight="1" x14ac:dyDescent="0.25">
      <c r="A2391" s="7" t="s">
        <v>9808</v>
      </c>
      <c r="B2391" s="8" t="s">
        <v>9111</v>
      </c>
      <c r="C2391" s="8" t="s">
        <v>462</v>
      </c>
      <c r="D2391" s="8" t="s">
        <v>411</v>
      </c>
      <c r="E2391" s="8" t="s">
        <v>412</v>
      </c>
      <c r="F2391" s="12" t="s">
        <v>9112</v>
      </c>
      <c r="G2391" s="8"/>
      <c r="H2391" s="8" t="s">
        <v>2212</v>
      </c>
      <c r="I2391" s="8" t="s">
        <v>4039</v>
      </c>
    </row>
    <row r="2392" spans="1:9" ht="14.25" customHeight="1" x14ac:dyDescent="0.25">
      <c r="A2392" s="7" t="s">
        <v>9809</v>
      </c>
      <c r="B2392" s="8" t="s">
        <v>9810</v>
      </c>
      <c r="C2392" s="23" t="s">
        <v>9811</v>
      </c>
      <c r="D2392" s="8" t="s">
        <v>411</v>
      </c>
      <c r="E2392" s="8" t="s">
        <v>412</v>
      </c>
      <c r="F2392" s="12" t="s">
        <v>9812</v>
      </c>
      <c r="G2392" s="8" t="s">
        <v>9813</v>
      </c>
      <c r="H2392" s="8" t="s">
        <v>4619</v>
      </c>
      <c r="I2392" s="8" t="s">
        <v>4039</v>
      </c>
    </row>
    <row r="2393" spans="1:9" ht="14.25" customHeight="1" x14ac:dyDescent="0.25">
      <c r="A2393" s="7" t="s">
        <v>9814</v>
      </c>
      <c r="B2393" s="8" t="s">
        <v>6139</v>
      </c>
      <c r="C2393" s="8" t="s">
        <v>9815</v>
      </c>
      <c r="D2393" s="8" t="s">
        <v>411</v>
      </c>
      <c r="E2393" s="8" t="s">
        <v>412</v>
      </c>
      <c r="F2393" s="11" t="s">
        <v>9816</v>
      </c>
      <c r="G2393" s="8"/>
      <c r="H2393" s="8" t="s">
        <v>9817</v>
      </c>
      <c r="I2393" s="8" t="s">
        <v>3756</v>
      </c>
    </row>
    <row r="2394" spans="1:9" ht="14.25" customHeight="1" x14ac:dyDescent="0.25">
      <c r="A2394" s="7" t="s">
        <v>9818</v>
      </c>
      <c r="B2394" s="8" t="s">
        <v>9819</v>
      </c>
      <c r="C2394" s="8" t="s">
        <v>9820</v>
      </c>
      <c r="D2394" s="8" t="s">
        <v>411</v>
      </c>
      <c r="E2394" s="8" t="s">
        <v>412</v>
      </c>
      <c r="F2394" s="12" t="s">
        <v>9821</v>
      </c>
      <c r="G2394" s="8" t="s">
        <v>9822</v>
      </c>
      <c r="H2394" s="8" t="s">
        <v>82</v>
      </c>
      <c r="I2394" s="8" t="s">
        <v>3756</v>
      </c>
    </row>
    <row r="2395" spans="1:9" ht="14.25" customHeight="1" x14ac:dyDescent="0.25">
      <c r="A2395" s="7" t="s">
        <v>9823</v>
      </c>
      <c r="B2395" s="8" t="s">
        <v>98</v>
      </c>
      <c r="C2395" s="8" t="s">
        <v>9824</v>
      </c>
      <c r="D2395" s="8" t="s">
        <v>411</v>
      </c>
      <c r="E2395" s="8" t="s">
        <v>412</v>
      </c>
      <c r="F2395" s="12" t="s">
        <v>9825</v>
      </c>
      <c r="G2395" s="8" t="s">
        <v>9826</v>
      </c>
      <c r="H2395" s="8" t="s">
        <v>9827</v>
      </c>
      <c r="I2395" s="8" t="s">
        <v>4039</v>
      </c>
    </row>
    <row r="2396" spans="1:9" ht="14.25" customHeight="1" x14ac:dyDescent="0.25">
      <c r="A2396" s="7" t="s">
        <v>9828</v>
      </c>
      <c r="B2396" s="8" t="s">
        <v>9829</v>
      </c>
      <c r="C2396" s="8" t="s">
        <v>9830</v>
      </c>
      <c r="D2396" s="8" t="s">
        <v>411</v>
      </c>
      <c r="E2396" s="8" t="s">
        <v>412</v>
      </c>
      <c r="F2396" s="12" t="s">
        <v>9831</v>
      </c>
      <c r="G2396" s="8" t="s">
        <v>9832</v>
      </c>
      <c r="H2396" s="8" t="s">
        <v>37</v>
      </c>
      <c r="I2396" s="8" t="s">
        <v>4039</v>
      </c>
    </row>
    <row r="2397" spans="1:9" ht="14.25" customHeight="1" x14ac:dyDescent="0.25">
      <c r="A2397" s="19" t="s">
        <v>9833</v>
      </c>
      <c r="B2397" s="8" t="s">
        <v>3351</v>
      </c>
      <c r="C2397" s="8" t="s">
        <v>9834</v>
      </c>
      <c r="D2397" s="8" t="s">
        <v>3163</v>
      </c>
      <c r="E2397" s="8" t="s">
        <v>412</v>
      </c>
      <c r="F2397" s="12" t="s">
        <v>9835</v>
      </c>
      <c r="G2397" s="8"/>
      <c r="H2397" s="8"/>
      <c r="I2397" s="8" t="s">
        <v>3756</v>
      </c>
    </row>
    <row r="2398" spans="1:9" ht="14.25" customHeight="1" x14ac:dyDescent="0.25">
      <c r="A2398" s="7" t="s">
        <v>9836</v>
      </c>
      <c r="B2398" s="8" t="s">
        <v>590</v>
      </c>
      <c r="C2398" s="8" t="s">
        <v>9837</v>
      </c>
      <c r="D2398" s="8" t="s">
        <v>3163</v>
      </c>
      <c r="E2398" s="8" t="s">
        <v>3890</v>
      </c>
      <c r="F2398" s="12" t="s">
        <v>9838</v>
      </c>
      <c r="G2398" s="8" t="s">
        <v>9839</v>
      </c>
      <c r="H2398" s="8" t="s">
        <v>9840</v>
      </c>
      <c r="I2398" s="8" t="s">
        <v>3756</v>
      </c>
    </row>
    <row r="2399" spans="1:9" ht="14.25" customHeight="1" x14ac:dyDescent="0.25">
      <c r="A2399" s="7" t="s">
        <v>9841</v>
      </c>
      <c r="B2399" s="8" t="s">
        <v>4700</v>
      </c>
      <c r="C2399" s="8" t="s">
        <v>9842</v>
      </c>
      <c r="D2399" s="8" t="s">
        <v>411</v>
      </c>
      <c r="E2399" s="8" t="s">
        <v>3890</v>
      </c>
      <c r="F2399" s="12" t="s">
        <v>9843</v>
      </c>
      <c r="G2399" s="8" t="s">
        <v>9839</v>
      </c>
      <c r="H2399" s="8" t="s">
        <v>9840</v>
      </c>
      <c r="I2399" s="8" t="s">
        <v>3756</v>
      </c>
    </row>
    <row r="2400" spans="1:9" ht="14.25" customHeight="1" x14ac:dyDescent="0.25">
      <c r="A2400" s="7" t="s">
        <v>9844</v>
      </c>
      <c r="B2400" s="8" t="s">
        <v>9845</v>
      </c>
      <c r="C2400" s="8" t="s">
        <v>9846</v>
      </c>
      <c r="D2400" s="8" t="s">
        <v>411</v>
      </c>
      <c r="E2400" s="8" t="s">
        <v>3890</v>
      </c>
      <c r="F2400" s="12" t="s">
        <v>9847</v>
      </c>
      <c r="G2400" s="8" t="s">
        <v>9848</v>
      </c>
      <c r="H2400" s="8" t="s">
        <v>4330</v>
      </c>
      <c r="I2400" s="8" t="s">
        <v>3756</v>
      </c>
    </row>
    <row r="2401" spans="1:9" ht="14.25" customHeight="1" x14ac:dyDescent="0.25">
      <c r="A2401" s="7" t="s">
        <v>9849</v>
      </c>
      <c r="B2401" s="8" t="s">
        <v>2502</v>
      </c>
      <c r="C2401" s="8" t="s">
        <v>9850</v>
      </c>
      <c r="D2401" s="8" t="s">
        <v>3163</v>
      </c>
      <c r="E2401" s="8" t="s">
        <v>3890</v>
      </c>
      <c r="F2401" s="11"/>
      <c r="G2401" s="8" t="s">
        <v>9848</v>
      </c>
      <c r="H2401" s="8" t="s">
        <v>4330</v>
      </c>
      <c r="I2401" s="8" t="s">
        <v>3756</v>
      </c>
    </row>
    <row r="2402" spans="1:9" ht="14.25" customHeight="1" x14ac:dyDescent="0.25">
      <c r="A2402" s="7" t="s">
        <v>9851</v>
      </c>
      <c r="B2402" s="8" t="s">
        <v>9852</v>
      </c>
      <c r="C2402" s="8" t="s">
        <v>9853</v>
      </c>
      <c r="D2402" s="8" t="s">
        <v>3163</v>
      </c>
      <c r="E2402" s="8" t="s">
        <v>412</v>
      </c>
      <c r="F2402" s="11" t="s">
        <v>9854</v>
      </c>
      <c r="G2402" s="8"/>
      <c r="H2402" s="8"/>
      <c r="I2402" s="8" t="s">
        <v>4371</v>
      </c>
    </row>
    <row r="2403" spans="1:9" ht="14.25" customHeight="1" x14ac:dyDescent="0.25">
      <c r="A2403" s="7" t="s">
        <v>9855</v>
      </c>
      <c r="B2403" s="8" t="s">
        <v>1717</v>
      </c>
      <c r="C2403" s="8" t="s">
        <v>9856</v>
      </c>
      <c r="D2403" s="8" t="s">
        <v>411</v>
      </c>
      <c r="E2403" s="8" t="s">
        <v>412</v>
      </c>
      <c r="F2403" s="12" t="s">
        <v>9857</v>
      </c>
      <c r="G2403" s="8" t="s">
        <v>9858</v>
      </c>
      <c r="H2403" s="8" t="s">
        <v>9859</v>
      </c>
      <c r="I2403" s="8" t="s">
        <v>5347</v>
      </c>
    </row>
    <row r="2404" spans="1:9" ht="14.25" customHeight="1" x14ac:dyDescent="0.25">
      <c r="A2404" s="7" t="s">
        <v>9860</v>
      </c>
      <c r="B2404" s="8" t="s">
        <v>1676</v>
      </c>
      <c r="C2404" s="8" t="s">
        <v>9861</v>
      </c>
      <c r="D2404" s="8" t="s">
        <v>411</v>
      </c>
      <c r="E2404" s="8" t="s">
        <v>412</v>
      </c>
      <c r="F2404" s="12" t="s">
        <v>9862</v>
      </c>
      <c r="G2404" s="8" t="s">
        <v>9863</v>
      </c>
      <c r="H2404" s="8" t="s">
        <v>4951</v>
      </c>
      <c r="I2404" s="8" t="s">
        <v>3756</v>
      </c>
    </row>
    <row r="2405" spans="1:9" ht="14.25" customHeight="1" x14ac:dyDescent="0.25">
      <c r="A2405" s="7" t="s">
        <v>9864</v>
      </c>
      <c r="B2405" s="8" t="s">
        <v>4491</v>
      </c>
      <c r="C2405" s="8" t="s">
        <v>9865</v>
      </c>
      <c r="D2405" s="8" t="s">
        <v>411</v>
      </c>
      <c r="E2405" s="8" t="s">
        <v>412</v>
      </c>
      <c r="F2405" s="12" t="s">
        <v>9866</v>
      </c>
      <c r="G2405" s="8" t="s">
        <v>9867</v>
      </c>
      <c r="H2405" s="8" t="s">
        <v>4951</v>
      </c>
      <c r="I2405" s="8" t="s">
        <v>3756</v>
      </c>
    </row>
    <row r="2406" spans="1:9" ht="14.25" customHeight="1" x14ac:dyDescent="0.25">
      <c r="A2406" s="7" t="s">
        <v>9868</v>
      </c>
      <c r="B2406" s="8" t="s">
        <v>3791</v>
      </c>
      <c r="C2406" s="8" t="s">
        <v>9869</v>
      </c>
      <c r="D2406" s="8" t="s">
        <v>3163</v>
      </c>
      <c r="E2406" s="8" t="s">
        <v>412</v>
      </c>
      <c r="F2406" s="11" t="s">
        <v>9870</v>
      </c>
      <c r="G2406" s="8" t="s">
        <v>9871</v>
      </c>
      <c r="H2406" s="8" t="s">
        <v>5213</v>
      </c>
      <c r="I2406" s="8" t="s">
        <v>4039</v>
      </c>
    </row>
    <row r="2407" spans="1:9" ht="14.25" customHeight="1" x14ac:dyDescent="0.25">
      <c r="A2407" s="7" t="s">
        <v>9872</v>
      </c>
      <c r="B2407" s="8" t="s">
        <v>9873</v>
      </c>
      <c r="C2407" s="8" t="s">
        <v>9874</v>
      </c>
      <c r="D2407" s="8" t="s">
        <v>411</v>
      </c>
      <c r="E2407" s="8" t="s">
        <v>412</v>
      </c>
      <c r="F2407" s="11" t="s">
        <v>9875</v>
      </c>
      <c r="G2407" s="8" t="s">
        <v>9876</v>
      </c>
      <c r="H2407" s="8" t="s">
        <v>3815</v>
      </c>
      <c r="I2407" s="8" t="s">
        <v>4039</v>
      </c>
    </row>
    <row r="2408" spans="1:9" ht="14.25" customHeight="1" x14ac:dyDescent="0.25">
      <c r="A2408" s="7" t="s">
        <v>9877</v>
      </c>
      <c r="B2408" s="8" t="s">
        <v>9878</v>
      </c>
      <c r="C2408" s="8" t="s">
        <v>9879</v>
      </c>
      <c r="D2408" s="8" t="s">
        <v>3163</v>
      </c>
      <c r="E2408" s="8" t="s">
        <v>3890</v>
      </c>
      <c r="F2408" s="12" t="s">
        <v>9880</v>
      </c>
      <c r="G2408" s="8" t="s">
        <v>9881</v>
      </c>
      <c r="H2408" s="8" t="s">
        <v>15</v>
      </c>
      <c r="I2408" s="8" t="s">
        <v>4039</v>
      </c>
    </row>
    <row r="2409" spans="1:9" ht="14.25" customHeight="1" x14ac:dyDescent="0.25">
      <c r="A2409" s="7" t="s">
        <v>9882</v>
      </c>
      <c r="B2409" s="8" t="s">
        <v>5704</v>
      </c>
      <c r="C2409" s="8" t="s">
        <v>9883</v>
      </c>
      <c r="D2409" s="8" t="s">
        <v>411</v>
      </c>
      <c r="E2409" s="8" t="s">
        <v>3890</v>
      </c>
      <c r="F2409" s="12" t="s">
        <v>9884</v>
      </c>
      <c r="G2409" s="8" t="s">
        <v>9881</v>
      </c>
      <c r="H2409" s="8" t="s">
        <v>15</v>
      </c>
      <c r="I2409" s="8" t="s">
        <v>4039</v>
      </c>
    </row>
    <row r="2410" spans="1:9" ht="14.25" customHeight="1" x14ac:dyDescent="0.25">
      <c r="A2410" s="7" t="s">
        <v>9885</v>
      </c>
      <c r="B2410" s="8" t="s">
        <v>9886</v>
      </c>
      <c r="C2410" s="8" t="s">
        <v>9887</v>
      </c>
      <c r="D2410" s="8" t="s">
        <v>3163</v>
      </c>
      <c r="E2410" s="8" t="s">
        <v>412</v>
      </c>
      <c r="F2410" s="12" t="s">
        <v>9888</v>
      </c>
      <c r="G2410" s="8" t="s">
        <v>9889</v>
      </c>
      <c r="H2410" s="8" t="s">
        <v>6927</v>
      </c>
      <c r="I2410" s="8" t="s">
        <v>4039</v>
      </c>
    </row>
    <row r="2411" spans="1:9" ht="14.25" customHeight="1" x14ac:dyDescent="0.25">
      <c r="A2411" s="7" t="s">
        <v>9890</v>
      </c>
      <c r="B2411" s="8" t="s">
        <v>2432</v>
      </c>
      <c r="C2411" s="8" t="s">
        <v>9891</v>
      </c>
      <c r="D2411" s="8" t="s">
        <v>411</v>
      </c>
      <c r="E2411" s="8" t="s">
        <v>412</v>
      </c>
      <c r="F2411" s="12" t="s">
        <v>9892</v>
      </c>
      <c r="G2411" s="8" t="s">
        <v>9893</v>
      </c>
      <c r="H2411" s="8" t="s">
        <v>5213</v>
      </c>
      <c r="I2411" s="8" t="s">
        <v>4039</v>
      </c>
    </row>
    <row r="2412" spans="1:9" ht="14.25" customHeight="1" x14ac:dyDescent="0.25">
      <c r="A2412" s="7" t="s">
        <v>9894</v>
      </c>
      <c r="B2412" s="8" t="s">
        <v>9297</v>
      </c>
      <c r="C2412" s="8" t="s">
        <v>9298</v>
      </c>
      <c r="D2412" s="8" t="s">
        <v>411</v>
      </c>
      <c r="E2412" s="8" t="s">
        <v>412</v>
      </c>
      <c r="F2412" s="12" t="s">
        <v>9299</v>
      </c>
      <c r="G2412" s="8"/>
      <c r="H2412" s="8" t="s">
        <v>6255</v>
      </c>
      <c r="I2412" s="8" t="s">
        <v>3756</v>
      </c>
    </row>
    <row r="2413" spans="1:9" ht="14.25" customHeight="1" x14ac:dyDescent="0.25">
      <c r="A2413" s="7" t="s">
        <v>9895</v>
      </c>
      <c r="B2413" s="8" t="s">
        <v>2883</v>
      </c>
      <c r="C2413" s="8" t="s">
        <v>9896</v>
      </c>
      <c r="D2413" s="8" t="s">
        <v>411</v>
      </c>
      <c r="E2413" s="8" t="s">
        <v>412</v>
      </c>
      <c r="F2413" s="12" t="s">
        <v>9897</v>
      </c>
      <c r="G2413" s="8" t="s">
        <v>9898</v>
      </c>
      <c r="H2413" s="8" t="s">
        <v>9899</v>
      </c>
      <c r="I2413" s="8" t="s">
        <v>4039</v>
      </c>
    </row>
    <row r="2414" spans="1:9" ht="14.25" customHeight="1" x14ac:dyDescent="0.25">
      <c r="A2414" s="7" t="s">
        <v>9900</v>
      </c>
      <c r="B2414" s="8" t="s">
        <v>3321</v>
      </c>
      <c r="C2414" s="8" t="s">
        <v>9901</v>
      </c>
      <c r="D2414" s="8" t="s">
        <v>3163</v>
      </c>
      <c r="E2414" s="8" t="s">
        <v>412</v>
      </c>
      <c r="F2414" s="12" t="s">
        <v>9902</v>
      </c>
      <c r="G2414" s="8" t="s">
        <v>9903</v>
      </c>
      <c r="H2414" s="8" t="s">
        <v>3820</v>
      </c>
      <c r="I2414" s="8" t="s">
        <v>3756</v>
      </c>
    </row>
    <row r="2415" spans="1:9" ht="14.25" customHeight="1" x14ac:dyDescent="0.25">
      <c r="A2415" s="7" t="s">
        <v>9904</v>
      </c>
      <c r="B2415" s="8" t="s">
        <v>104</v>
      </c>
      <c r="C2415" s="8" t="s">
        <v>9905</v>
      </c>
      <c r="D2415" s="8" t="s">
        <v>411</v>
      </c>
      <c r="E2415" s="8" t="s">
        <v>412</v>
      </c>
      <c r="F2415" s="12" t="s">
        <v>9906</v>
      </c>
      <c r="G2415" s="8"/>
      <c r="H2415" s="8" t="s">
        <v>6233</v>
      </c>
      <c r="I2415" s="8" t="s">
        <v>5347</v>
      </c>
    </row>
    <row r="2416" spans="1:9" ht="14.25" customHeight="1" x14ac:dyDescent="0.25">
      <c r="A2416" s="7" t="s">
        <v>9907</v>
      </c>
      <c r="B2416" s="8" t="s">
        <v>737</v>
      </c>
      <c r="C2416" s="23" t="s">
        <v>9908</v>
      </c>
      <c r="D2416" s="8" t="s">
        <v>3163</v>
      </c>
      <c r="E2416" s="8" t="s">
        <v>412</v>
      </c>
      <c r="F2416" s="12" t="s">
        <v>9909</v>
      </c>
      <c r="G2416" s="8" t="s">
        <v>9910</v>
      </c>
      <c r="H2416" s="8" t="s">
        <v>4199</v>
      </c>
      <c r="I2416" s="8" t="s">
        <v>3756</v>
      </c>
    </row>
    <row r="2417" spans="1:9" ht="14.25" customHeight="1" x14ac:dyDescent="0.25">
      <c r="A2417" s="7" t="s">
        <v>9911</v>
      </c>
      <c r="B2417" s="8" t="s">
        <v>9912</v>
      </c>
      <c r="C2417" s="8" t="s">
        <v>9913</v>
      </c>
      <c r="D2417" s="8" t="s">
        <v>3163</v>
      </c>
      <c r="E2417" s="8" t="s">
        <v>412</v>
      </c>
      <c r="F2417" s="12" t="s">
        <v>9914</v>
      </c>
      <c r="G2417" s="8" t="s">
        <v>9915</v>
      </c>
      <c r="H2417" s="8" t="s">
        <v>61</v>
      </c>
      <c r="I2417" s="8" t="s">
        <v>3756</v>
      </c>
    </row>
    <row r="2418" spans="1:9" ht="14.25" customHeight="1" x14ac:dyDescent="0.25">
      <c r="A2418" s="7" t="s">
        <v>9916</v>
      </c>
      <c r="B2418" s="8" t="s">
        <v>1567</v>
      </c>
      <c r="C2418" s="8" t="s">
        <v>2973</v>
      </c>
      <c r="D2418" s="8" t="s">
        <v>411</v>
      </c>
      <c r="E2418" s="8" t="s">
        <v>412</v>
      </c>
      <c r="F2418" s="12" t="s">
        <v>9917</v>
      </c>
      <c r="G2418" s="8" t="s">
        <v>9918</v>
      </c>
      <c r="H2418" s="8" t="s">
        <v>2212</v>
      </c>
      <c r="I2418" s="8" t="s">
        <v>4039</v>
      </c>
    </row>
    <row r="2419" spans="1:9" ht="14.25" customHeight="1" x14ac:dyDescent="0.25">
      <c r="A2419" s="7" t="s">
        <v>9919</v>
      </c>
      <c r="B2419" s="8" t="s">
        <v>2644</v>
      </c>
      <c r="C2419" s="8" t="s">
        <v>9920</v>
      </c>
      <c r="D2419" s="8" t="s">
        <v>411</v>
      </c>
      <c r="E2419" s="8" t="s">
        <v>412</v>
      </c>
      <c r="F2419" s="12" t="s">
        <v>9921</v>
      </c>
      <c r="G2419" s="8" t="s">
        <v>9922</v>
      </c>
      <c r="H2419" s="10" t="s">
        <v>3820</v>
      </c>
      <c r="I2419" s="8" t="s">
        <v>3756</v>
      </c>
    </row>
    <row r="2420" spans="1:9" ht="14.25" customHeight="1" x14ac:dyDescent="0.25">
      <c r="A2420" s="7" t="s">
        <v>9923</v>
      </c>
      <c r="B2420" s="8" t="s">
        <v>9924</v>
      </c>
      <c r="C2420" s="8" t="s">
        <v>9925</v>
      </c>
      <c r="D2420" s="8" t="s">
        <v>411</v>
      </c>
      <c r="E2420" s="8" t="s">
        <v>412</v>
      </c>
      <c r="F2420" s="12" t="s">
        <v>9926</v>
      </c>
      <c r="G2420" s="8" t="s">
        <v>6023</v>
      </c>
      <c r="H2420" s="8" t="s">
        <v>3618</v>
      </c>
      <c r="I2420" s="8" t="s">
        <v>3756</v>
      </c>
    </row>
    <row r="2421" spans="1:9" ht="14.25" customHeight="1" x14ac:dyDescent="0.25">
      <c r="A2421" s="7" t="s">
        <v>9927</v>
      </c>
      <c r="B2421" s="8" t="s">
        <v>9928</v>
      </c>
      <c r="C2421" s="8" t="s">
        <v>9929</v>
      </c>
      <c r="D2421" s="8" t="s">
        <v>411</v>
      </c>
      <c r="E2421" s="8" t="s">
        <v>412</v>
      </c>
      <c r="F2421" s="12" t="s">
        <v>9930</v>
      </c>
      <c r="G2421" s="8" t="s">
        <v>6542</v>
      </c>
      <c r="H2421" s="8" t="s">
        <v>4199</v>
      </c>
      <c r="I2421" s="8" t="s">
        <v>3756</v>
      </c>
    </row>
    <row r="2422" spans="1:9" ht="14.25" customHeight="1" x14ac:dyDescent="0.25">
      <c r="A2422" s="7" t="s">
        <v>9931</v>
      </c>
      <c r="B2422" s="8" t="s">
        <v>4119</v>
      </c>
      <c r="C2422" s="8" t="s">
        <v>9932</v>
      </c>
      <c r="D2422" s="8" t="s">
        <v>411</v>
      </c>
      <c r="E2422" s="8" t="s">
        <v>412</v>
      </c>
      <c r="F2422" s="12" t="s">
        <v>9933</v>
      </c>
      <c r="G2422" s="8" t="s">
        <v>9934</v>
      </c>
      <c r="H2422" s="8" t="s">
        <v>82</v>
      </c>
      <c r="I2422" s="8" t="s">
        <v>3756</v>
      </c>
    </row>
    <row r="2423" spans="1:9" ht="14.25" customHeight="1" x14ac:dyDescent="0.25">
      <c r="A2423" s="7" t="s">
        <v>9935</v>
      </c>
      <c r="B2423" s="8" t="s">
        <v>9936</v>
      </c>
      <c r="C2423" s="8" t="s">
        <v>9937</v>
      </c>
      <c r="D2423" s="8" t="s">
        <v>3163</v>
      </c>
      <c r="E2423" s="8" t="s">
        <v>412</v>
      </c>
      <c r="F2423" s="12" t="s">
        <v>9938</v>
      </c>
      <c r="G2423" s="8" t="s">
        <v>9939</v>
      </c>
      <c r="H2423" s="8" t="s">
        <v>5537</v>
      </c>
      <c r="I2423" s="8" t="s">
        <v>4039</v>
      </c>
    </row>
    <row r="2424" spans="1:9" ht="14.25" customHeight="1" x14ac:dyDescent="0.25">
      <c r="A2424" s="7" t="s">
        <v>9940</v>
      </c>
      <c r="B2424" s="8" t="s">
        <v>8992</v>
      </c>
      <c r="C2424" s="8" t="s">
        <v>9941</v>
      </c>
      <c r="D2424" s="8" t="s">
        <v>3163</v>
      </c>
      <c r="E2424" s="8" t="s">
        <v>412</v>
      </c>
      <c r="F2424" s="12" t="s">
        <v>9942</v>
      </c>
      <c r="G2424" s="8" t="s">
        <v>9943</v>
      </c>
      <c r="H2424" s="8" t="s">
        <v>61</v>
      </c>
      <c r="I2424" s="8" t="s">
        <v>3756</v>
      </c>
    </row>
    <row r="2425" spans="1:9" ht="14.25" customHeight="1" x14ac:dyDescent="0.25">
      <c r="A2425" s="7" t="s">
        <v>9944</v>
      </c>
      <c r="B2425" s="8" t="s">
        <v>1363</v>
      </c>
      <c r="C2425" s="8" t="s">
        <v>9945</v>
      </c>
      <c r="D2425" s="8" t="s">
        <v>3163</v>
      </c>
      <c r="E2425" s="8" t="s">
        <v>412</v>
      </c>
      <c r="F2425" s="11" t="s">
        <v>9946</v>
      </c>
      <c r="G2425" s="8" t="s">
        <v>9947</v>
      </c>
      <c r="H2425" s="8" t="s">
        <v>4330</v>
      </c>
      <c r="I2425" s="8" t="s">
        <v>3756</v>
      </c>
    </row>
    <row r="2426" spans="1:9" ht="14.25" customHeight="1" x14ac:dyDescent="0.25">
      <c r="A2426" s="7" t="s">
        <v>9948</v>
      </c>
      <c r="B2426" s="8" t="s">
        <v>9949</v>
      </c>
      <c r="C2426" s="8" t="s">
        <v>9950</v>
      </c>
      <c r="D2426" s="8" t="s">
        <v>411</v>
      </c>
      <c r="E2426" s="8" t="s">
        <v>412</v>
      </c>
      <c r="F2426" s="11" t="s">
        <v>9951</v>
      </c>
      <c r="G2426" s="8" t="s">
        <v>9952</v>
      </c>
      <c r="H2426" s="8" t="s">
        <v>7510</v>
      </c>
      <c r="I2426" s="8" t="s">
        <v>3756</v>
      </c>
    </row>
    <row r="2427" spans="1:9" ht="14.25" customHeight="1" x14ac:dyDescent="0.25">
      <c r="A2427" s="7" t="s">
        <v>9953</v>
      </c>
      <c r="B2427" s="8" t="s">
        <v>7290</v>
      </c>
      <c r="C2427" s="8" t="s">
        <v>9954</v>
      </c>
      <c r="D2427" s="8" t="s">
        <v>3163</v>
      </c>
      <c r="E2427" s="8" t="s">
        <v>412</v>
      </c>
      <c r="F2427" s="12" t="s">
        <v>9955</v>
      </c>
      <c r="G2427" s="8" t="s">
        <v>9956</v>
      </c>
      <c r="H2427" s="8" t="s">
        <v>61</v>
      </c>
      <c r="I2427" s="8" t="s">
        <v>4039</v>
      </c>
    </row>
    <row r="2428" spans="1:9" ht="14.25" customHeight="1" x14ac:dyDescent="0.25">
      <c r="A2428" s="7" t="s">
        <v>9957</v>
      </c>
      <c r="B2428" s="8" t="s">
        <v>9958</v>
      </c>
      <c r="C2428" s="8" t="s">
        <v>9959</v>
      </c>
      <c r="D2428" s="8" t="s">
        <v>411</v>
      </c>
      <c r="E2428" s="8" t="s">
        <v>412</v>
      </c>
      <c r="F2428" s="12" t="s">
        <v>9960</v>
      </c>
      <c r="G2428" s="8" t="s">
        <v>9961</v>
      </c>
      <c r="H2428" s="8" t="s">
        <v>4199</v>
      </c>
      <c r="I2428" s="8" t="s">
        <v>3756</v>
      </c>
    </row>
    <row r="2429" spans="1:9" ht="14.25" customHeight="1" x14ac:dyDescent="0.25">
      <c r="A2429" s="7" t="s">
        <v>9962</v>
      </c>
      <c r="B2429" s="8" t="s">
        <v>9963</v>
      </c>
      <c r="C2429" s="8" t="s">
        <v>9964</v>
      </c>
      <c r="D2429" s="8" t="s">
        <v>411</v>
      </c>
      <c r="E2429" s="8" t="s">
        <v>3890</v>
      </c>
      <c r="F2429" s="12" t="s">
        <v>9965</v>
      </c>
      <c r="G2429" s="8" t="s">
        <v>9966</v>
      </c>
      <c r="H2429" s="8" t="s">
        <v>4317</v>
      </c>
      <c r="I2429" s="8" t="s">
        <v>3756</v>
      </c>
    </row>
    <row r="2430" spans="1:9" ht="14.25" customHeight="1" x14ac:dyDescent="0.25">
      <c r="A2430" s="7" t="s">
        <v>9967</v>
      </c>
      <c r="B2430" s="8" t="s">
        <v>9968</v>
      </c>
      <c r="C2430" s="8" t="s">
        <v>9969</v>
      </c>
      <c r="D2430" s="8" t="s">
        <v>3163</v>
      </c>
      <c r="E2430" s="8" t="s">
        <v>3890</v>
      </c>
      <c r="F2430" s="12" t="s">
        <v>9970</v>
      </c>
      <c r="G2430" s="8" t="s">
        <v>9966</v>
      </c>
      <c r="H2430" s="8" t="s">
        <v>4317</v>
      </c>
      <c r="I2430" s="8" t="s">
        <v>3756</v>
      </c>
    </row>
    <row r="2431" spans="1:9" ht="14.25" customHeight="1" x14ac:dyDescent="0.25">
      <c r="A2431" s="33" t="s">
        <v>9971</v>
      </c>
      <c r="B2431" s="8" t="s">
        <v>2956</v>
      </c>
      <c r="C2431" s="8" t="s">
        <v>9972</v>
      </c>
      <c r="D2431" s="8" t="s">
        <v>411</v>
      </c>
      <c r="E2431" s="8" t="s">
        <v>412</v>
      </c>
      <c r="F2431" s="12" t="s">
        <v>9973</v>
      </c>
      <c r="G2431" s="8" t="s">
        <v>8436</v>
      </c>
      <c r="H2431" s="8" t="s">
        <v>5652</v>
      </c>
      <c r="I2431" s="8" t="s">
        <v>4039</v>
      </c>
    </row>
    <row r="2432" spans="1:9" ht="14.25" customHeight="1" x14ac:dyDescent="0.25">
      <c r="A2432" s="7" t="s">
        <v>9974</v>
      </c>
      <c r="B2432" s="8" t="s">
        <v>4515</v>
      </c>
      <c r="C2432" s="8" t="s">
        <v>9975</v>
      </c>
      <c r="D2432" s="8" t="s">
        <v>411</v>
      </c>
      <c r="E2432" s="8" t="s">
        <v>412</v>
      </c>
      <c r="F2432" s="12" t="s">
        <v>9976</v>
      </c>
      <c r="G2432" s="8" t="s">
        <v>9977</v>
      </c>
      <c r="H2432" s="8" t="s">
        <v>9978</v>
      </c>
      <c r="I2432" s="8" t="s">
        <v>4039</v>
      </c>
    </row>
    <row r="2433" spans="1:9" ht="14.25" customHeight="1" x14ac:dyDescent="0.25">
      <c r="A2433" s="7" t="s">
        <v>9979</v>
      </c>
      <c r="B2433" s="8" t="s">
        <v>9980</v>
      </c>
      <c r="C2433" s="8" t="s">
        <v>5385</v>
      </c>
      <c r="D2433" s="8" t="s">
        <v>3163</v>
      </c>
      <c r="E2433" s="8" t="s">
        <v>412</v>
      </c>
      <c r="F2433" s="12" t="s">
        <v>9981</v>
      </c>
      <c r="G2433" s="8" t="s">
        <v>9982</v>
      </c>
      <c r="H2433" s="8" t="s">
        <v>72</v>
      </c>
      <c r="I2433" s="8" t="s">
        <v>4371</v>
      </c>
    </row>
    <row r="2434" spans="1:9" ht="14.25" customHeight="1" x14ac:dyDescent="0.25">
      <c r="A2434" s="7" t="s">
        <v>9983</v>
      </c>
      <c r="B2434" s="8" t="s">
        <v>5388</v>
      </c>
      <c r="C2434" s="8" t="s">
        <v>9984</v>
      </c>
      <c r="D2434" s="8" t="s">
        <v>3163</v>
      </c>
      <c r="E2434" s="8" t="s">
        <v>412</v>
      </c>
      <c r="F2434" s="12" t="s">
        <v>9985</v>
      </c>
      <c r="G2434" s="8" t="s">
        <v>9986</v>
      </c>
      <c r="H2434" s="8" t="s">
        <v>7403</v>
      </c>
      <c r="I2434" s="8" t="s">
        <v>4039</v>
      </c>
    </row>
    <row r="2435" spans="1:9" ht="14.25" customHeight="1" x14ac:dyDescent="0.25">
      <c r="A2435" s="7" t="s">
        <v>9987</v>
      </c>
      <c r="B2435" s="8" t="s">
        <v>1907</v>
      </c>
      <c r="C2435" s="8" t="s">
        <v>9988</v>
      </c>
      <c r="D2435" s="8" t="s">
        <v>411</v>
      </c>
      <c r="E2435" s="8" t="s">
        <v>412</v>
      </c>
      <c r="F2435" s="12" t="s">
        <v>9989</v>
      </c>
      <c r="G2435" s="8" t="s">
        <v>9990</v>
      </c>
      <c r="H2435" s="8" t="s">
        <v>15</v>
      </c>
      <c r="I2435" s="8" t="s">
        <v>3756</v>
      </c>
    </row>
    <row r="2436" spans="1:9" ht="14.25" customHeight="1" x14ac:dyDescent="0.25">
      <c r="A2436" s="7" t="s">
        <v>9991</v>
      </c>
      <c r="B2436" s="8" t="s">
        <v>9992</v>
      </c>
      <c r="C2436" s="8" t="s">
        <v>9993</v>
      </c>
      <c r="D2436" s="8" t="s">
        <v>3163</v>
      </c>
      <c r="E2436" s="8" t="s">
        <v>412</v>
      </c>
      <c r="F2436" s="12" t="s">
        <v>9994</v>
      </c>
      <c r="G2436" s="8" t="s">
        <v>9995</v>
      </c>
      <c r="H2436" s="8" t="s">
        <v>25</v>
      </c>
      <c r="I2436" s="8" t="s">
        <v>3756</v>
      </c>
    </row>
    <row r="2437" spans="1:9" ht="14.25" customHeight="1" x14ac:dyDescent="0.25">
      <c r="A2437" s="7" t="s">
        <v>9996</v>
      </c>
      <c r="B2437" s="8" t="s">
        <v>3089</v>
      </c>
      <c r="C2437" s="8" t="s">
        <v>9997</v>
      </c>
      <c r="D2437" s="8" t="s">
        <v>411</v>
      </c>
      <c r="E2437" s="8" t="s">
        <v>3890</v>
      </c>
      <c r="F2437" s="12" t="s">
        <v>9998</v>
      </c>
      <c r="G2437" s="8" t="s">
        <v>9999</v>
      </c>
      <c r="H2437" s="8" t="s">
        <v>4951</v>
      </c>
      <c r="I2437" s="8" t="s">
        <v>4039</v>
      </c>
    </row>
    <row r="2438" spans="1:9" ht="14.25" customHeight="1" x14ac:dyDescent="0.25">
      <c r="A2438" s="7" t="s">
        <v>10000</v>
      </c>
      <c r="B2438" s="8" t="s">
        <v>10001</v>
      </c>
      <c r="C2438" s="8" t="s">
        <v>10002</v>
      </c>
      <c r="D2438" s="8" t="s">
        <v>3163</v>
      </c>
      <c r="E2438" s="8" t="s">
        <v>3890</v>
      </c>
      <c r="F2438" s="11"/>
      <c r="G2438" s="8" t="s">
        <v>9999</v>
      </c>
      <c r="H2438" s="8" t="s">
        <v>4951</v>
      </c>
      <c r="I2438" s="8" t="s">
        <v>4039</v>
      </c>
    </row>
    <row r="2439" spans="1:9" ht="14.25" customHeight="1" x14ac:dyDescent="0.25">
      <c r="A2439" s="7" t="s">
        <v>10003</v>
      </c>
      <c r="B2439" s="8" t="s">
        <v>5375</v>
      </c>
      <c r="C2439" s="8" t="s">
        <v>9109</v>
      </c>
      <c r="D2439" s="8" t="s">
        <v>3163</v>
      </c>
      <c r="E2439" s="8" t="s">
        <v>3890</v>
      </c>
      <c r="F2439" s="12" t="s">
        <v>10004</v>
      </c>
      <c r="G2439" s="8" t="s">
        <v>10005</v>
      </c>
      <c r="H2439" s="8" t="s">
        <v>4059</v>
      </c>
      <c r="I2439" s="8" t="s">
        <v>5347</v>
      </c>
    </row>
    <row r="2440" spans="1:9" ht="14.25" customHeight="1" x14ac:dyDescent="0.25">
      <c r="A2440" s="7" t="s">
        <v>9104</v>
      </c>
      <c r="B2440" s="8" t="s">
        <v>10006</v>
      </c>
      <c r="C2440" s="8" t="s">
        <v>9105</v>
      </c>
      <c r="D2440" s="8" t="s">
        <v>411</v>
      </c>
      <c r="E2440" s="8" t="s">
        <v>3890</v>
      </c>
      <c r="F2440" s="12" t="s">
        <v>9106</v>
      </c>
      <c r="G2440" s="8" t="s">
        <v>10005</v>
      </c>
      <c r="H2440" s="8" t="s">
        <v>4059</v>
      </c>
      <c r="I2440" s="8" t="s">
        <v>5347</v>
      </c>
    </row>
    <row r="2441" spans="1:9" ht="14.25" customHeight="1" x14ac:dyDescent="0.25">
      <c r="A2441" s="7" t="s">
        <v>10007</v>
      </c>
      <c r="B2441" s="8" t="s">
        <v>10008</v>
      </c>
      <c r="C2441" s="8" t="s">
        <v>10009</v>
      </c>
      <c r="D2441" s="8" t="s">
        <v>411</v>
      </c>
      <c r="E2441" s="8" t="s">
        <v>3890</v>
      </c>
      <c r="F2441" s="12" t="s">
        <v>10010</v>
      </c>
      <c r="G2441" s="8" t="s">
        <v>10011</v>
      </c>
      <c r="H2441" s="8" t="s">
        <v>10012</v>
      </c>
      <c r="I2441" s="8" t="s">
        <v>3756</v>
      </c>
    </row>
    <row r="2442" spans="1:9" ht="14.25" customHeight="1" x14ac:dyDescent="0.25">
      <c r="A2442" s="7" t="s">
        <v>10013</v>
      </c>
      <c r="B2442" s="8" t="s">
        <v>10014</v>
      </c>
      <c r="C2442" s="8" t="s">
        <v>10015</v>
      </c>
      <c r="D2442" s="8" t="s">
        <v>3163</v>
      </c>
      <c r="E2442" s="8" t="s">
        <v>3890</v>
      </c>
      <c r="F2442" s="12" t="s">
        <v>10016</v>
      </c>
      <c r="G2442" s="8" t="s">
        <v>10011</v>
      </c>
      <c r="H2442" s="8" t="s">
        <v>10012</v>
      </c>
      <c r="I2442" s="8" t="s">
        <v>3756</v>
      </c>
    </row>
    <row r="2443" spans="1:9" ht="14.25" customHeight="1" x14ac:dyDescent="0.25">
      <c r="A2443" s="7" t="s">
        <v>10017</v>
      </c>
      <c r="B2443" s="8" t="s">
        <v>944</v>
      </c>
      <c r="C2443" s="8" t="s">
        <v>10018</v>
      </c>
      <c r="D2443" s="8" t="s">
        <v>411</v>
      </c>
      <c r="E2443" s="8" t="s">
        <v>412</v>
      </c>
      <c r="F2443" s="12" t="s">
        <v>10019</v>
      </c>
      <c r="G2443" s="8" t="s">
        <v>10020</v>
      </c>
      <c r="H2443" s="8" t="s">
        <v>20</v>
      </c>
      <c r="I2443" s="8" t="s">
        <v>4039</v>
      </c>
    </row>
    <row r="2444" spans="1:9" ht="14.25" customHeight="1" x14ac:dyDescent="0.25">
      <c r="A2444" s="7" t="s">
        <v>10021</v>
      </c>
      <c r="B2444" s="8" t="s">
        <v>10022</v>
      </c>
      <c r="C2444" s="8" t="s">
        <v>3583</v>
      </c>
      <c r="D2444" s="8" t="s">
        <v>411</v>
      </c>
      <c r="E2444" s="8" t="s">
        <v>412</v>
      </c>
      <c r="F2444" s="12" t="s">
        <v>10023</v>
      </c>
      <c r="G2444" s="8" t="s">
        <v>10024</v>
      </c>
      <c r="H2444" s="8" t="s">
        <v>20</v>
      </c>
      <c r="I2444" s="8" t="s">
        <v>4039</v>
      </c>
    </row>
    <row r="2445" spans="1:9" ht="14.25" customHeight="1" x14ac:dyDescent="0.25">
      <c r="A2445" s="7" t="s">
        <v>10025</v>
      </c>
      <c r="B2445" s="8" t="s">
        <v>10026</v>
      </c>
      <c r="C2445" s="8" t="s">
        <v>10027</v>
      </c>
      <c r="D2445" s="8" t="s">
        <v>3163</v>
      </c>
      <c r="E2445" s="8" t="s">
        <v>412</v>
      </c>
      <c r="F2445" s="12" t="s">
        <v>10028</v>
      </c>
      <c r="G2445" s="8" t="s">
        <v>10029</v>
      </c>
      <c r="H2445" s="8" t="s">
        <v>25</v>
      </c>
      <c r="I2445" s="8" t="s">
        <v>3756</v>
      </c>
    </row>
    <row r="2446" spans="1:9" ht="14.25" customHeight="1" x14ac:dyDescent="0.25">
      <c r="A2446" s="7" t="s">
        <v>10030</v>
      </c>
      <c r="B2446" s="8" t="s">
        <v>8966</v>
      </c>
      <c r="C2446" s="8" t="s">
        <v>7184</v>
      </c>
      <c r="D2446" s="8" t="s">
        <v>3163</v>
      </c>
      <c r="E2446" s="8" t="s">
        <v>3890</v>
      </c>
      <c r="F2446" s="11"/>
      <c r="G2446" s="8"/>
      <c r="H2446" s="8" t="s">
        <v>3918</v>
      </c>
      <c r="I2446" s="8" t="s">
        <v>4039</v>
      </c>
    </row>
    <row r="2447" spans="1:9" ht="14.25" customHeight="1" x14ac:dyDescent="0.25">
      <c r="A2447" s="7" t="s">
        <v>10031</v>
      </c>
      <c r="B2447" s="8" t="s">
        <v>10032</v>
      </c>
      <c r="C2447" s="8" t="s">
        <v>10033</v>
      </c>
      <c r="D2447" s="8" t="s">
        <v>411</v>
      </c>
      <c r="E2447" s="8" t="s">
        <v>412</v>
      </c>
      <c r="F2447" s="11"/>
      <c r="G2447" s="8"/>
      <c r="H2447" s="8"/>
      <c r="I2447" s="8"/>
    </row>
    <row r="2448" spans="1:9" ht="14.25" customHeight="1" x14ac:dyDescent="0.25">
      <c r="A2448" s="7" t="s">
        <v>10034</v>
      </c>
      <c r="B2448" s="8" t="s">
        <v>10035</v>
      </c>
      <c r="C2448" s="8" t="s">
        <v>10036</v>
      </c>
      <c r="D2448" s="8" t="s">
        <v>411</v>
      </c>
      <c r="E2448" s="8" t="s">
        <v>412</v>
      </c>
      <c r="F2448" s="12" t="s">
        <v>10037</v>
      </c>
      <c r="G2448" s="8" t="s">
        <v>10038</v>
      </c>
      <c r="H2448" s="8" t="s">
        <v>82</v>
      </c>
      <c r="I2448" s="8" t="s">
        <v>3756</v>
      </c>
    </row>
    <row r="2449" spans="1:9" ht="14.25" customHeight="1" x14ac:dyDescent="0.25">
      <c r="A2449" s="7" t="s">
        <v>10039</v>
      </c>
      <c r="B2449" s="8" t="s">
        <v>1797</v>
      </c>
      <c r="C2449" s="8" t="s">
        <v>10040</v>
      </c>
      <c r="D2449" s="8" t="s">
        <v>3163</v>
      </c>
      <c r="E2449" s="8" t="s">
        <v>3890</v>
      </c>
      <c r="F2449" s="12" t="s">
        <v>10041</v>
      </c>
      <c r="G2449" s="8" t="s">
        <v>10042</v>
      </c>
      <c r="H2449" s="8" t="s">
        <v>10043</v>
      </c>
      <c r="I2449" s="8" t="s">
        <v>4039</v>
      </c>
    </row>
    <row r="2450" spans="1:9" ht="14.25" customHeight="1" x14ac:dyDescent="0.25">
      <c r="A2450" s="7" t="s">
        <v>10044</v>
      </c>
      <c r="B2450" s="8" t="s">
        <v>518</v>
      </c>
      <c r="C2450" s="8" t="s">
        <v>10045</v>
      </c>
      <c r="D2450" s="8" t="s">
        <v>411</v>
      </c>
      <c r="E2450" s="8" t="s">
        <v>3890</v>
      </c>
      <c r="F2450" s="11"/>
      <c r="G2450" s="8" t="s">
        <v>10042</v>
      </c>
      <c r="H2450" s="8" t="s">
        <v>10043</v>
      </c>
      <c r="I2450" s="8" t="s">
        <v>4039</v>
      </c>
    </row>
    <row r="2451" spans="1:9" ht="14.25" customHeight="1" x14ac:dyDescent="0.25">
      <c r="A2451" s="7" t="s">
        <v>10046</v>
      </c>
      <c r="B2451" s="8" t="s">
        <v>4692</v>
      </c>
      <c r="C2451" s="8" t="s">
        <v>10047</v>
      </c>
      <c r="D2451" s="8" t="s">
        <v>411</v>
      </c>
      <c r="E2451" s="8" t="s">
        <v>3890</v>
      </c>
      <c r="F2451" s="12" t="s">
        <v>10048</v>
      </c>
      <c r="G2451" s="8" t="s">
        <v>10049</v>
      </c>
      <c r="H2451" s="8" t="s">
        <v>10043</v>
      </c>
      <c r="I2451" s="8" t="s">
        <v>4039</v>
      </c>
    </row>
    <row r="2452" spans="1:9" ht="14.25" customHeight="1" x14ac:dyDescent="0.25">
      <c r="A2452" s="7" t="s">
        <v>10050</v>
      </c>
      <c r="B2452" s="8" t="s">
        <v>10051</v>
      </c>
      <c r="C2452" s="8" t="s">
        <v>10047</v>
      </c>
      <c r="D2452" s="8" t="s">
        <v>3163</v>
      </c>
      <c r="E2452" s="8" t="s">
        <v>3890</v>
      </c>
      <c r="F2452" s="12" t="s">
        <v>10052</v>
      </c>
      <c r="G2452" s="8" t="s">
        <v>10049</v>
      </c>
      <c r="H2452" s="8" t="s">
        <v>10043</v>
      </c>
      <c r="I2452" s="8" t="s">
        <v>4039</v>
      </c>
    </row>
    <row r="2453" spans="1:9" ht="14.25" customHeight="1" x14ac:dyDescent="0.25">
      <c r="A2453" s="7" t="s">
        <v>10053</v>
      </c>
      <c r="B2453" s="8" t="s">
        <v>3694</v>
      </c>
      <c r="C2453" s="8" t="s">
        <v>10054</v>
      </c>
      <c r="D2453" s="8" t="s">
        <v>411</v>
      </c>
      <c r="E2453" s="8" t="s">
        <v>412</v>
      </c>
      <c r="F2453" s="11" t="s">
        <v>10055</v>
      </c>
      <c r="G2453" s="8" t="s">
        <v>10056</v>
      </c>
      <c r="H2453" s="8" t="s">
        <v>25</v>
      </c>
      <c r="I2453" s="8" t="s">
        <v>4039</v>
      </c>
    </row>
    <row r="2454" spans="1:9" ht="14.25" customHeight="1" x14ac:dyDescent="0.25">
      <c r="A2454" s="7" t="s">
        <v>10057</v>
      </c>
      <c r="B2454" s="8" t="s">
        <v>2432</v>
      </c>
      <c r="C2454" s="8" t="s">
        <v>10058</v>
      </c>
      <c r="D2454" s="8" t="s">
        <v>411</v>
      </c>
      <c r="E2454" s="8" t="s">
        <v>412</v>
      </c>
      <c r="F2454" s="11"/>
      <c r="G2454" s="8"/>
      <c r="H2454" s="8"/>
      <c r="I2454" s="8"/>
    </row>
    <row r="2455" spans="1:9" ht="14.25" customHeight="1" x14ac:dyDescent="0.25">
      <c r="A2455" s="7" t="s">
        <v>10059</v>
      </c>
      <c r="B2455" s="8" t="s">
        <v>5782</v>
      </c>
      <c r="C2455" s="8" t="s">
        <v>10060</v>
      </c>
      <c r="D2455" s="8" t="s">
        <v>411</v>
      </c>
      <c r="E2455" s="8" t="s">
        <v>412</v>
      </c>
      <c r="F2455" s="12" t="s">
        <v>10061</v>
      </c>
      <c r="G2455" s="11"/>
      <c r="H2455" s="8" t="s">
        <v>6255</v>
      </c>
      <c r="I2455" s="8" t="s">
        <v>3756</v>
      </c>
    </row>
    <row r="2456" spans="1:9" ht="14.25" customHeight="1" x14ac:dyDescent="0.25">
      <c r="A2456" s="7" t="s">
        <v>10062</v>
      </c>
      <c r="B2456" s="8" t="s">
        <v>532</v>
      </c>
      <c r="C2456" s="8" t="s">
        <v>10063</v>
      </c>
      <c r="D2456" s="8" t="s">
        <v>3163</v>
      </c>
      <c r="E2456" s="8" t="s">
        <v>412</v>
      </c>
      <c r="F2456" s="12" t="s">
        <v>10064</v>
      </c>
      <c r="G2456" s="8" t="s">
        <v>10065</v>
      </c>
      <c r="H2456" s="8" t="s">
        <v>92</v>
      </c>
      <c r="I2456" s="8" t="s">
        <v>3756</v>
      </c>
    </row>
    <row r="2457" spans="1:9" ht="14.25" customHeight="1" x14ac:dyDescent="0.25">
      <c r="A2457" s="7" t="s">
        <v>10066</v>
      </c>
      <c r="B2457" s="8" t="s">
        <v>10067</v>
      </c>
      <c r="C2457" s="8" t="s">
        <v>10068</v>
      </c>
      <c r="D2457" s="8" t="s">
        <v>411</v>
      </c>
      <c r="E2457" s="8" t="s">
        <v>412</v>
      </c>
      <c r="F2457" s="12" t="s">
        <v>10069</v>
      </c>
      <c r="G2457" s="8" t="s">
        <v>10070</v>
      </c>
      <c r="H2457" s="8" t="s">
        <v>15</v>
      </c>
      <c r="I2457" s="8" t="s">
        <v>3756</v>
      </c>
    </row>
    <row r="2458" spans="1:9" ht="14.25" customHeight="1" x14ac:dyDescent="0.25">
      <c r="A2458" s="7" t="s">
        <v>10071</v>
      </c>
      <c r="B2458" s="8" t="s">
        <v>10072</v>
      </c>
      <c r="C2458" s="8" t="s">
        <v>10073</v>
      </c>
      <c r="D2458" s="8" t="s">
        <v>3163</v>
      </c>
      <c r="E2458" s="8" t="s">
        <v>412</v>
      </c>
      <c r="F2458" s="12" t="s">
        <v>10074</v>
      </c>
      <c r="G2458" s="8" t="s">
        <v>10075</v>
      </c>
      <c r="H2458" s="8" t="s">
        <v>4330</v>
      </c>
      <c r="I2458" s="8" t="s">
        <v>3756</v>
      </c>
    </row>
    <row r="2459" spans="1:9" ht="14.25" customHeight="1" x14ac:dyDescent="0.25">
      <c r="A2459" s="7" t="s">
        <v>10076</v>
      </c>
      <c r="B2459" s="8" t="s">
        <v>10077</v>
      </c>
      <c r="C2459" s="8" t="s">
        <v>10078</v>
      </c>
      <c r="D2459" s="8" t="s">
        <v>3163</v>
      </c>
      <c r="E2459" s="8" t="s">
        <v>412</v>
      </c>
      <c r="F2459" s="12" t="s">
        <v>10079</v>
      </c>
      <c r="G2459" s="8" t="s">
        <v>9634</v>
      </c>
      <c r="H2459" s="8" t="s">
        <v>37</v>
      </c>
      <c r="I2459" s="8" t="s">
        <v>4039</v>
      </c>
    </row>
    <row r="2460" spans="1:9" ht="14.25" customHeight="1" x14ac:dyDescent="0.25">
      <c r="A2460" s="7" t="s">
        <v>10080</v>
      </c>
      <c r="B2460" s="8" t="s">
        <v>3722</v>
      </c>
      <c r="C2460" s="8" t="s">
        <v>10081</v>
      </c>
      <c r="D2460" s="8" t="s">
        <v>411</v>
      </c>
      <c r="E2460" s="8" t="s">
        <v>412</v>
      </c>
      <c r="F2460" s="11" t="s">
        <v>10082</v>
      </c>
      <c r="G2460" s="8"/>
      <c r="H2460" s="8" t="s">
        <v>61</v>
      </c>
      <c r="I2460" s="8" t="s">
        <v>5347</v>
      </c>
    </row>
    <row r="2461" spans="1:9" ht="14.25" customHeight="1" x14ac:dyDescent="0.25">
      <c r="A2461" s="7" t="s">
        <v>10083</v>
      </c>
      <c r="B2461" s="8" t="s">
        <v>1629</v>
      </c>
      <c r="C2461" s="8" t="s">
        <v>10084</v>
      </c>
      <c r="D2461" s="8" t="s">
        <v>411</v>
      </c>
      <c r="E2461" s="8" t="s">
        <v>412</v>
      </c>
      <c r="F2461" s="11" t="s">
        <v>10085</v>
      </c>
      <c r="G2461" s="8" t="s">
        <v>10086</v>
      </c>
      <c r="H2461" s="8" t="s">
        <v>5392</v>
      </c>
      <c r="I2461" s="8" t="s">
        <v>3756</v>
      </c>
    </row>
    <row r="2462" spans="1:9" ht="14.25" customHeight="1" x14ac:dyDescent="0.25">
      <c r="A2462" s="7" t="s">
        <v>10087</v>
      </c>
      <c r="B2462" s="8" t="s">
        <v>3109</v>
      </c>
      <c r="C2462" s="8" t="s">
        <v>10088</v>
      </c>
      <c r="D2462" s="8" t="s">
        <v>411</v>
      </c>
      <c r="E2462" s="8" t="s">
        <v>412</v>
      </c>
      <c r="F2462" s="12" t="s">
        <v>10089</v>
      </c>
      <c r="G2462" s="8" t="s">
        <v>10090</v>
      </c>
      <c r="H2462" s="8" t="s">
        <v>10091</v>
      </c>
      <c r="I2462" s="8" t="s">
        <v>3756</v>
      </c>
    </row>
    <row r="2463" spans="1:9" ht="14.25" customHeight="1" x14ac:dyDescent="0.25">
      <c r="A2463" s="7" t="s">
        <v>10092</v>
      </c>
      <c r="B2463" s="8" t="s">
        <v>10093</v>
      </c>
      <c r="C2463" s="8" t="s">
        <v>10094</v>
      </c>
      <c r="D2463" s="8" t="s">
        <v>411</v>
      </c>
      <c r="E2463" s="8" t="s">
        <v>412</v>
      </c>
      <c r="F2463" s="12" t="s">
        <v>10095</v>
      </c>
      <c r="G2463" s="8" t="s">
        <v>9376</v>
      </c>
      <c r="H2463" s="8" t="s">
        <v>10091</v>
      </c>
      <c r="I2463" s="8" t="s">
        <v>3756</v>
      </c>
    </row>
    <row r="2464" spans="1:9" ht="14.25" customHeight="1" x14ac:dyDescent="0.25">
      <c r="A2464" s="7" t="s">
        <v>10096</v>
      </c>
      <c r="B2464" s="8" t="s">
        <v>10097</v>
      </c>
      <c r="C2464" s="8" t="s">
        <v>10098</v>
      </c>
      <c r="D2464" s="8" t="s">
        <v>411</v>
      </c>
      <c r="E2464" s="8" t="s">
        <v>412</v>
      </c>
      <c r="F2464" s="12" t="s">
        <v>10099</v>
      </c>
      <c r="G2464" s="8" t="s">
        <v>10100</v>
      </c>
      <c r="H2464" s="8" t="s">
        <v>10101</v>
      </c>
      <c r="I2464" s="8" t="s">
        <v>3756</v>
      </c>
    </row>
    <row r="2465" spans="1:9" ht="14.25" customHeight="1" x14ac:dyDescent="0.25">
      <c r="A2465" s="7" t="s">
        <v>10102</v>
      </c>
      <c r="B2465" s="8" t="s">
        <v>1047</v>
      </c>
      <c r="C2465" s="8" t="s">
        <v>10103</v>
      </c>
      <c r="D2465" s="8" t="s">
        <v>411</v>
      </c>
      <c r="E2465" s="8" t="s">
        <v>3890</v>
      </c>
      <c r="F2465" s="12" t="s">
        <v>10104</v>
      </c>
      <c r="G2465" s="8" t="s">
        <v>10105</v>
      </c>
      <c r="H2465" s="8" t="s">
        <v>20</v>
      </c>
      <c r="I2465" s="8" t="s">
        <v>4039</v>
      </c>
    </row>
    <row r="2466" spans="1:9" ht="14.25" customHeight="1" x14ac:dyDescent="0.25">
      <c r="A2466" s="7" t="s">
        <v>10106</v>
      </c>
      <c r="B2466" s="8" t="s">
        <v>659</v>
      </c>
      <c r="C2466" s="8" t="s">
        <v>10103</v>
      </c>
      <c r="D2466" s="8" t="s">
        <v>3163</v>
      </c>
      <c r="E2466" s="8" t="s">
        <v>3890</v>
      </c>
      <c r="F2466" s="11"/>
      <c r="G2466" s="8" t="s">
        <v>10105</v>
      </c>
      <c r="H2466" s="8" t="s">
        <v>20</v>
      </c>
      <c r="I2466" s="8" t="s">
        <v>4039</v>
      </c>
    </row>
    <row r="2467" spans="1:9" ht="14.25" customHeight="1" x14ac:dyDescent="0.25">
      <c r="A2467" s="7" t="s">
        <v>10107</v>
      </c>
      <c r="B2467" s="8" t="s">
        <v>8117</v>
      </c>
      <c r="C2467" s="8" t="s">
        <v>8118</v>
      </c>
      <c r="D2467" s="8" t="s">
        <v>3163</v>
      </c>
      <c r="E2467" s="8" t="s">
        <v>3890</v>
      </c>
      <c r="F2467" s="12" t="s">
        <v>10108</v>
      </c>
      <c r="G2467" s="8" t="s">
        <v>10109</v>
      </c>
      <c r="H2467" s="8" t="s">
        <v>15</v>
      </c>
      <c r="I2467" s="8" t="s">
        <v>3756</v>
      </c>
    </row>
    <row r="2468" spans="1:9" ht="14.25" customHeight="1" x14ac:dyDescent="0.25">
      <c r="A2468" s="7" t="s">
        <v>10110</v>
      </c>
      <c r="B2468" s="8" t="s">
        <v>8122</v>
      </c>
      <c r="C2468" s="8" t="s">
        <v>8118</v>
      </c>
      <c r="D2468" s="8" t="s">
        <v>411</v>
      </c>
      <c r="E2468" s="8" t="s">
        <v>3890</v>
      </c>
      <c r="F2468" s="11"/>
      <c r="G2468" s="8" t="s">
        <v>10109</v>
      </c>
      <c r="H2468" s="8" t="s">
        <v>15</v>
      </c>
      <c r="I2468" s="8" t="s">
        <v>3756</v>
      </c>
    </row>
    <row r="2469" spans="1:9" ht="14.25" customHeight="1" x14ac:dyDescent="0.25">
      <c r="A2469" s="7" t="s">
        <v>10111</v>
      </c>
      <c r="B2469" s="8" t="s">
        <v>10112</v>
      </c>
      <c r="C2469" s="8" t="s">
        <v>10113</v>
      </c>
      <c r="D2469" s="8" t="s">
        <v>411</v>
      </c>
      <c r="E2469" s="8" t="s">
        <v>3890</v>
      </c>
      <c r="F2469" s="12" t="s">
        <v>10114</v>
      </c>
      <c r="G2469" s="8" t="s">
        <v>10115</v>
      </c>
      <c r="H2469" s="8" t="s">
        <v>92</v>
      </c>
      <c r="I2469" s="8" t="s">
        <v>3756</v>
      </c>
    </row>
    <row r="2470" spans="1:9" ht="14.25" customHeight="1" x14ac:dyDescent="0.25">
      <c r="A2470" s="7" t="s">
        <v>10116</v>
      </c>
      <c r="B2470" s="8" t="s">
        <v>933</v>
      </c>
      <c r="C2470" s="8" t="s">
        <v>8678</v>
      </c>
      <c r="D2470" s="8" t="s">
        <v>3163</v>
      </c>
      <c r="E2470" s="8" t="s">
        <v>3890</v>
      </c>
      <c r="F2470" s="12" t="s">
        <v>10117</v>
      </c>
      <c r="G2470" s="8" t="s">
        <v>10115</v>
      </c>
      <c r="H2470" s="8" t="s">
        <v>92</v>
      </c>
      <c r="I2470" s="8" t="s">
        <v>3756</v>
      </c>
    </row>
    <row r="2471" spans="1:9" ht="14.25" customHeight="1" x14ac:dyDescent="0.25">
      <c r="A2471" s="7" t="s">
        <v>10118</v>
      </c>
      <c r="B2471" s="8" t="s">
        <v>5385</v>
      </c>
      <c r="C2471" s="8" t="s">
        <v>4061</v>
      </c>
      <c r="D2471" s="8" t="s">
        <v>3163</v>
      </c>
      <c r="E2471" s="8" t="s">
        <v>412</v>
      </c>
      <c r="F2471" s="12" t="s">
        <v>10119</v>
      </c>
      <c r="G2471" s="8" t="s">
        <v>10120</v>
      </c>
      <c r="H2471" s="8" t="s">
        <v>10121</v>
      </c>
      <c r="I2471" s="8" t="s">
        <v>4039</v>
      </c>
    </row>
    <row r="2472" spans="1:9" ht="14.25" customHeight="1" x14ac:dyDescent="0.25">
      <c r="A2472" s="7" t="s">
        <v>10122</v>
      </c>
      <c r="B2472" s="8" t="s">
        <v>8874</v>
      </c>
      <c r="C2472" s="8" t="s">
        <v>3052</v>
      </c>
      <c r="D2472" s="8" t="s">
        <v>411</v>
      </c>
      <c r="E2472" s="8" t="s">
        <v>412</v>
      </c>
      <c r="F2472" s="12" t="s">
        <v>10123</v>
      </c>
      <c r="G2472" s="8" t="s">
        <v>10124</v>
      </c>
      <c r="H2472" s="8" t="s">
        <v>2212</v>
      </c>
      <c r="I2472" s="8" t="s">
        <v>4039</v>
      </c>
    </row>
    <row r="2473" spans="1:9" ht="14.25" customHeight="1" x14ac:dyDescent="0.25">
      <c r="A2473" s="7" t="s">
        <v>10125</v>
      </c>
      <c r="B2473" s="8" t="s">
        <v>3623</v>
      </c>
      <c r="C2473" s="8" t="s">
        <v>491</v>
      </c>
      <c r="D2473" s="8" t="s">
        <v>411</v>
      </c>
      <c r="E2473" s="8" t="s">
        <v>412</v>
      </c>
      <c r="F2473" s="12" t="s">
        <v>10126</v>
      </c>
      <c r="G2473" s="8" t="s">
        <v>10127</v>
      </c>
      <c r="H2473" s="8" t="s">
        <v>10128</v>
      </c>
      <c r="I2473" s="8" t="s">
        <v>4371</v>
      </c>
    </row>
    <row r="2474" spans="1:9" ht="14.25" customHeight="1" x14ac:dyDescent="0.25">
      <c r="A2474" s="7" t="s">
        <v>10129</v>
      </c>
      <c r="B2474" s="8" t="s">
        <v>10130</v>
      </c>
      <c r="C2474" s="8" t="s">
        <v>2622</v>
      </c>
      <c r="D2474" s="8" t="s">
        <v>3163</v>
      </c>
      <c r="E2474" s="8" t="s">
        <v>412</v>
      </c>
      <c r="F2474" s="12" t="s">
        <v>10131</v>
      </c>
      <c r="G2474" s="8" t="s">
        <v>10132</v>
      </c>
      <c r="H2474" s="8" t="s">
        <v>25</v>
      </c>
      <c r="I2474" s="8" t="s">
        <v>3756</v>
      </c>
    </row>
    <row r="2475" spans="1:9" ht="14.25" customHeight="1" x14ac:dyDescent="0.25">
      <c r="A2475" s="7" t="s">
        <v>10133</v>
      </c>
      <c r="B2475" s="8" t="s">
        <v>10134</v>
      </c>
      <c r="C2475" s="8" t="s">
        <v>10135</v>
      </c>
      <c r="D2475" s="8" t="s">
        <v>3163</v>
      </c>
      <c r="E2475" s="8" t="s">
        <v>412</v>
      </c>
      <c r="F2475" s="12" t="s">
        <v>10136</v>
      </c>
      <c r="G2475" s="8" t="s">
        <v>10137</v>
      </c>
      <c r="H2475" s="8" t="s">
        <v>10138</v>
      </c>
      <c r="I2475" s="8" t="s">
        <v>3756</v>
      </c>
    </row>
    <row r="2476" spans="1:9" ht="14.25" customHeight="1" x14ac:dyDescent="0.25">
      <c r="A2476" s="19" t="s">
        <v>10139</v>
      </c>
      <c r="B2476" s="8" t="s">
        <v>10140</v>
      </c>
      <c r="C2476" s="8" t="s">
        <v>10141</v>
      </c>
      <c r="D2476" s="8" t="s">
        <v>411</v>
      </c>
      <c r="E2476" s="8" t="s">
        <v>412</v>
      </c>
      <c r="F2476" s="11"/>
      <c r="G2476" s="8"/>
      <c r="H2476" s="8"/>
      <c r="I2476" s="8"/>
    </row>
    <row r="2477" spans="1:9" ht="14.25" customHeight="1" x14ac:dyDescent="0.25">
      <c r="A2477" s="7" t="s">
        <v>10142</v>
      </c>
      <c r="B2477" s="8" t="s">
        <v>2956</v>
      </c>
      <c r="C2477" s="8" t="s">
        <v>1304</v>
      </c>
      <c r="D2477" s="8" t="s">
        <v>411</v>
      </c>
      <c r="E2477" s="8" t="s">
        <v>412</v>
      </c>
      <c r="F2477" s="11"/>
      <c r="G2477" s="8"/>
      <c r="H2477" s="8"/>
      <c r="I2477" s="8"/>
    </row>
    <row r="2478" spans="1:9" ht="14.25" customHeight="1" x14ac:dyDescent="0.25">
      <c r="A2478" s="7" t="s">
        <v>10143</v>
      </c>
      <c r="B2478" s="8" t="s">
        <v>10144</v>
      </c>
      <c r="C2478" s="23" t="s">
        <v>10145</v>
      </c>
      <c r="D2478" s="8" t="s">
        <v>411</v>
      </c>
      <c r="E2478" s="8" t="s">
        <v>3890</v>
      </c>
      <c r="F2478" s="12" t="s">
        <v>10146</v>
      </c>
      <c r="G2478" s="8" t="s">
        <v>10147</v>
      </c>
      <c r="H2478" s="8" t="s">
        <v>5013</v>
      </c>
      <c r="I2478" s="8" t="s">
        <v>4039</v>
      </c>
    </row>
    <row r="2479" spans="1:9" ht="14.25" customHeight="1" x14ac:dyDescent="0.25">
      <c r="A2479" s="7" t="s">
        <v>10148</v>
      </c>
      <c r="B2479" s="8" t="s">
        <v>10149</v>
      </c>
      <c r="C2479" s="8" t="s">
        <v>10150</v>
      </c>
      <c r="D2479" s="8" t="s">
        <v>3163</v>
      </c>
      <c r="E2479" s="8" t="s">
        <v>3890</v>
      </c>
      <c r="F2479" s="12" t="s">
        <v>10146</v>
      </c>
      <c r="G2479" s="8" t="s">
        <v>10147</v>
      </c>
      <c r="H2479" s="8" t="s">
        <v>5013</v>
      </c>
      <c r="I2479" s="8" t="s">
        <v>4039</v>
      </c>
    </row>
    <row r="2480" spans="1:9" ht="14.25" customHeight="1" x14ac:dyDescent="0.25">
      <c r="A2480" s="7" t="s">
        <v>10151</v>
      </c>
      <c r="B2480" s="8" t="s">
        <v>3718</v>
      </c>
      <c r="C2480" s="8" t="s">
        <v>2308</v>
      </c>
      <c r="D2480" s="8" t="s">
        <v>411</v>
      </c>
      <c r="E2480" s="8" t="s">
        <v>412</v>
      </c>
      <c r="F2480" s="12" t="s">
        <v>10152</v>
      </c>
      <c r="G2480" s="8" t="s">
        <v>10153</v>
      </c>
      <c r="H2480" s="8" t="s">
        <v>6960</v>
      </c>
      <c r="I2480" s="8" t="s">
        <v>4039</v>
      </c>
    </row>
    <row r="2481" spans="1:9" ht="14.25" customHeight="1" x14ac:dyDescent="0.25">
      <c r="A2481" s="7" t="s">
        <v>10154</v>
      </c>
      <c r="B2481" s="8" t="s">
        <v>10155</v>
      </c>
      <c r="C2481" s="8" t="s">
        <v>10156</v>
      </c>
      <c r="D2481" s="8" t="s">
        <v>411</v>
      </c>
      <c r="E2481" s="8" t="s">
        <v>412</v>
      </c>
      <c r="F2481" s="12" t="s">
        <v>10157</v>
      </c>
      <c r="G2481" s="8" t="s">
        <v>10158</v>
      </c>
      <c r="H2481" s="8" t="s">
        <v>5652</v>
      </c>
      <c r="I2481" s="8" t="s">
        <v>4039</v>
      </c>
    </row>
    <row r="2482" spans="1:9" ht="14.25" customHeight="1" x14ac:dyDescent="0.25">
      <c r="A2482" s="7" t="s">
        <v>10159</v>
      </c>
      <c r="B2482" s="8" t="s">
        <v>10160</v>
      </c>
      <c r="C2482" s="8" t="s">
        <v>462</v>
      </c>
      <c r="D2482" s="8" t="s">
        <v>411</v>
      </c>
      <c r="E2482" s="8" t="s">
        <v>412</v>
      </c>
      <c r="F2482" s="11" t="s">
        <v>10161</v>
      </c>
      <c r="G2482" s="8" t="s">
        <v>10162</v>
      </c>
      <c r="H2482" s="8" t="s">
        <v>5537</v>
      </c>
      <c r="I2482" s="8" t="s">
        <v>3756</v>
      </c>
    </row>
    <row r="2483" spans="1:9" ht="14.25" customHeight="1" x14ac:dyDescent="0.25">
      <c r="A2483" s="19" t="s">
        <v>10163</v>
      </c>
      <c r="B2483" s="8" t="s">
        <v>4629</v>
      </c>
      <c r="C2483" s="8" t="s">
        <v>10164</v>
      </c>
      <c r="D2483" s="8" t="s">
        <v>411</v>
      </c>
      <c r="E2483" s="8" t="s">
        <v>412</v>
      </c>
      <c r="F2483" s="12" t="s">
        <v>10165</v>
      </c>
      <c r="G2483" s="8" t="s">
        <v>10166</v>
      </c>
      <c r="H2483" s="8" t="s">
        <v>2212</v>
      </c>
      <c r="I2483" s="8" t="s">
        <v>4039</v>
      </c>
    </row>
    <row r="2484" spans="1:9" ht="14.25" customHeight="1" x14ac:dyDescent="0.25">
      <c r="A2484" s="7" t="s">
        <v>10167</v>
      </c>
      <c r="B2484" s="8" t="s">
        <v>10168</v>
      </c>
      <c r="C2484" s="8" t="s">
        <v>10169</v>
      </c>
      <c r="D2484" s="8" t="s">
        <v>411</v>
      </c>
      <c r="E2484" s="8" t="s">
        <v>412</v>
      </c>
      <c r="F2484" s="12" t="s">
        <v>10170</v>
      </c>
      <c r="G2484" s="8"/>
      <c r="H2484" s="8" t="s">
        <v>10171</v>
      </c>
      <c r="I2484" s="8" t="s">
        <v>4039</v>
      </c>
    </row>
    <row r="2485" spans="1:9" ht="14.25" customHeight="1" x14ac:dyDescent="0.25">
      <c r="A2485" s="7" t="s">
        <v>10172</v>
      </c>
      <c r="B2485" s="8" t="s">
        <v>10173</v>
      </c>
      <c r="C2485" s="8" t="s">
        <v>10174</v>
      </c>
      <c r="D2485" s="8" t="s">
        <v>3163</v>
      </c>
      <c r="E2485" s="8" t="s">
        <v>412</v>
      </c>
      <c r="F2485" s="12" t="s">
        <v>10175</v>
      </c>
      <c r="G2485" s="8" t="s">
        <v>10176</v>
      </c>
      <c r="H2485" s="8" t="s">
        <v>8864</v>
      </c>
      <c r="I2485" s="8" t="s">
        <v>4039</v>
      </c>
    </row>
    <row r="2486" spans="1:9" ht="14.25" customHeight="1" x14ac:dyDescent="0.25">
      <c r="A2486" s="7" t="s">
        <v>10177</v>
      </c>
      <c r="B2486" s="8" t="s">
        <v>4515</v>
      </c>
      <c r="C2486" s="8" t="s">
        <v>10178</v>
      </c>
      <c r="D2486" s="8" t="s">
        <v>411</v>
      </c>
      <c r="E2486" s="8" t="s">
        <v>3890</v>
      </c>
      <c r="F2486" s="12" t="s">
        <v>10179</v>
      </c>
      <c r="G2486" s="8" t="s">
        <v>10180</v>
      </c>
      <c r="H2486" s="8" t="s">
        <v>6143</v>
      </c>
      <c r="I2486" s="8" t="s">
        <v>4039</v>
      </c>
    </row>
    <row r="2487" spans="1:9" ht="14.25" customHeight="1" x14ac:dyDescent="0.25">
      <c r="A2487" s="7" t="s">
        <v>10181</v>
      </c>
      <c r="B2487" s="8" t="s">
        <v>10182</v>
      </c>
      <c r="C2487" s="8" t="s">
        <v>10178</v>
      </c>
      <c r="D2487" s="8" t="s">
        <v>3163</v>
      </c>
      <c r="E2487" s="8" t="s">
        <v>3890</v>
      </c>
      <c r="F2487" s="12" t="s">
        <v>10183</v>
      </c>
      <c r="G2487" s="8" t="s">
        <v>10180</v>
      </c>
      <c r="H2487" s="8" t="s">
        <v>6143</v>
      </c>
      <c r="I2487" s="8" t="s">
        <v>4039</v>
      </c>
    </row>
    <row r="2488" spans="1:9" ht="14.25" customHeight="1" x14ac:dyDescent="0.25">
      <c r="A2488" s="7" t="s">
        <v>10184</v>
      </c>
      <c r="B2488" s="8" t="s">
        <v>8202</v>
      </c>
      <c r="C2488" s="8" t="s">
        <v>10185</v>
      </c>
      <c r="D2488" s="8" t="s">
        <v>411</v>
      </c>
      <c r="E2488" s="8" t="s">
        <v>3890</v>
      </c>
      <c r="F2488" s="12" t="s">
        <v>10186</v>
      </c>
      <c r="G2488" s="8" t="s">
        <v>10187</v>
      </c>
      <c r="H2488" s="8" t="s">
        <v>8985</v>
      </c>
      <c r="I2488" s="8" t="s">
        <v>4039</v>
      </c>
    </row>
    <row r="2489" spans="1:9" ht="14.25" customHeight="1" x14ac:dyDescent="0.25">
      <c r="A2489" s="7" t="s">
        <v>10188</v>
      </c>
      <c r="B2489" s="8" t="s">
        <v>2595</v>
      </c>
      <c r="C2489" s="8" t="s">
        <v>10185</v>
      </c>
      <c r="D2489" s="8" t="s">
        <v>3163</v>
      </c>
      <c r="E2489" s="8" t="s">
        <v>3890</v>
      </c>
      <c r="F2489" s="12" t="s">
        <v>10189</v>
      </c>
      <c r="G2489" s="8" t="s">
        <v>10187</v>
      </c>
      <c r="H2489" s="8" t="s">
        <v>8985</v>
      </c>
      <c r="I2489" s="8" t="s">
        <v>4039</v>
      </c>
    </row>
    <row r="2490" spans="1:9" ht="14.25" customHeight="1" x14ac:dyDescent="0.25">
      <c r="A2490" s="7" t="s">
        <v>10190</v>
      </c>
      <c r="B2490" s="8" t="s">
        <v>10191</v>
      </c>
      <c r="C2490" s="8" t="s">
        <v>10192</v>
      </c>
      <c r="D2490" s="8" t="s">
        <v>3163</v>
      </c>
      <c r="E2490" s="8" t="s">
        <v>412</v>
      </c>
      <c r="F2490" s="12" t="s">
        <v>10193</v>
      </c>
      <c r="G2490" s="8" t="s">
        <v>10194</v>
      </c>
      <c r="H2490" s="8" t="s">
        <v>10195</v>
      </c>
      <c r="I2490" s="8" t="s">
        <v>5347</v>
      </c>
    </row>
    <row r="2491" spans="1:9" ht="14.25" customHeight="1" x14ac:dyDescent="0.25">
      <c r="A2491" s="7" t="s">
        <v>10196</v>
      </c>
      <c r="B2491" s="8" t="s">
        <v>7953</v>
      </c>
      <c r="C2491" s="8" t="s">
        <v>10197</v>
      </c>
      <c r="D2491" s="8" t="s">
        <v>411</v>
      </c>
      <c r="E2491" s="8" t="s">
        <v>412</v>
      </c>
      <c r="F2491" s="12" t="s">
        <v>10198</v>
      </c>
      <c r="G2491" s="8" t="s">
        <v>7738</v>
      </c>
      <c r="H2491" s="8" t="s">
        <v>37</v>
      </c>
      <c r="I2491" s="8" t="s">
        <v>3756</v>
      </c>
    </row>
    <row r="2492" spans="1:9" ht="14.25" customHeight="1" x14ac:dyDescent="0.25">
      <c r="A2492" s="7" t="s">
        <v>10199</v>
      </c>
      <c r="B2492" s="8" t="s">
        <v>1727</v>
      </c>
      <c r="C2492" s="8" t="s">
        <v>10200</v>
      </c>
      <c r="D2492" s="8" t="s">
        <v>411</v>
      </c>
      <c r="E2492" s="8" t="s">
        <v>412</v>
      </c>
      <c r="F2492" s="12" t="s">
        <v>10201</v>
      </c>
      <c r="G2492" s="8" t="s">
        <v>10202</v>
      </c>
      <c r="H2492" s="8" t="s">
        <v>49</v>
      </c>
      <c r="I2492" s="8" t="s">
        <v>4039</v>
      </c>
    </row>
    <row r="2493" spans="1:9" ht="14.25" customHeight="1" x14ac:dyDescent="0.25">
      <c r="A2493" s="7" t="s">
        <v>10203</v>
      </c>
      <c r="B2493" s="8" t="s">
        <v>9075</v>
      </c>
      <c r="C2493" s="8" t="s">
        <v>10204</v>
      </c>
      <c r="D2493" s="8" t="s">
        <v>411</v>
      </c>
      <c r="E2493" s="8" t="s">
        <v>412</v>
      </c>
      <c r="F2493" s="12" t="s">
        <v>10205</v>
      </c>
      <c r="G2493" s="8" t="s">
        <v>10206</v>
      </c>
      <c r="H2493" s="8" t="s">
        <v>2212</v>
      </c>
      <c r="I2493" s="8" t="s">
        <v>3756</v>
      </c>
    </row>
    <row r="2494" spans="1:9" ht="14.25" customHeight="1" x14ac:dyDescent="0.25">
      <c r="A2494" s="7" t="s">
        <v>10207</v>
      </c>
      <c r="B2494" s="8" t="s">
        <v>6271</v>
      </c>
      <c r="C2494" s="8" t="s">
        <v>10208</v>
      </c>
      <c r="D2494" s="8" t="s">
        <v>411</v>
      </c>
      <c r="E2494" s="8" t="s">
        <v>412</v>
      </c>
      <c r="F2494" s="12" t="s">
        <v>10209</v>
      </c>
      <c r="G2494" s="8"/>
      <c r="H2494" s="8"/>
      <c r="I2494" s="8" t="s">
        <v>3756</v>
      </c>
    </row>
    <row r="2495" spans="1:9" ht="14.25" customHeight="1" x14ac:dyDescent="0.25">
      <c r="A2495" s="7" t="s">
        <v>10210</v>
      </c>
      <c r="B2495" s="8" t="s">
        <v>5586</v>
      </c>
      <c r="C2495" s="8" t="s">
        <v>8718</v>
      </c>
      <c r="D2495" s="8" t="s">
        <v>411</v>
      </c>
      <c r="E2495" s="8" t="s">
        <v>3890</v>
      </c>
      <c r="F2495" s="11" t="s">
        <v>10211</v>
      </c>
      <c r="G2495" s="8" t="s">
        <v>10212</v>
      </c>
      <c r="H2495" s="8" t="s">
        <v>25</v>
      </c>
      <c r="I2495" s="8" t="s">
        <v>3756</v>
      </c>
    </row>
    <row r="2496" spans="1:9" ht="14.25" customHeight="1" x14ac:dyDescent="0.25">
      <c r="A2496" s="7" t="s">
        <v>10213</v>
      </c>
      <c r="B2496" s="8" t="s">
        <v>10214</v>
      </c>
      <c r="C2496" s="8" t="s">
        <v>10215</v>
      </c>
      <c r="D2496" s="8" t="s">
        <v>3163</v>
      </c>
      <c r="E2496" s="8" t="s">
        <v>3890</v>
      </c>
      <c r="F2496" s="11" t="s">
        <v>10216</v>
      </c>
      <c r="G2496" s="8" t="s">
        <v>10212</v>
      </c>
      <c r="H2496" s="8" t="s">
        <v>25</v>
      </c>
      <c r="I2496" s="8" t="s">
        <v>3756</v>
      </c>
    </row>
    <row r="2497" spans="1:9" ht="14.25" customHeight="1" x14ac:dyDescent="0.25">
      <c r="A2497" s="7" t="s">
        <v>10217</v>
      </c>
      <c r="B2497" s="8" t="s">
        <v>4687</v>
      </c>
      <c r="C2497" s="8" t="s">
        <v>10218</v>
      </c>
      <c r="D2497" s="8" t="s">
        <v>411</v>
      </c>
      <c r="E2497" s="8" t="s">
        <v>3890</v>
      </c>
      <c r="F2497" s="12" t="s">
        <v>10219</v>
      </c>
      <c r="G2497" s="8" t="s">
        <v>10220</v>
      </c>
      <c r="H2497" s="8" t="s">
        <v>15</v>
      </c>
      <c r="I2497" s="8" t="s">
        <v>4039</v>
      </c>
    </row>
    <row r="2498" spans="1:9" ht="14.25" customHeight="1" x14ac:dyDescent="0.25">
      <c r="A2498" s="7" t="s">
        <v>10221</v>
      </c>
      <c r="B2498" s="8" t="s">
        <v>10222</v>
      </c>
      <c r="C2498" s="8" t="s">
        <v>10218</v>
      </c>
      <c r="D2498" s="8" t="s">
        <v>3163</v>
      </c>
      <c r="E2498" s="8" t="s">
        <v>3890</v>
      </c>
      <c r="F2498" s="12" t="s">
        <v>10219</v>
      </c>
      <c r="G2498" s="8" t="s">
        <v>10220</v>
      </c>
      <c r="H2498" s="8" t="s">
        <v>15</v>
      </c>
      <c r="I2498" s="8" t="s">
        <v>4039</v>
      </c>
    </row>
    <row r="2499" spans="1:9" ht="14.25" customHeight="1" x14ac:dyDescent="0.25">
      <c r="A2499" s="7" t="s">
        <v>10223</v>
      </c>
      <c r="B2499" s="8" t="s">
        <v>3623</v>
      </c>
      <c r="C2499" s="8" t="s">
        <v>10224</v>
      </c>
      <c r="D2499" s="8" t="s">
        <v>411</v>
      </c>
      <c r="E2499" s="8" t="s">
        <v>3890</v>
      </c>
      <c r="F2499" s="12" t="s">
        <v>10225</v>
      </c>
      <c r="G2499" s="8" t="s">
        <v>10226</v>
      </c>
      <c r="H2499" s="8" t="s">
        <v>72</v>
      </c>
      <c r="I2499" s="8" t="s">
        <v>4039</v>
      </c>
    </row>
    <row r="2500" spans="1:9" ht="14.25" customHeight="1" x14ac:dyDescent="0.25">
      <c r="A2500" s="7" t="s">
        <v>10227</v>
      </c>
      <c r="B2500" s="8" t="s">
        <v>10228</v>
      </c>
      <c r="C2500" s="8" t="s">
        <v>10229</v>
      </c>
      <c r="D2500" s="8" t="s">
        <v>3163</v>
      </c>
      <c r="E2500" s="8" t="s">
        <v>3890</v>
      </c>
      <c r="F2500" s="12" t="s">
        <v>10230</v>
      </c>
      <c r="G2500" s="8" t="s">
        <v>10226</v>
      </c>
      <c r="H2500" s="8" t="s">
        <v>72</v>
      </c>
      <c r="I2500" s="8" t="s">
        <v>4039</v>
      </c>
    </row>
    <row r="2501" spans="1:9" ht="14.25" customHeight="1" x14ac:dyDescent="0.25">
      <c r="A2501" s="7" t="s">
        <v>10231</v>
      </c>
      <c r="B2501" s="8" t="s">
        <v>10232</v>
      </c>
      <c r="C2501" s="8" t="s">
        <v>10233</v>
      </c>
      <c r="D2501" s="8" t="s">
        <v>3163</v>
      </c>
      <c r="E2501" s="8" t="s">
        <v>3890</v>
      </c>
      <c r="F2501" s="12" t="s">
        <v>10234</v>
      </c>
      <c r="G2501" s="8" t="s">
        <v>10235</v>
      </c>
      <c r="H2501" s="8" t="s">
        <v>2212</v>
      </c>
      <c r="I2501" s="8" t="s">
        <v>3756</v>
      </c>
    </row>
    <row r="2502" spans="1:9" ht="14.25" customHeight="1" x14ac:dyDescent="0.25">
      <c r="A2502" s="7" t="s">
        <v>10236</v>
      </c>
      <c r="B2502" s="8" t="s">
        <v>10237</v>
      </c>
      <c r="C2502" s="8" t="s">
        <v>10238</v>
      </c>
      <c r="D2502" s="8" t="s">
        <v>411</v>
      </c>
      <c r="E2502" s="8" t="s">
        <v>3890</v>
      </c>
      <c r="F2502" s="12" t="s">
        <v>10239</v>
      </c>
      <c r="G2502" s="8" t="s">
        <v>10235</v>
      </c>
      <c r="H2502" s="8" t="s">
        <v>2212</v>
      </c>
      <c r="I2502" s="8" t="s">
        <v>3756</v>
      </c>
    </row>
    <row r="2503" spans="1:9" ht="14.25" customHeight="1" x14ac:dyDescent="0.25">
      <c r="A2503" s="7" t="s">
        <v>10240</v>
      </c>
      <c r="B2503" s="8" t="s">
        <v>950</v>
      </c>
      <c r="C2503" s="8" t="s">
        <v>10241</v>
      </c>
      <c r="D2503" s="8" t="s">
        <v>3163</v>
      </c>
      <c r="E2503" s="8" t="s">
        <v>412</v>
      </c>
      <c r="F2503" s="12" t="s">
        <v>10242</v>
      </c>
      <c r="G2503" s="8" t="s">
        <v>10243</v>
      </c>
      <c r="H2503" s="8" t="s">
        <v>61</v>
      </c>
      <c r="I2503" s="8" t="s">
        <v>3756</v>
      </c>
    </row>
    <row r="2504" spans="1:9" ht="14.25" customHeight="1" x14ac:dyDescent="0.25">
      <c r="A2504" s="7" t="s">
        <v>10244</v>
      </c>
      <c r="B2504" s="8" t="s">
        <v>3421</v>
      </c>
      <c r="C2504" s="8" t="s">
        <v>602</v>
      </c>
      <c r="D2504" s="8" t="s">
        <v>3163</v>
      </c>
      <c r="E2504" s="8" t="s">
        <v>3890</v>
      </c>
      <c r="F2504" s="11" t="s">
        <v>10245</v>
      </c>
      <c r="G2504" s="8" t="s">
        <v>10246</v>
      </c>
      <c r="H2504" s="8" t="s">
        <v>3820</v>
      </c>
      <c r="I2504" s="8"/>
    </row>
    <row r="2505" spans="1:9" ht="14.25" customHeight="1" x14ac:dyDescent="0.25">
      <c r="A2505" s="7" t="s">
        <v>10247</v>
      </c>
      <c r="B2505" s="8" t="s">
        <v>799</v>
      </c>
      <c r="C2505" s="8" t="s">
        <v>10248</v>
      </c>
      <c r="D2505" s="8" t="s">
        <v>411</v>
      </c>
      <c r="E2505" s="8" t="s">
        <v>3890</v>
      </c>
      <c r="F2505" s="11" t="s">
        <v>10249</v>
      </c>
      <c r="G2505" s="8" t="s">
        <v>10246</v>
      </c>
      <c r="H2505" s="8" t="s">
        <v>3820</v>
      </c>
      <c r="I2505" s="8"/>
    </row>
    <row r="2506" spans="1:9" ht="14.25" customHeight="1" x14ac:dyDescent="0.25">
      <c r="A2506" s="34" t="s">
        <v>10250</v>
      </c>
      <c r="B2506" s="8" t="s">
        <v>10251</v>
      </c>
      <c r="C2506" s="8" t="s">
        <v>7931</v>
      </c>
      <c r="D2506" s="8" t="s">
        <v>411</v>
      </c>
      <c r="E2506" s="23" t="s">
        <v>412</v>
      </c>
      <c r="F2506" s="11" t="s">
        <v>10252</v>
      </c>
      <c r="G2506" s="8" t="s">
        <v>10253</v>
      </c>
      <c r="H2506" s="8" t="s">
        <v>37</v>
      </c>
      <c r="I2506" s="8" t="s">
        <v>4039</v>
      </c>
    </row>
    <row r="2507" spans="1:9" ht="14.25" customHeight="1" x14ac:dyDescent="0.25">
      <c r="A2507" s="7" t="s">
        <v>10254</v>
      </c>
      <c r="B2507" s="8" t="s">
        <v>10255</v>
      </c>
      <c r="C2507" s="8" t="s">
        <v>10256</v>
      </c>
      <c r="D2507" s="8" t="s">
        <v>411</v>
      </c>
      <c r="E2507" s="8" t="s">
        <v>412</v>
      </c>
      <c r="F2507" s="12" t="s">
        <v>10257</v>
      </c>
      <c r="G2507" s="8" t="s">
        <v>10258</v>
      </c>
      <c r="H2507" s="8" t="s">
        <v>92</v>
      </c>
      <c r="I2507" s="8" t="s">
        <v>4039</v>
      </c>
    </row>
    <row r="2508" spans="1:9" ht="14.25" customHeight="1" x14ac:dyDescent="0.25">
      <c r="A2508" s="7" t="s">
        <v>10259</v>
      </c>
      <c r="B2508" s="8" t="s">
        <v>10260</v>
      </c>
      <c r="C2508" s="8" t="s">
        <v>10261</v>
      </c>
      <c r="D2508" s="8" t="s">
        <v>411</v>
      </c>
      <c r="E2508" s="8" t="s">
        <v>412</v>
      </c>
      <c r="F2508" s="12" t="s">
        <v>10262</v>
      </c>
      <c r="G2508" s="8"/>
      <c r="H2508" s="8" t="s">
        <v>10263</v>
      </c>
      <c r="I2508" s="8" t="s">
        <v>5347</v>
      </c>
    </row>
    <row r="2509" spans="1:9" ht="14.25" customHeight="1" x14ac:dyDescent="0.25">
      <c r="A2509" s="7" t="s">
        <v>10264</v>
      </c>
      <c r="B2509" s="8" t="s">
        <v>10265</v>
      </c>
      <c r="C2509" s="8" t="s">
        <v>10266</v>
      </c>
      <c r="D2509" s="8" t="s">
        <v>411</v>
      </c>
      <c r="E2509" s="8" t="s">
        <v>412</v>
      </c>
      <c r="F2509" s="12" t="s">
        <v>10267</v>
      </c>
      <c r="G2509" s="8" t="s">
        <v>8964</v>
      </c>
      <c r="H2509" s="8" t="s">
        <v>72</v>
      </c>
      <c r="I2509" s="8" t="s">
        <v>3756</v>
      </c>
    </row>
    <row r="2510" spans="1:9" ht="14.25" customHeight="1" x14ac:dyDescent="0.25">
      <c r="A2510" s="7" t="s">
        <v>10268</v>
      </c>
      <c r="B2510" s="8" t="s">
        <v>5797</v>
      </c>
      <c r="C2510" s="8" t="s">
        <v>10269</v>
      </c>
      <c r="D2510" s="8" t="s">
        <v>3163</v>
      </c>
      <c r="E2510" s="8" t="s">
        <v>3890</v>
      </c>
      <c r="F2510" s="12" t="s">
        <v>10270</v>
      </c>
      <c r="G2510" s="8" t="s">
        <v>10271</v>
      </c>
      <c r="H2510" s="8" t="s">
        <v>2212</v>
      </c>
      <c r="I2510" s="8" t="s">
        <v>4039</v>
      </c>
    </row>
    <row r="2511" spans="1:9" ht="14.25" customHeight="1" x14ac:dyDescent="0.25">
      <c r="A2511" s="7" t="s">
        <v>10272</v>
      </c>
      <c r="B2511" s="8" t="s">
        <v>10273</v>
      </c>
      <c r="C2511" s="8" t="s">
        <v>10274</v>
      </c>
      <c r="D2511" s="8" t="s">
        <v>411</v>
      </c>
      <c r="E2511" s="8" t="s">
        <v>3890</v>
      </c>
      <c r="F2511" s="12" t="s">
        <v>10275</v>
      </c>
      <c r="G2511" s="8" t="s">
        <v>10271</v>
      </c>
      <c r="H2511" s="8" t="s">
        <v>2212</v>
      </c>
      <c r="I2511" s="8" t="s">
        <v>4039</v>
      </c>
    </row>
    <row r="2512" spans="1:9" ht="14.25" customHeight="1" x14ac:dyDescent="0.25">
      <c r="A2512" s="7" t="s">
        <v>10276</v>
      </c>
      <c r="B2512" s="8" t="s">
        <v>3791</v>
      </c>
      <c r="C2512" s="8" t="s">
        <v>10277</v>
      </c>
      <c r="D2512" s="8" t="s">
        <v>3163</v>
      </c>
      <c r="E2512" s="8" t="s">
        <v>412</v>
      </c>
      <c r="F2512" s="12" t="s">
        <v>10278</v>
      </c>
      <c r="G2512" s="8" t="s">
        <v>10279</v>
      </c>
      <c r="H2512" s="8" t="s">
        <v>4317</v>
      </c>
      <c r="I2512" s="8" t="s">
        <v>4039</v>
      </c>
    </row>
    <row r="2513" spans="1:9" ht="14.25" customHeight="1" x14ac:dyDescent="0.25">
      <c r="A2513" s="7" t="s">
        <v>10280</v>
      </c>
      <c r="B2513" s="8" t="s">
        <v>10281</v>
      </c>
      <c r="C2513" s="8" t="s">
        <v>10282</v>
      </c>
      <c r="D2513" s="8" t="s">
        <v>3163</v>
      </c>
      <c r="E2513" s="8" t="s">
        <v>412</v>
      </c>
      <c r="F2513" s="8" t="s">
        <v>10283</v>
      </c>
      <c r="G2513" s="8" t="s">
        <v>10284</v>
      </c>
      <c r="H2513" s="8" t="s">
        <v>5652</v>
      </c>
      <c r="I2513" s="8" t="s">
        <v>3756</v>
      </c>
    </row>
    <row r="2514" spans="1:9" ht="14.25" customHeight="1" x14ac:dyDescent="0.25">
      <c r="A2514" s="7" t="s">
        <v>10285</v>
      </c>
      <c r="B2514" s="8" t="s">
        <v>602</v>
      </c>
      <c r="C2514" s="8" t="s">
        <v>10286</v>
      </c>
      <c r="D2514" s="8" t="s">
        <v>3163</v>
      </c>
      <c r="E2514" s="8" t="s">
        <v>412</v>
      </c>
      <c r="F2514" s="11" t="s">
        <v>10287</v>
      </c>
      <c r="G2514" s="8" t="s">
        <v>10288</v>
      </c>
      <c r="H2514" s="8" t="s">
        <v>6128</v>
      </c>
      <c r="I2514" s="8" t="s">
        <v>3756</v>
      </c>
    </row>
    <row r="2515" spans="1:9" ht="14.25" customHeight="1" x14ac:dyDescent="0.25">
      <c r="A2515" s="7" t="s">
        <v>10289</v>
      </c>
      <c r="B2515" s="8" t="s">
        <v>10290</v>
      </c>
      <c r="C2515" s="8" t="s">
        <v>10291</v>
      </c>
      <c r="D2515" s="8" t="s">
        <v>411</v>
      </c>
      <c r="E2515" s="8" t="s">
        <v>412</v>
      </c>
      <c r="F2515" s="11" t="s">
        <v>10292</v>
      </c>
      <c r="G2515" s="8" t="s">
        <v>10293</v>
      </c>
      <c r="H2515" s="8" t="s">
        <v>10294</v>
      </c>
      <c r="I2515" s="8" t="s">
        <v>4039</v>
      </c>
    </row>
    <row r="2516" spans="1:9" ht="14.25" customHeight="1" x14ac:dyDescent="0.25">
      <c r="A2516" s="7" t="s">
        <v>10295</v>
      </c>
      <c r="B2516" s="8" t="s">
        <v>2559</v>
      </c>
      <c r="C2516" s="8" t="s">
        <v>10296</v>
      </c>
      <c r="D2516" s="8" t="s">
        <v>3163</v>
      </c>
      <c r="E2516" s="8" t="s">
        <v>412</v>
      </c>
      <c r="F2516" s="11" t="s">
        <v>10297</v>
      </c>
      <c r="G2516" s="8" t="s">
        <v>9284</v>
      </c>
      <c r="H2516" s="8" t="s">
        <v>9899</v>
      </c>
      <c r="I2516" s="8" t="s">
        <v>4039</v>
      </c>
    </row>
    <row r="2517" spans="1:9" ht="14.25" customHeight="1" x14ac:dyDescent="0.25">
      <c r="A2517" s="7" t="s">
        <v>10298</v>
      </c>
      <c r="B2517" s="8" t="s">
        <v>6894</v>
      </c>
      <c r="C2517" s="8" t="s">
        <v>10299</v>
      </c>
      <c r="D2517" s="8" t="s">
        <v>3163</v>
      </c>
      <c r="E2517" s="8" t="s">
        <v>412</v>
      </c>
      <c r="F2517" s="11" t="s">
        <v>10300</v>
      </c>
      <c r="G2517" s="8" t="s">
        <v>10301</v>
      </c>
      <c r="H2517" s="8" t="s">
        <v>49</v>
      </c>
      <c r="I2517" s="8" t="s">
        <v>3756</v>
      </c>
    </row>
    <row r="2518" spans="1:9" ht="14.25" customHeight="1" x14ac:dyDescent="0.25">
      <c r="A2518" s="7" t="s">
        <v>10302</v>
      </c>
      <c r="B2518" s="8" t="s">
        <v>4670</v>
      </c>
      <c r="C2518" s="8" t="s">
        <v>10303</v>
      </c>
      <c r="D2518" s="8" t="s">
        <v>411</v>
      </c>
      <c r="E2518" s="8" t="s">
        <v>412</v>
      </c>
      <c r="F2518" s="12" t="s">
        <v>10304</v>
      </c>
      <c r="G2518" s="8" t="s">
        <v>10305</v>
      </c>
      <c r="H2518" s="8" t="s">
        <v>49</v>
      </c>
      <c r="I2518" s="8" t="s">
        <v>3756</v>
      </c>
    </row>
    <row r="2519" spans="1:9" ht="14.25" customHeight="1" x14ac:dyDescent="0.25">
      <c r="A2519" s="7" t="s">
        <v>10306</v>
      </c>
      <c r="B2519" s="8" t="s">
        <v>2737</v>
      </c>
      <c r="C2519" s="8" t="s">
        <v>10307</v>
      </c>
      <c r="D2519" s="8" t="s">
        <v>3163</v>
      </c>
      <c r="E2519" s="8" t="s">
        <v>3890</v>
      </c>
      <c r="F2519" s="11" t="s">
        <v>10308</v>
      </c>
      <c r="G2519" s="8" t="s">
        <v>8631</v>
      </c>
      <c r="H2519" s="8" t="s">
        <v>25</v>
      </c>
      <c r="I2519" s="8" t="s">
        <v>4371</v>
      </c>
    </row>
    <row r="2520" spans="1:9" ht="14.25" customHeight="1" x14ac:dyDescent="0.25">
      <c r="A2520" s="7" t="s">
        <v>10309</v>
      </c>
      <c r="B2520" s="8" t="s">
        <v>57</v>
      </c>
      <c r="C2520" s="8" t="s">
        <v>10310</v>
      </c>
      <c r="D2520" s="8" t="s">
        <v>3163</v>
      </c>
      <c r="E2520" s="8" t="s">
        <v>412</v>
      </c>
      <c r="F2520" s="11" t="s">
        <v>10311</v>
      </c>
      <c r="G2520" s="8" t="s">
        <v>10312</v>
      </c>
      <c r="H2520" s="8" t="s">
        <v>7784</v>
      </c>
      <c r="I2520" s="8" t="s">
        <v>4039</v>
      </c>
    </row>
    <row r="2521" spans="1:9" ht="14.25" customHeight="1" x14ac:dyDescent="0.25">
      <c r="A2521" s="7" t="s">
        <v>10313</v>
      </c>
      <c r="B2521" s="8" t="s">
        <v>3968</v>
      </c>
      <c r="C2521" s="8" t="s">
        <v>10314</v>
      </c>
      <c r="D2521" s="8" t="s">
        <v>411</v>
      </c>
      <c r="E2521" s="8" t="s">
        <v>412</v>
      </c>
      <c r="F2521" s="11" t="s">
        <v>10315</v>
      </c>
      <c r="G2521" s="8" t="s">
        <v>6820</v>
      </c>
      <c r="H2521" s="8"/>
      <c r="I2521" s="8"/>
    </row>
    <row r="2522" spans="1:9" ht="14.25" customHeight="1" x14ac:dyDescent="0.25">
      <c r="A2522" s="7" t="s">
        <v>10316</v>
      </c>
      <c r="B2522" s="8" t="s">
        <v>10317</v>
      </c>
      <c r="C2522" s="8" t="s">
        <v>10318</v>
      </c>
      <c r="D2522" s="8" t="s">
        <v>411</v>
      </c>
      <c r="E2522" s="8" t="s">
        <v>412</v>
      </c>
      <c r="F2522" s="11"/>
      <c r="G2522" s="8"/>
      <c r="H2522" s="8"/>
      <c r="I2522" s="8"/>
    </row>
    <row r="2523" spans="1:9" ht="14.25" customHeight="1" x14ac:dyDescent="0.25">
      <c r="A2523" s="7" t="s">
        <v>10319</v>
      </c>
      <c r="B2523" s="8" t="s">
        <v>10320</v>
      </c>
      <c r="C2523" s="8" t="s">
        <v>6098</v>
      </c>
      <c r="D2523" s="8" t="s">
        <v>411</v>
      </c>
      <c r="E2523" s="8" t="s">
        <v>3890</v>
      </c>
      <c r="F2523" s="11"/>
      <c r="G2523" s="8"/>
      <c r="H2523" s="8"/>
      <c r="I2523" s="8" t="s">
        <v>3756</v>
      </c>
    </row>
    <row r="2524" spans="1:9" ht="14.25" customHeight="1" x14ac:dyDescent="0.25">
      <c r="A2524" s="7" t="s">
        <v>10321</v>
      </c>
      <c r="B2524" s="8" t="s">
        <v>5204</v>
      </c>
      <c r="C2524" s="8" t="s">
        <v>6098</v>
      </c>
      <c r="D2524" s="8" t="s">
        <v>3163</v>
      </c>
      <c r="E2524" s="8" t="s">
        <v>3890</v>
      </c>
      <c r="F2524" s="11"/>
      <c r="G2524" s="8"/>
      <c r="H2524" s="8"/>
      <c r="I2524" s="8" t="s">
        <v>3756</v>
      </c>
    </row>
    <row r="2525" spans="1:9" ht="14.25" customHeight="1" x14ac:dyDescent="0.25">
      <c r="A2525" s="19" t="s">
        <v>10322</v>
      </c>
      <c r="B2525" s="8" t="s">
        <v>10323</v>
      </c>
      <c r="C2525" s="8" t="s">
        <v>10324</v>
      </c>
      <c r="D2525" s="8" t="s">
        <v>3163</v>
      </c>
      <c r="E2525" s="8" t="s">
        <v>412</v>
      </c>
      <c r="F2525" s="11" t="s">
        <v>10325</v>
      </c>
      <c r="G2525" s="8" t="s">
        <v>10326</v>
      </c>
      <c r="H2525" s="8" t="s">
        <v>8864</v>
      </c>
      <c r="I2525" s="8" t="s">
        <v>4039</v>
      </c>
    </row>
    <row r="2526" spans="1:9" ht="14.25" customHeight="1" x14ac:dyDescent="0.25">
      <c r="A2526" s="7" t="s">
        <v>10327</v>
      </c>
      <c r="B2526" s="8" t="s">
        <v>1727</v>
      </c>
      <c r="C2526" s="8" t="s">
        <v>10328</v>
      </c>
      <c r="D2526" s="8" t="s">
        <v>411</v>
      </c>
      <c r="E2526" s="8" t="s">
        <v>412</v>
      </c>
      <c r="F2526" s="12" t="s">
        <v>10329</v>
      </c>
      <c r="G2526" s="8" t="s">
        <v>10330</v>
      </c>
      <c r="H2526" s="8" t="s">
        <v>3815</v>
      </c>
      <c r="I2526" s="8" t="s">
        <v>3756</v>
      </c>
    </row>
    <row r="2527" spans="1:9" ht="14.25" customHeight="1" x14ac:dyDescent="0.25">
      <c r="A2527" s="7" t="s">
        <v>10331</v>
      </c>
      <c r="B2527" s="8" t="s">
        <v>10332</v>
      </c>
      <c r="C2527" s="8" t="s">
        <v>10333</v>
      </c>
      <c r="D2527" s="8" t="s">
        <v>411</v>
      </c>
      <c r="E2527" s="8" t="s">
        <v>412</v>
      </c>
      <c r="F2527" s="11" t="s">
        <v>10334</v>
      </c>
      <c r="G2527" s="8" t="s">
        <v>10335</v>
      </c>
      <c r="H2527" s="8" t="s">
        <v>4330</v>
      </c>
      <c r="I2527" s="8" t="s">
        <v>3756</v>
      </c>
    </row>
    <row r="2528" spans="1:9" ht="14.25" customHeight="1" x14ac:dyDescent="0.25">
      <c r="A2528" s="7" t="s">
        <v>10336</v>
      </c>
      <c r="B2528" s="8" t="s">
        <v>10337</v>
      </c>
      <c r="C2528" s="8" t="s">
        <v>10338</v>
      </c>
      <c r="D2528" s="8" t="s">
        <v>411</v>
      </c>
      <c r="E2528" s="8" t="s">
        <v>412</v>
      </c>
      <c r="F2528" s="12" t="s">
        <v>10339</v>
      </c>
      <c r="G2528" s="8" t="s">
        <v>10340</v>
      </c>
      <c r="H2528" s="8" t="s">
        <v>5213</v>
      </c>
      <c r="I2528" s="8" t="s">
        <v>4039</v>
      </c>
    </row>
    <row r="2529" spans="1:9" ht="14.25" customHeight="1" x14ac:dyDescent="0.25">
      <c r="A2529" s="7" t="s">
        <v>10341</v>
      </c>
      <c r="B2529" s="8" t="s">
        <v>10342</v>
      </c>
      <c r="C2529" s="8" t="s">
        <v>10338</v>
      </c>
      <c r="D2529" s="8" t="s">
        <v>411</v>
      </c>
      <c r="E2529" s="8" t="s">
        <v>412</v>
      </c>
      <c r="F2529" s="11"/>
      <c r="G2529" s="8" t="s">
        <v>10340</v>
      </c>
      <c r="H2529" s="8" t="s">
        <v>5213</v>
      </c>
      <c r="I2529" s="8" t="s">
        <v>4039</v>
      </c>
    </row>
    <row r="2530" spans="1:9" ht="14.25" customHeight="1" x14ac:dyDescent="0.25">
      <c r="A2530" s="7" t="s">
        <v>10343</v>
      </c>
      <c r="B2530" s="8" t="s">
        <v>10344</v>
      </c>
      <c r="C2530" s="8" t="s">
        <v>10345</v>
      </c>
      <c r="D2530" s="8" t="s">
        <v>3163</v>
      </c>
      <c r="E2530" s="8" t="s">
        <v>412</v>
      </c>
      <c r="F2530" s="12" t="s">
        <v>10346</v>
      </c>
      <c r="G2530" s="8" t="s">
        <v>10347</v>
      </c>
      <c r="H2530" s="8" t="s">
        <v>10348</v>
      </c>
      <c r="I2530" s="8" t="s">
        <v>4039</v>
      </c>
    </row>
    <row r="2531" spans="1:9" ht="14.25" customHeight="1" x14ac:dyDescent="0.25">
      <c r="A2531" s="7" t="s">
        <v>10349</v>
      </c>
      <c r="B2531" s="8" t="s">
        <v>10350</v>
      </c>
      <c r="C2531" s="8" t="s">
        <v>10351</v>
      </c>
      <c r="D2531" s="8" t="s">
        <v>411</v>
      </c>
      <c r="E2531" s="8" t="s">
        <v>412</v>
      </c>
      <c r="F2531" s="12" t="s">
        <v>10352</v>
      </c>
      <c r="G2531" s="8" t="s">
        <v>10353</v>
      </c>
      <c r="H2531" s="8" t="s">
        <v>2212</v>
      </c>
      <c r="I2531" s="8" t="s">
        <v>4039</v>
      </c>
    </row>
    <row r="2532" spans="1:9" ht="14.25" customHeight="1" x14ac:dyDescent="0.25">
      <c r="A2532" s="7" t="s">
        <v>10354</v>
      </c>
      <c r="B2532" s="8" t="s">
        <v>10355</v>
      </c>
      <c r="C2532" s="8" t="s">
        <v>10356</v>
      </c>
      <c r="D2532" s="8" t="s">
        <v>3163</v>
      </c>
      <c r="E2532" s="8" t="s">
        <v>412</v>
      </c>
      <c r="F2532" s="12" t="s">
        <v>10357</v>
      </c>
      <c r="G2532" s="8" t="s">
        <v>10358</v>
      </c>
      <c r="H2532" s="8" t="s">
        <v>3618</v>
      </c>
      <c r="I2532" s="8" t="s">
        <v>3756</v>
      </c>
    </row>
    <row r="2533" spans="1:9" ht="14.25" customHeight="1" x14ac:dyDescent="0.25">
      <c r="A2533" s="7" t="s">
        <v>10359</v>
      </c>
      <c r="B2533" s="8" t="s">
        <v>10360</v>
      </c>
      <c r="C2533" s="8" t="s">
        <v>10361</v>
      </c>
      <c r="D2533" s="8" t="s">
        <v>411</v>
      </c>
      <c r="E2533" s="8" t="s">
        <v>412</v>
      </c>
      <c r="F2533" s="12" t="s">
        <v>10362</v>
      </c>
      <c r="G2533" s="8" t="s">
        <v>10363</v>
      </c>
      <c r="H2533" s="8" t="s">
        <v>4495</v>
      </c>
      <c r="I2533" s="8" t="s">
        <v>4039</v>
      </c>
    </row>
    <row r="2534" spans="1:9" ht="14.25" customHeight="1" x14ac:dyDescent="0.25">
      <c r="A2534" s="7" t="s">
        <v>10364</v>
      </c>
      <c r="B2534" s="8" t="s">
        <v>8315</v>
      </c>
      <c r="C2534" s="8" t="s">
        <v>9598</v>
      </c>
      <c r="D2534" s="8" t="s">
        <v>3163</v>
      </c>
      <c r="E2534" s="8" t="s">
        <v>412</v>
      </c>
      <c r="F2534" s="12" t="s">
        <v>10365</v>
      </c>
      <c r="G2534" s="8" t="s">
        <v>10366</v>
      </c>
      <c r="H2534" s="8" t="s">
        <v>7888</v>
      </c>
      <c r="I2534" s="8" t="s">
        <v>3756</v>
      </c>
    </row>
    <row r="2535" spans="1:9" ht="14.25" customHeight="1" x14ac:dyDescent="0.25">
      <c r="A2535" s="7" t="s">
        <v>10367</v>
      </c>
      <c r="B2535" s="8" t="s">
        <v>10368</v>
      </c>
      <c r="C2535" s="8" t="s">
        <v>10369</v>
      </c>
      <c r="D2535" s="8" t="s">
        <v>3163</v>
      </c>
      <c r="E2535" s="8" t="s">
        <v>412</v>
      </c>
      <c r="F2535" s="11" t="s">
        <v>10370</v>
      </c>
      <c r="G2535" s="8" t="s">
        <v>10371</v>
      </c>
      <c r="H2535" s="8" t="s">
        <v>10372</v>
      </c>
      <c r="I2535" s="8" t="s">
        <v>4039</v>
      </c>
    </row>
    <row r="2536" spans="1:9" ht="14.25" customHeight="1" x14ac:dyDescent="0.25">
      <c r="A2536" s="7" t="s">
        <v>10373</v>
      </c>
      <c r="B2536" s="8" t="s">
        <v>910</v>
      </c>
      <c r="C2536" s="8" t="s">
        <v>7008</v>
      </c>
      <c r="D2536" s="8" t="s">
        <v>411</v>
      </c>
      <c r="E2536" s="8" t="s">
        <v>412</v>
      </c>
      <c r="F2536" s="12" t="s">
        <v>10374</v>
      </c>
      <c r="G2536" s="8" t="s">
        <v>10375</v>
      </c>
      <c r="H2536" s="8" t="s">
        <v>10376</v>
      </c>
      <c r="I2536" s="8" t="s">
        <v>3756</v>
      </c>
    </row>
    <row r="2537" spans="1:9" ht="14.25" customHeight="1" x14ac:dyDescent="0.25">
      <c r="A2537" s="7" t="s">
        <v>10377</v>
      </c>
      <c r="B2537" s="8" t="s">
        <v>10281</v>
      </c>
      <c r="C2537" s="8" t="s">
        <v>10378</v>
      </c>
      <c r="D2537" s="8" t="s">
        <v>3163</v>
      </c>
      <c r="E2537" s="8" t="s">
        <v>412</v>
      </c>
      <c r="F2537" s="12" t="s">
        <v>10379</v>
      </c>
      <c r="G2537" s="8" t="s">
        <v>8170</v>
      </c>
      <c r="H2537" s="8" t="s">
        <v>2212</v>
      </c>
      <c r="I2537" s="8" t="s">
        <v>3756</v>
      </c>
    </row>
    <row r="2538" spans="1:9" ht="14.25" customHeight="1" x14ac:dyDescent="0.25">
      <c r="A2538" s="7" t="s">
        <v>10380</v>
      </c>
      <c r="B2538" s="8" t="s">
        <v>3656</v>
      </c>
      <c r="C2538" s="8" t="s">
        <v>10381</v>
      </c>
      <c r="D2538" s="8" t="s">
        <v>411</v>
      </c>
      <c r="E2538" s="8" t="s">
        <v>412</v>
      </c>
      <c r="F2538" s="12" t="s">
        <v>10382</v>
      </c>
      <c r="G2538" s="8" t="s">
        <v>10383</v>
      </c>
      <c r="H2538" s="8" t="s">
        <v>10384</v>
      </c>
      <c r="I2538" s="8" t="s">
        <v>3756</v>
      </c>
    </row>
    <row r="2539" spans="1:9" ht="14.25" customHeight="1" x14ac:dyDescent="0.25">
      <c r="A2539" s="7" t="s">
        <v>10385</v>
      </c>
      <c r="B2539" s="8" t="s">
        <v>838</v>
      </c>
      <c r="C2539" s="8" t="s">
        <v>10386</v>
      </c>
      <c r="D2539" s="8" t="s">
        <v>411</v>
      </c>
      <c r="E2539" s="8" t="s">
        <v>412</v>
      </c>
      <c r="F2539" s="12" t="s">
        <v>10387</v>
      </c>
      <c r="G2539" s="8" t="s">
        <v>10388</v>
      </c>
      <c r="H2539" s="8" t="s">
        <v>4951</v>
      </c>
      <c r="I2539" s="8" t="s">
        <v>3756</v>
      </c>
    </row>
    <row r="2540" spans="1:9" ht="14.25" customHeight="1" x14ac:dyDescent="0.25">
      <c r="A2540" s="7" t="s">
        <v>10389</v>
      </c>
      <c r="B2540" s="8" t="s">
        <v>8315</v>
      </c>
      <c r="C2540" s="8" t="s">
        <v>10390</v>
      </c>
      <c r="D2540" s="8" t="s">
        <v>3163</v>
      </c>
      <c r="E2540" s="8" t="s">
        <v>3890</v>
      </c>
      <c r="F2540" s="12" t="s">
        <v>10391</v>
      </c>
      <c r="G2540" s="8" t="s">
        <v>10392</v>
      </c>
      <c r="H2540" s="8" t="s">
        <v>5652</v>
      </c>
      <c r="I2540" s="8" t="s">
        <v>4039</v>
      </c>
    </row>
    <row r="2541" spans="1:9" ht="14.25" customHeight="1" x14ac:dyDescent="0.25">
      <c r="A2541" s="7" t="s">
        <v>10393</v>
      </c>
      <c r="B2541" s="8" t="s">
        <v>3733</v>
      </c>
      <c r="C2541" s="8" t="s">
        <v>10394</v>
      </c>
      <c r="D2541" s="8" t="s">
        <v>411</v>
      </c>
      <c r="E2541" s="8" t="s">
        <v>3890</v>
      </c>
      <c r="F2541" s="11"/>
      <c r="G2541" s="8" t="s">
        <v>10392</v>
      </c>
      <c r="H2541" s="8" t="s">
        <v>5652</v>
      </c>
      <c r="I2541" s="8" t="s">
        <v>4039</v>
      </c>
    </row>
    <row r="2542" spans="1:9" ht="14.25" customHeight="1" x14ac:dyDescent="0.25">
      <c r="A2542" s="7" t="s">
        <v>10395</v>
      </c>
      <c r="B2542" s="8" t="s">
        <v>10368</v>
      </c>
      <c r="C2542" s="8" t="s">
        <v>10369</v>
      </c>
      <c r="D2542" s="8" t="s">
        <v>3163</v>
      </c>
      <c r="E2542" s="8" t="s">
        <v>412</v>
      </c>
      <c r="F2542" s="12" t="s">
        <v>10370</v>
      </c>
      <c r="G2542" s="8" t="s">
        <v>10396</v>
      </c>
      <c r="H2542" s="8" t="s">
        <v>9701</v>
      </c>
      <c r="I2542" s="8" t="s">
        <v>4039</v>
      </c>
    </row>
    <row r="2543" spans="1:9" ht="14.25" customHeight="1" x14ac:dyDescent="0.25">
      <c r="A2543" s="7" t="s">
        <v>10397</v>
      </c>
      <c r="B2543" s="8" t="s">
        <v>10398</v>
      </c>
      <c r="C2543" s="8" t="s">
        <v>10399</v>
      </c>
      <c r="D2543" s="8" t="s">
        <v>3163</v>
      </c>
      <c r="E2543" s="8" t="s">
        <v>412</v>
      </c>
      <c r="F2543" s="12" t="s">
        <v>10400</v>
      </c>
      <c r="G2543" s="8" t="s">
        <v>10401</v>
      </c>
      <c r="H2543" s="8" t="s">
        <v>10402</v>
      </c>
      <c r="I2543" s="8" t="s">
        <v>4039</v>
      </c>
    </row>
    <row r="2544" spans="1:9" ht="14.25" customHeight="1" x14ac:dyDescent="0.25">
      <c r="A2544" s="7" t="s">
        <v>10403</v>
      </c>
      <c r="B2544" s="8" t="s">
        <v>4850</v>
      </c>
      <c r="C2544" s="8" t="s">
        <v>10404</v>
      </c>
      <c r="D2544" s="8" t="s">
        <v>3163</v>
      </c>
      <c r="E2544" s="8" t="s">
        <v>3890</v>
      </c>
      <c r="F2544" s="12" t="s">
        <v>10405</v>
      </c>
      <c r="G2544" s="8" t="s">
        <v>9678</v>
      </c>
      <c r="H2544" s="8" t="s">
        <v>2212</v>
      </c>
      <c r="I2544" s="8" t="s">
        <v>4039</v>
      </c>
    </row>
    <row r="2545" spans="1:9" ht="14.25" customHeight="1" x14ac:dyDescent="0.25">
      <c r="A2545" s="7" t="s">
        <v>10406</v>
      </c>
      <c r="B2545" s="8" t="s">
        <v>4475</v>
      </c>
      <c r="C2545" s="8" t="s">
        <v>10407</v>
      </c>
      <c r="D2545" s="8" t="s">
        <v>411</v>
      </c>
      <c r="E2545" s="8" t="s">
        <v>3890</v>
      </c>
      <c r="F2545" s="11"/>
      <c r="G2545" s="8" t="s">
        <v>9678</v>
      </c>
      <c r="H2545" s="8" t="s">
        <v>2212</v>
      </c>
      <c r="I2545" s="8" t="s">
        <v>4039</v>
      </c>
    </row>
    <row r="2546" spans="1:9" ht="14.25" customHeight="1" x14ac:dyDescent="0.25">
      <c r="A2546" s="7" t="s">
        <v>10408</v>
      </c>
      <c r="B2546" s="8" t="s">
        <v>10409</v>
      </c>
      <c r="C2546" s="8" t="s">
        <v>10410</v>
      </c>
      <c r="D2546" s="8" t="s">
        <v>411</v>
      </c>
      <c r="E2546" s="8" t="s">
        <v>412</v>
      </c>
      <c r="F2546" s="12" t="s">
        <v>10411</v>
      </c>
      <c r="G2546" s="8" t="s">
        <v>10412</v>
      </c>
      <c r="H2546" s="8" t="s">
        <v>10413</v>
      </c>
      <c r="I2546" s="8" t="s">
        <v>4371</v>
      </c>
    </row>
    <row r="2547" spans="1:9" ht="14.25" customHeight="1" x14ac:dyDescent="0.25">
      <c r="A2547" s="7" t="s">
        <v>9860</v>
      </c>
      <c r="B2547" s="8" t="s">
        <v>1676</v>
      </c>
      <c r="C2547" s="8" t="s">
        <v>9861</v>
      </c>
      <c r="D2547" s="8" t="s">
        <v>411</v>
      </c>
      <c r="E2547" s="8" t="s">
        <v>412</v>
      </c>
      <c r="F2547" s="12" t="s">
        <v>10414</v>
      </c>
      <c r="G2547" s="8" t="s">
        <v>9863</v>
      </c>
      <c r="H2547" s="8" t="s">
        <v>4951</v>
      </c>
      <c r="I2547" s="8" t="s">
        <v>4039</v>
      </c>
    </row>
    <row r="2548" spans="1:9" ht="14.25" customHeight="1" x14ac:dyDescent="0.25">
      <c r="A2548" s="7" t="s">
        <v>10415</v>
      </c>
      <c r="B2548" s="8" t="s">
        <v>417</v>
      </c>
      <c r="C2548" s="8" t="s">
        <v>10416</v>
      </c>
      <c r="D2548" s="8" t="s">
        <v>411</v>
      </c>
      <c r="E2548" s="8" t="s">
        <v>3890</v>
      </c>
      <c r="F2548" s="12" t="s">
        <v>10417</v>
      </c>
      <c r="G2548" s="8" t="s">
        <v>10418</v>
      </c>
      <c r="H2548" s="8" t="s">
        <v>6480</v>
      </c>
      <c r="I2548" s="8" t="s">
        <v>4039</v>
      </c>
    </row>
    <row r="2549" spans="1:9" ht="14.25" customHeight="1" x14ac:dyDescent="0.25">
      <c r="A2549" s="7" t="s">
        <v>10419</v>
      </c>
      <c r="B2549" s="8" t="s">
        <v>1182</v>
      </c>
      <c r="C2549" s="8" t="s">
        <v>10420</v>
      </c>
      <c r="D2549" s="8" t="s">
        <v>3163</v>
      </c>
      <c r="E2549" s="8" t="s">
        <v>3890</v>
      </c>
      <c r="F2549" s="12" t="s">
        <v>10421</v>
      </c>
      <c r="G2549" s="8" t="s">
        <v>10418</v>
      </c>
      <c r="H2549" s="8" t="s">
        <v>6480</v>
      </c>
      <c r="I2549" s="8" t="s">
        <v>4039</v>
      </c>
    </row>
    <row r="2550" spans="1:9" ht="14.25" customHeight="1" x14ac:dyDescent="0.25">
      <c r="A2550" s="7" t="s">
        <v>10422</v>
      </c>
      <c r="B2550" s="8" t="s">
        <v>10423</v>
      </c>
      <c r="C2550" s="8" t="s">
        <v>10424</v>
      </c>
      <c r="D2550" s="8" t="s">
        <v>3163</v>
      </c>
      <c r="E2550" s="8" t="s">
        <v>3890</v>
      </c>
      <c r="F2550" s="12" t="s">
        <v>10425</v>
      </c>
      <c r="G2550" s="8" t="s">
        <v>10426</v>
      </c>
      <c r="H2550" s="8" t="s">
        <v>37</v>
      </c>
      <c r="I2550" s="8" t="s">
        <v>3756</v>
      </c>
    </row>
    <row r="2551" spans="1:9" ht="14.25" customHeight="1" x14ac:dyDescent="0.25">
      <c r="A2551" s="7" t="s">
        <v>10427</v>
      </c>
      <c r="B2551" s="8" t="s">
        <v>7753</v>
      </c>
      <c r="C2551" s="8" t="s">
        <v>10428</v>
      </c>
      <c r="D2551" s="8" t="s">
        <v>411</v>
      </c>
      <c r="E2551" s="8" t="s">
        <v>3890</v>
      </c>
      <c r="F2551" s="11"/>
      <c r="G2551" s="8" t="s">
        <v>10426</v>
      </c>
      <c r="H2551" s="8" t="s">
        <v>37</v>
      </c>
      <c r="I2551" s="8" t="s">
        <v>3756</v>
      </c>
    </row>
    <row r="2552" spans="1:9" ht="14.25" customHeight="1" x14ac:dyDescent="0.25">
      <c r="A2552" s="7" t="s">
        <v>10429</v>
      </c>
      <c r="B2552" s="8" t="s">
        <v>10430</v>
      </c>
      <c r="C2552" s="8" t="s">
        <v>10431</v>
      </c>
      <c r="D2552" s="8" t="s">
        <v>411</v>
      </c>
      <c r="E2552" s="8" t="s">
        <v>412</v>
      </c>
      <c r="F2552" s="12" t="s">
        <v>10432</v>
      </c>
      <c r="G2552" s="8" t="s">
        <v>10433</v>
      </c>
      <c r="H2552" s="8" t="s">
        <v>82</v>
      </c>
      <c r="I2552" s="8" t="s">
        <v>4039</v>
      </c>
    </row>
    <row r="2553" spans="1:9" ht="14.25" customHeight="1" x14ac:dyDescent="0.25">
      <c r="A2553" s="7" t="s">
        <v>10434</v>
      </c>
      <c r="B2553" s="8" t="s">
        <v>2899</v>
      </c>
      <c r="C2553" s="8" t="s">
        <v>10435</v>
      </c>
      <c r="D2553" s="8" t="s">
        <v>411</v>
      </c>
      <c r="E2553" s="8" t="s">
        <v>412</v>
      </c>
      <c r="F2553" s="12" t="s">
        <v>10436</v>
      </c>
      <c r="G2553" s="8" t="s">
        <v>10437</v>
      </c>
      <c r="H2553" s="8" t="s">
        <v>3918</v>
      </c>
      <c r="I2553" s="8" t="s">
        <v>3756</v>
      </c>
    </row>
    <row r="2554" spans="1:9" ht="14.25" customHeight="1" x14ac:dyDescent="0.25">
      <c r="A2554" s="7" t="s">
        <v>10438</v>
      </c>
      <c r="B2554" s="8" t="s">
        <v>10439</v>
      </c>
      <c r="C2554" s="8" t="s">
        <v>10440</v>
      </c>
      <c r="D2554" s="8" t="s">
        <v>411</v>
      </c>
      <c r="E2554" s="8" t="s">
        <v>412</v>
      </c>
      <c r="F2554" s="12" t="s">
        <v>10441</v>
      </c>
      <c r="G2554" s="8" t="s">
        <v>10442</v>
      </c>
      <c r="H2554" s="8" t="s">
        <v>10443</v>
      </c>
      <c r="I2554" s="8" t="s">
        <v>4039</v>
      </c>
    </row>
    <row r="2555" spans="1:9" ht="14.25" customHeight="1" x14ac:dyDescent="0.25">
      <c r="A2555" s="7" t="s">
        <v>10444</v>
      </c>
      <c r="B2555" s="8" t="s">
        <v>275</v>
      </c>
      <c r="C2555" s="8" t="s">
        <v>10445</v>
      </c>
      <c r="D2555" s="8" t="s">
        <v>3163</v>
      </c>
      <c r="E2555" s="8" t="s">
        <v>3890</v>
      </c>
      <c r="F2555" s="11"/>
      <c r="G2555" s="8" t="s">
        <v>10442</v>
      </c>
      <c r="H2555" s="8" t="s">
        <v>10443</v>
      </c>
      <c r="I2555" s="8" t="s">
        <v>4039</v>
      </c>
    </row>
    <row r="2556" spans="1:9" ht="14.25" customHeight="1" x14ac:dyDescent="0.25">
      <c r="A2556" s="7" t="s">
        <v>10446</v>
      </c>
      <c r="B2556" s="8" t="s">
        <v>10447</v>
      </c>
      <c r="C2556" s="8" t="s">
        <v>10448</v>
      </c>
      <c r="D2556" s="8" t="s">
        <v>3163</v>
      </c>
      <c r="E2556" s="8" t="s">
        <v>412</v>
      </c>
      <c r="F2556" s="12" t="s">
        <v>10449</v>
      </c>
      <c r="G2556" s="8" t="s">
        <v>10450</v>
      </c>
      <c r="H2556" s="8" t="s">
        <v>10121</v>
      </c>
      <c r="I2556" s="8" t="s">
        <v>4371</v>
      </c>
    </row>
    <row r="2557" spans="1:9" ht="14.25" customHeight="1" x14ac:dyDescent="0.25">
      <c r="A2557" s="7" t="s">
        <v>10451</v>
      </c>
      <c r="B2557" s="8" t="s">
        <v>8023</v>
      </c>
      <c r="C2557" s="8" t="s">
        <v>10452</v>
      </c>
      <c r="D2557" s="8" t="s">
        <v>411</v>
      </c>
      <c r="E2557" s="8" t="s">
        <v>412</v>
      </c>
      <c r="F2557" s="12" t="s">
        <v>10453</v>
      </c>
      <c r="G2557" s="8" t="s">
        <v>10454</v>
      </c>
      <c r="H2557" s="8" t="s">
        <v>10455</v>
      </c>
      <c r="I2557" s="8" t="s">
        <v>4039</v>
      </c>
    </row>
    <row r="2558" spans="1:9" ht="14.25" customHeight="1" x14ac:dyDescent="0.25">
      <c r="A2558" s="7" t="s">
        <v>10456</v>
      </c>
      <c r="B2558" s="8" t="s">
        <v>10457</v>
      </c>
      <c r="C2558" s="8" t="s">
        <v>10458</v>
      </c>
      <c r="D2558" s="8" t="s">
        <v>411</v>
      </c>
      <c r="E2558" s="8" t="s">
        <v>412</v>
      </c>
      <c r="F2558" s="12" t="s">
        <v>10459</v>
      </c>
      <c r="G2558" s="8" t="s">
        <v>10460</v>
      </c>
      <c r="H2558" s="8" t="s">
        <v>5537</v>
      </c>
      <c r="I2558" s="8" t="s">
        <v>3756</v>
      </c>
    </row>
    <row r="2559" spans="1:9" ht="14.25" customHeight="1" x14ac:dyDescent="0.25">
      <c r="A2559" s="7" t="s">
        <v>10461</v>
      </c>
      <c r="B2559" s="8" t="s">
        <v>2847</v>
      </c>
      <c r="C2559" s="8" t="s">
        <v>10462</v>
      </c>
      <c r="D2559" s="8" t="s">
        <v>411</v>
      </c>
      <c r="E2559" s="8" t="s">
        <v>412</v>
      </c>
      <c r="F2559" s="12" t="s">
        <v>10463</v>
      </c>
      <c r="G2559" s="8" t="s">
        <v>10464</v>
      </c>
      <c r="H2559" s="8" t="s">
        <v>6128</v>
      </c>
      <c r="I2559" s="8" t="s">
        <v>4371</v>
      </c>
    </row>
    <row r="2560" spans="1:9" ht="14.25" customHeight="1" x14ac:dyDescent="0.25">
      <c r="A2560" s="7" t="s">
        <v>10465</v>
      </c>
      <c r="B2560" s="8" t="s">
        <v>10466</v>
      </c>
      <c r="C2560" s="8" t="s">
        <v>10467</v>
      </c>
      <c r="D2560" s="8" t="s">
        <v>411</v>
      </c>
      <c r="E2560" s="8" t="s">
        <v>412</v>
      </c>
      <c r="F2560" s="12" t="s">
        <v>10468</v>
      </c>
      <c r="G2560" s="8" t="s">
        <v>10464</v>
      </c>
      <c r="H2560" s="8" t="s">
        <v>6128</v>
      </c>
      <c r="I2560" s="8" t="s">
        <v>4371</v>
      </c>
    </row>
    <row r="2561" spans="1:9" ht="14.25" customHeight="1" x14ac:dyDescent="0.25">
      <c r="A2561" s="7" t="s">
        <v>10469</v>
      </c>
      <c r="B2561" s="8" t="s">
        <v>3718</v>
      </c>
      <c r="C2561" s="8" t="s">
        <v>10470</v>
      </c>
      <c r="D2561" s="8" t="s">
        <v>411</v>
      </c>
      <c r="E2561" s="8" t="s">
        <v>412</v>
      </c>
      <c r="F2561" s="12" t="s">
        <v>10471</v>
      </c>
      <c r="G2561" s="8" t="s">
        <v>10472</v>
      </c>
      <c r="H2561" s="8" t="s">
        <v>37</v>
      </c>
      <c r="I2561" s="8" t="s">
        <v>3756</v>
      </c>
    </row>
    <row r="2562" spans="1:9" ht="14.25" customHeight="1" x14ac:dyDescent="0.25">
      <c r="A2562" s="7" t="s">
        <v>10473</v>
      </c>
      <c r="B2562" s="8" t="s">
        <v>3847</v>
      </c>
      <c r="C2562" s="8" t="s">
        <v>10474</v>
      </c>
      <c r="D2562" s="8" t="s">
        <v>3163</v>
      </c>
      <c r="E2562" s="8" t="s">
        <v>412</v>
      </c>
      <c r="F2562" s="12" t="s">
        <v>10475</v>
      </c>
      <c r="G2562" s="8" t="s">
        <v>10476</v>
      </c>
      <c r="H2562" s="8" t="s">
        <v>82</v>
      </c>
      <c r="I2562" s="8" t="s">
        <v>3756</v>
      </c>
    </row>
    <row r="2563" spans="1:9" ht="14.25" customHeight="1" x14ac:dyDescent="0.25">
      <c r="A2563" s="30" t="s">
        <v>10477</v>
      </c>
      <c r="B2563" s="8" t="s">
        <v>3718</v>
      </c>
      <c r="C2563" s="8" t="s">
        <v>10478</v>
      </c>
      <c r="D2563" s="8" t="s">
        <v>411</v>
      </c>
      <c r="E2563" s="8" t="s">
        <v>3890</v>
      </c>
      <c r="F2563" s="12" t="s">
        <v>10479</v>
      </c>
      <c r="G2563" s="8" t="s">
        <v>10480</v>
      </c>
      <c r="H2563" s="8" t="s">
        <v>10481</v>
      </c>
      <c r="I2563" s="8" t="s">
        <v>4039</v>
      </c>
    </row>
    <row r="2564" spans="1:9" ht="14.25" customHeight="1" x14ac:dyDescent="0.25">
      <c r="A2564" s="7" t="s">
        <v>10482</v>
      </c>
      <c r="B2564" s="8" t="s">
        <v>10483</v>
      </c>
      <c r="C2564" s="8" t="s">
        <v>10484</v>
      </c>
      <c r="D2564" s="8" t="s">
        <v>3163</v>
      </c>
      <c r="E2564" s="8" t="s">
        <v>3890</v>
      </c>
      <c r="F2564" s="12" t="s">
        <v>10485</v>
      </c>
      <c r="G2564" s="8" t="s">
        <v>10480</v>
      </c>
      <c r="H2564" s="8" t="s">
        <v>10481</v>
      </c>
      <c r="I2564" s="8" t="s">
        <v>4039</v>
      </c>
    </row>
    <row r="2565" spans="1:9" ht="14.25" customHeight="1" x14ac:dyDescent="0.25">
      <c r="A2565" s="7" t="s">
        <v>10486</v>
      </c>
      <c r="B2565" s="8" t="s">
        <v>10487</v>
      </c>
      <c r="C2565" s="8" t="s">
        <v>10488</v>
      </c>
      <c r="D2565" s="8" t="s">
        <v>411</v>
      </c>
      <c r="E2565" s="8" t="s">
        <v>3890</v>
      </c>
      <c r="F2565" s="12" t="s">
        <v>10489</v>
      </c>
      <c r="G2565" s="8" t="s">
        <v>10490</v>
      </c>
      <c r="H2565" s="8" t="s">
        <v>92</v>
      </c>
      <c r="I2565" s="8" t="s">
        <v>4039</v>
      </c>
    </row>
    <row r="2566" spans="1:9" ht="14.25" customHeight="1" x14ac:dyDescent="0.25">
      <c r="A2566" s="7" t="s">
        <v>10491</v>
      </c>
      <c r="B2566" s="8" t="s">
        <v>10026</v>
      </c>
      <c r="C2566" s="8" t="s">
        <v>10492</v>
      </c>
      <c r="D2566" s="8" t="s">
        <v>3163</v>
      </c>
      <c r="E2566" s="8" t="s">
        <v>3890</v>
      </c>
      <c r="F2566" s="11"/>
      <c r="G2566" s="8" t="s">
        <v>10490</v>
      </c>
      <c r="H2566" s="8" t="s">
        <v>92</v>
      </c>
      <c r="I2566" s="8" t="s">
        <v>4039</v>
      </c>
    </row>
    <row r="2567" spans="1:9" ht="14.25" customHeight="1" x14ac:dyDescent="0.25">
      <c r="A2567" s="7" t="s">
        <v>10493</v>
      </c>
      <c r="B2567" s="8" t="s">
        <v>8330</v>
      </c>
      <c r="C2567" s="8" t="s">
        <v>10494</v>
      </c>
      <c r="D2567" s="8" t="s">
        <v>411</v>
      </c>
      <c r="E2567" s="8" t="s">
        <v>412</v>
      </c>
      <c r="F2567" s="12" t="s">
        <v>10495</v>
      </c>
      <c r="G2567" s="8" t="s">
        <v>10496</v>
      </c>
      <c r="H2567" s="8" t="s">
        <v>82</v>
      </c>
      <c r="I2567" s="8" t="s">
        <v>5347</v>
      </c>
    </row>
    <row r="2568" spans="1:9" ht="14.25" customHeight="1" x14ac:dyDescent="0.25">
      <c r="A2568" s="7" t="s">
        <v>10497</v>
      </c>
      <c r="B2568" s="8" t="s">
        <v>10498</v>
      </c>
      <c r="C2568" s="8" t="s">
        <v>10499</v>
      </c>
      <c r="D2568" s="8" t="s">
        <v>411</v>
      </c>
      <c r="E2568" s="8" t="s">
        <v>3890</v>
      </c>
      <c r="F2568" s="12" t="s">
        <v>10500</v>
      </c>
      <c r="G2568" s="8" t="s">
        <v>10501</v>
      </c>
      <c r="H2568" s="8" t="s">
        <v>37</v>
      </c>
      <c r="I2568" s="8" t="s">
        <v>3756</v>
      </c>
    </row>
    <row r="2569" spans="1:9" ht="14.25" customHeight="1" x14ac:dyDescent="0.25">
      <c r="A2569" s="7" t="s">
        <v>10502</v>
      </c>
      <c r="B2569" s="8" t="s">
        <v>10503</v>
      </c>
      <c r="C2569" s="8" t="s">
        <v>10504</v>
      </c>
      <c r="D2569" s="8" t="s">
        <v>3163</v>
      </c>
      <c r="E2569" s="8" t="s">
        <v>3890</v>
      </c>
      <c r="F2569" s="12" t="s">
        <v>10505</v>
      </c>
      <c r="G2569" s="8" t="s">
        <v>10501</v>
      </c>
      <c r="H2569" s="8" t="s">
        <v>37</v>
      </c>
      <c r="I2569" s="8" t="s">
        <v>3756</v>
      </c>
    </row>
    <row r="2570" spans="1:9" ht="14.25" customHeight="1" x14ac:dyDescent="0.25">
      <c r="A2570" s="7" t="s">
        <v>10506</v>
      </c>
      <c r="B2570" s="8" t="s">
        <v>4810</v>
      </c>
      <c r="C2570" s="8" t="s">
        <v>10507</v>
      </c>
      <c r="D2570" s="8" t="s">
        <v>411</v>
      </c>
      <c r="E2570" s="8" t="s">
        <v>412</v>
      </c>
      <c r="F2570" s="12" t="s">
        <v>10508</v>
      </c>
      <c r="G2570" s="8" t="s">
        <v>10509</v>
      </c>
      <c r="H2570" s="8" t="s">
        <v>2212</v>
      </c>
      <c r="I2570" s="8" t="s">
        <v>4039</v>
      </c>
    </row>
    <row r="2571" spans="1:9" ht="14.25" customHeight="1" x14ac:dyDescent="0.25">
      <c r="A2571" s="7" t="s">
        <v>10510</v>
      </c>
      <c r="B2571" s="8" t="s">
        <v>10511</v>
      </c>
      <c r="C2571" s="8" t="s">
        <v>10512</v>
      </c>
      <c r="D2571" s="8" t="s">
        <v>3163</v>
      </c>
      <c r="E2571" s="8" t="s">
        <v>412</v>
      </c>
      <c r="F2571" s="12" t="s">
        <v>10513</v>
      </c>
      <c r="G2571" s="8" t="s">
        <v>10514</v>
      </c>
      <c r="H2571" s="8" t="s">
        <v>82</v>
      </c>
      <c r="I2571" s="8" t="s">
        <v>4039</v>
      </c>
    </row>
    <row r="2572" spans="1:9" ht="14.25" customHeight="1" x14ac:dyDescent="0.25">
      <c r="A2572" s="7" t="s">
        <v>10515</v>
      </c>
      <c r="B2572" s="8" t="s">
        <v>4201</v>
      </c>
      <c r="C2572" s="8" t="s">
        <v>7251</v>
      </c>
      <c r="D2572" s="8" t="s">
        <v>411</v>
      </c>
      <c r="E2572" s="8" t="s">
        <v>412</v>
      </c>
      <c r="F2572" s="12" t="s">
        <v>10516</v>
      </c>
      <c r="G2572" s="8" t="s">
        <v>10517</v>
      </c>
      <c r="H2572" s="8" t="s">
        <v>37</v>
      </c>
      <c r="I2572" s="8" t="s">
        <v>3756</v>
      </c>
    </row>
    <row r="2573" spans="1:9" ht="14.25" customHeight="1" x14ac:dyDescent="0.25">
      <c r="A2573" s="7" t="s">
        <v>10518</v>
      </c>
      <c r="B2573" s="8" t="s">
        <v>6938</v>
      </c>
      <c r="C2573" s="8" t="s">
        <v>3897</v>
      </c>
      <c r="D2573" s="8" t="s">
        <v>411</v>
      </c>
      <c r="E2573" s="8" t="s">
        <v>3890</v>
      </c>
      <c r="F2573" s="12" t="s">
        <v>10519</v>
      </c>
      <c r="G2573" s="8" t="s">
        <v>10520</v>
      </c>
      <c r="H2573" s="8" t="s">
        <v>49</v>
      </c>
      <c r="I2573" s="8" t="s">
        <v>4039</v>
      </c>
    </row>
    <row r="2574" spans="1:9" ht="14.25" customHeight="1" x14ac:dyDescent="0.25">
      <c r="A2574" s="7" t="s">
        <v>10521</v>
      </c>
      <c r="B2574" s="8" t="s">
        <v>10522</v>
      </c>
      <c r="C2574" s="8" t="s">
        <v>4886</v>
      </c>
      <c r="D2574" s="8" t="s">
        <v>3163</v>
      </c>
      <c r="E2574" s="8" t="s">
        <v>3890</v>
      </c>
      <c r="F2574" s="12" t="s">
        <v>10523</v>
      </c>
      <c r="G2574" s="8" t="s">
        <v>10520</v>
      </c>
      <c r="H2574" s="8" t="s">
        <v>49</v>
      </c>
      <c r="I2574" s="8" t="s">
        <v>4039</v>
      </c>
    </row>
    <row r="2575" spans="1:9" ht="14.25" customHeight="1" x14ac:dyDescent="0.25">
      <c r="A2575" s="7" t="s">
        <v>10524</v>
      </c>
      <c r="B2575" s="8" t="s">
        <v>933</v>
      </c>
      <c r="C2575" s="8" t="s">
        <v>2559</v>
      </c>
      <c r="D2575" s="8" t="s">
        <v>3163</v>
      </c>
      <c r="E2575" s="8" t="s">
        <v>412</v>
      </c>
      <c r="F2575" s="12" t="s">
        <v>10525</v>
      </c>
      <c r="G2575" s="8" t="s">
        <v>10526</v>
      </c>
      <c r="H2575" s="8" t="s">
        <v>6233</v>
      </c>
      <c r="I2575" s="8" t="s">
        <v>4039</v>
      </c>
    </row>
    <row r="2576" spans="1:9" ht="14.25" customHeight="1" x14ac:dyDescent="0.25">
      <c r="A2576" s="7" t="s">
        <v>10527</v>
      </c>
      <c r="B2576" s="8" t="s">
        <v>4322</v>
      </c>
      <c r="C2576" s="8" t="s">
        <v>3427</v>
      </c>
      <c r="D2576" s="8" t="s">
        <v>411</v>
      </c>
      <c r="E2576" s="8" t="s">
        <v>3890</v>
      </c>
      <c r="F2576" s="12" t="s">
        <v>10528</v>
      </c>
      <c r="G2576" s="8" t="s">
        <v>10529</v>
      </c>
      <c r="H2576" s="8" t="s">
        <v>20</v>
      </c>
      <c r="I2576" s="8" t="s">
        <v>3756</v>
      </c>
    </row>
    <row r="2577" spans="1:9" ht="14.25" customHeight="1" x14ac:dyDescent="0.25">
      <c r="A2577" s="7" t="s">
        <v>10530</v>
      </c>
      <c r="B2577" s="8" t="s">
        <v>853</v>
      </c>
      <c r="C2577" s="8" t="s">
        <v>10531</v>
      </c>
      <c r="D2577" s="8" t="s">
        <v>3163</v>
      </c>
      <c r="E2577" s="8" t="s">
        <v>3890</v>
      </c>
      <c r="F2577" s="12" t="s">
        <v>10532</v>
      </c>
      <c r="G2577" s="8" t="s">
        <v>10529</v>
      </c>
      <c r="H2577" s="8" t="s">
        <v>20</v>
      </c>
      <c r="I2577" s="8" t="s">
        <v>3756</v>
      </c>
    </row>
    <row r="2578" spans="1:9" ht="14.25" customHeight="1" x14ac:dyDescent="0.25">
      <c r="A2578" s="7" t="s">
        <v>10533</v>
      </c>
      <c r="B2578" s="8" t="s">
        <v>10534</v>
      </c>
      <c r="C2578" s="8" t="s">
        <v>287</v>
      </c>
      <c r="D2578" s="8" t="s">
        <v>3163</v>
      </c>
      <c r="E2578" s="8" t="s">
        <v>3890</v>
      </c>
      <c r="F2578" s="12" t="s">
        <v>10535</v>
      </c>
      <c r="G2578" s="8" t="s">
        <v>10536</v>
      </c>
      <c r="H2578" s="8" t="s">
        <v>2212</v>
      </c>
      <c r="I2578" s="8" t="s">
        <v>4039</v>
      </c>
    </row>
    <row r="2579" spans="1:9" ht="14.25" customHeight="1" x14ac:dyDescent="0.25">
      <c r="A2579" s="7" t="s">
        <v>10537</v>
      </c>
      <c r="B2579" s="8" t="s">
        <v>1463</v>
      </c>
      <c r="C2579" s="8" t="s">
        <v>10538</v>
      </c>
      <c r="D2579" s="8" t="s">
        <v>411</v>
      </c>
      <c r="E2579" s="8" t="s">
        <v>3890</v>
      </c>
      <c r="F2579" s="12" t="s">
        <v>10539</v>
      </c>
      <c r="G2579" s="8" t="s">
        <v>10536</v>
      </c>
      <c r="H2579" s="8" t="s">
        <v>2212</v>
      </c>
      <c r="I2579" s="8" t="s">
        <v>4039</v>
      </c>
    </row>
    <row r="2580" spans="1:9" ht="14.25" customHeight="1" x14ac:dyDescent="0.25">
      <c r="A2580" s="7" t="s">
        <v>10540</v>
      </c>
      <c r="B2580" s="8" t="s">
        <v>10541</v>
      </c>
      <c r="C2580" s="8" t="s">
        <v>10542</v>
      </c>
      <c r="D2580" s="8" t="s">
        <v>411</v>
      </c>
      <c r="E2580" s="8" t="s">
        <v>3890</v>
      </c>
      <c r="F2580" s="12" t="s">
        <v>10543</v>
      </c>
      <c r="G2580" s="8" t="s">
        <v>10544</v>
      </c>
      <c r="H2580" s="8" t="s">
        <v>2212</v>
      </c>
      <c r="I2580" s="8" t="s">
        <v>3756</v>
      </c>
    </row>
    <row r="2581" spans="1:9" ht="14.25" customHeight="1" x14ac:dyDescent="0.25">
      <c r="A2581" s="7" t="s">
        <v>10545</v>
      </c>
      <c r="B2581" s="8" t="s">
        <v>10546</v>
      </c>
      <c r="C2581" s="8" t="s">
        <v>10547</v>
      </c>
      <c r="D2581" s="8" t="s">
        <v>3163</v>
      </c>
      <c r="E2581" s="8" t="s">
        <v>3890</v>
      </c>
      <c r="F2581" s="12" t="s">
        <v>10548</v>
      </c>
      <c r="G2581" s="8" t="s">
        <v>10544</v>
      </c>
      <c r="H2581" s="8" t="s">
        <v>2212</v>
      </c>
      <c r="I2581" s="8" t="s">
        <v>3756</v>
      </c>
    </row>
    <row r="2582" spans="1:9" ht="14.25" customHeight="1" x14ac:dyDescent="0.25">
      <c r="A2582" s="7" t="s">
        <v>10549</v>
      </c>
      <c r="B2582" s="8" t="s">
        <v>10550</v>
      </c>
      <c r="C2582" s="8" t="s">
        <v>10551</v>
      </c>
      <c r="D2582" s="8" t="s">
        <v>411</v>
      </c>
      <c r="E2582" s="8" t="s">
        <v>3890</v>
      </c>
      <c r="F2582" s="12" t="s">
        <v>10552</v>
      </c>
      <c r="G2582" s="8" t="s">
        <v>10553</v>
      </c>
      <c r="H2582" s="8" t="s">
        <v>25</v>
      </c>
      <c r="I2582" s="8" t="s">
        <v>4039</v>
      </c>
    </row>
    <row r="2583" spans="1:9" ht="14.25" customHeight="1" x14ac:dyDescent="0.25">
      <c r="A2583" s="7" t="s">
        <v>10554</v>
      </c>
      <c r="B2583" s="8" t="s">
        <v>10555</v>
      </c>
      <c r="C2583" s="8" t="s">
        <v>10556</v>
      </c>
      <c r="D2583" s="8" t="s">
        <v>3163</v>
      </c>
      <c r="E2583" s="8" t="s">
        <v>3890</v>
      </c>
      <c r="F2583" s="11"/>
      <c r="G2583" s="8" t="s">
        <v>10553</v>
      </c>
      <c r="H2583" s="8" t="s">
        <v>25</v>
      </c>
      <c r="I2583" s="8" t="s">
        <v>4039</v>
      </c>
    </row>
    <row r="2584" spans="1:9" ht="14.25" customHeight="1" x14ac:dyDescent="0.25">
      <c r="A2584" s="7" t="s">
        <v>10557</v>
      </c>
      <c r="B2584" s="8" t="s">
        <v>10558</v>
      </c>
      <c r="C2584" s="8" t="s">
        <v>10559</v>
      </c>
      <c r="D2584" s="8" t="s">
        <v>411</v>
      </c>
      <c r="E2584" s="8" t="s">
        <v>412</v>
      </c>
      <c r="F2584" s="11" t="s">
        <v>10560</v>
      </c>
      <c r="G2584" s="8" t="s">
        <v>10561</v>
      </c>
      <c r="H2584" s="8" t="s">
        <v>10562</v>
      </c>
      <c r="I2584" s="8" t="s">
        <v>4039</v>
      </c>
    </row>
    <row r="2585" spans="1:9" ht="14.25" customHeight="1" x14ac:dyDescent="0.25">
      <c r="A2585" s="7" t="s">
        <v>10563</v>
      </c>
      <c r="B2585" s="8" t="s">
        <v>447</v>
      </c>
      <c r="C2585" s="8" t="s">
        <v>10564</v>
      </c>
      <c r="D2585" s="8" t="s">
        <v>3163</v>
      </c>
      <c r="E2585" s="8" t="s">
        <v>412</v>
      </c>
      <c r="F2585" s="11"/>
      <c r="G2585" s="8"/>
      <c r="H2585" s="8"/>
      <c r="I2585" s="8"/>
    </row>
    <row r="2586" spans="1:9" ht="14.25" customHeight="1" x14ac:dyDescent="0.25">
      <c r="A2586" s="7" t="s">
        <v>10565</v>
      </c>
      <c r="B2586" s="8" t="s">
        <v>726</v>
      </c>
      <c r="C2586" s="8" t="s">
        <v>10566</v>
      </c>
      <c r="D2586" s="8" t="s">
        <v>3163</v>
      </c>
      <c r="E2586" s="8" t="s">
        <v>412</v>
      </c>
      <c r="F2586" s="12" t="s">
        <v>10567</v>
      </c>
      <c r="G2586" s="8" t="s">
        <v>10568</v>
      </c>
      <c r="H2586" s="8" t="s">
        <v>92</v>
      </c>
      <c r="I2586" s="8" t="s">
        <v>4039</v>
      </c>
    </row>
    <row r="2587" spans="1:9" ht="14.25" customHeight="1" x14ac:dyDescent="0.25">
      <c r="A2587" s="7" t="s">
        <v>10569</v>
      </c>
      <c r="B2587" s="8" t="s">
        <v>382</v>
      </c>
      <c r="C2587" s="8" t="s">
        <v>10570</v>
      </c>
      <c r="D2587" s="8" t="s">
        <v>411</v>
      </c>
      <c r="E2587" s="8" t="s">
        <v>412</v>
      </c>
      <c r="F2587" s="12" t="s">
        <v>10571</v>
      </c>
      <c r="G2587" s="8"/>
      <c r="H2587" s="8" t="s">
        <v>10572</v>
      </c>
      <c r="I2587" s="8" t="s">
        <v>4039</v>
      </c>
    </row>
    <row r="2588" spans="1:9" ht="14.25" customHeight="1" x14ac:dyDescent="0.25">
      <c r="A2588" s="7" t="s">
        <v>10573</v>
      </c>
      <c r="B2588" s="8" t="s">
        <v>2100</v>
      </c>
      <c r="C2588" s="8" t="s">
        <v>10574</v>
      </c>
      <c r="D2588" s="8" t="s">
        <v>3163</v>
      </c>
      <c r="E2588" s="8" t="s">
        <v>412</v>
      </c>
      <c r="F2588" s="11" t="s">
        <v>10575</v>
      </c>
      <c r="G2588" s="8" t="s">
        <v>10576</v>
      </c>
      <c r="H2588" s="8" t="s">
        <v>5570</v>
      </c>
      <c r="I2588" s="8" t="s">
        <v>4371</v>
      </c>
    </row>
    <row r="2589" spans="1:9" ht="14.25" customHeight="1" x14ac:dyDescent="0.25">
      <c r="A2589" s="7" t="s">
        <v>10577</v>
      </c>
      <c r="B2589" s="8" t="s">
        <v>10578</v>
      </c>
      <c r="C2589" s="8" t="s">
        <v>10579</v>
      </c>
      <c r="D2589" s="8" t="s">
        <v>3163</v>
      </c>
      <c r="E2589" s="8" t="s">
        <v>412</v>
      </c>
      <c r="F2589" s="11" t="s">
        <v>10580</v>
      </c>
      <c r="G2589" s="8"/>
      <c r="H2589" s="8"/>
      <c r="I2589" s="8" t="s">
        <v>3756</v>
      </c>
    </row>
    <row r="2590" spans="1:9" ht="14.25" customHeight="1" x14ac:dyDescent="0.25">
      <c r="A2590" s="7" t="s">
        <v>10581</v>
      </c>
      <c r="B2590" s="8" t="s">
        <v>10582</v>
      </c>
      <c r="C2590" s="8" t="s">
        <v>10583</v>
      </c>
      <c r="D2590" s="8" t="s">
        <v>411</v>
      </c>
      <c r="E2590" s="8" t="s">
        <v>3890</v>
      </c>
      <c r="F2590" s="12" t="s">
        <v>10584</v>
      </c>
      <c r="G2590" s="8" t="s">
        <v>10585</v>
      </c>
      <c r="H2590" s="8" t="s">
        <v>10586</v>
      </c>
      <c r="I2590" s="8" t="s">
        <v>4039</v>
      </c>
    </row>
    <row r="2591" spans="1:9" ht="14.25" customHeight="1" x14ac:dyDescent="0.25">
      <c r="A2591" s="7" t="s">
        <v>10587</v>
      </c>
      <c r="B2591" s="8" t="s">
        <v>2165</v>
      </c>
      <c r="C2591" s="8" t="s">
        <v>10588</v>
      </c>
      <c r="D2591" s="8" t="s">
        <v>3163</v>
      </c>
      <c r="E2591" s="8" t="s">
        <v>3890</v>
      </c>
      <c r="F2591" s="12" t="s">
        <v>10589</v>
      </c>
      <c r="G2591" s="8" t="s">
        <v>10585</v>
      </c>
      <c r="H2591" s="8" t="s">
        <v>10586</v>
      </c>
      <c r="I2591" s="8" t="s">
        <v>4039</v>
      </c>
    </row>
    <row r="2592" spans="1:9" ht="14.25" customHeight="1" x14ac:dyDescent="0.25">
      <c r="A2592" s="7" t="s">
        <v>10590</v>
      </c>
      <c r="B2592" s="8" t="s">
        <v>10591</v>
      </c>
      <c r="C2592" s="8" t="s">
        <v>150</v>
      </c>
      <c r="D2592" s="8" t="s">
        <v>411</v>
      </c>
      <c r="E2592" s="8" t="s">
        <v>412</v>
      </c>
      <c r="F2592" s="12" t="s">
        <v>10592</v>
      </c>
      <c r="G2592" s="8" t="s">
        <v>8535</v>
      </c>
      <c r="H2592" s="8" t="s">
        <v>10593</v>
      </c>
      <c r="I2592" s="8" t="s">
        <v>3756</v>
      </c>
    </row>
    <row r="2593" spans="1:9" ht="14.25" customHeight="1" x14ac:dyDescent="0.25">
      <c r="A2593" s="7" t="s">
        <v>10594</v>
      </c>
      <c r="B2593" s="8" t="s">
        <v>10595</v>
      </c>
      <c r="C2593" s="8" t="s">
        <v>10094</v>
      </c>
      <c r="D2593" s="8" t="s">
        <v>411</v>
      </c>
      <c r="E2593" s="8" t="s">
        <v>412</v>
      </c>
      <c r="F2593" s="11" t="s">
        <v>10596</v>
      </c>
      <c r="G2593" s="8"/>
      <c r="H2593" s="8"/>
      <c r="I2593" s="8"/>
    </row>
    <row r="2594" spans="1:9" ht="14.25" customHeight="1" x14ac:dyDescent="0.25">
      <c r="A2594" s="7" t="s">
        <v>10597</v>
      </c>
      <c r="B2594" s="8" t="s">
        <v>10598</v>
      </c>
      <c r="C2594" s="8" t="s">
        <v>3052</v>
      </c>
      <c r="D2594" s="8" t="s">
        <v>411</v>
      </c>
      <c r="E2594" s="8" t="s">
        <v>412</v>
      </c>
      <c r="F2594" s="12" t="s">
        <v>10599</v>
      </c>
      <c r="G2594" s="8" t="s">
        <v>10600</v>
      </c>
      <c r="H2594" s="8" t="s">
        <v>37</v>
      </c>
      <c r="I2594" s="8" t="s">
        <v>4039</v>
      </c>
    </row>
    <row r="2595" spans="1:9" ht="14.25" customHeight="1" x14ac:dyDescent="0.25">
      <c r="A2595" s="7" t="s">
        <v>10601</v>
      </c>
      <c r="B2595" s="8" t="s">
        <v>2334</v>
      </c>
      <c r="C2595" s="23" t="s">
        <v>10602</v>
      </c>
      <c r="D2595" s="8" t="s">
        <v>411</v>
      </c>
      <c r="E2595" s="8" t="s">
        <v>412</v>
      </c>
      <c r="F2595" s="11" t="s">
        <v>10603</v>
      </c>
      <c r="G2595" s="8"/>
      <c r="H2595" s="8" t="s">
        <v>10604</v>
      </c>
      <c r="I2595" s="8" t="s">
        <v>5347</v>
      </c>
    </row>
    <row r="2596" spans="1:9" ht="14.25" customHeight="1" x14ac:dyDescent="0.25">
      <c r="A2596" s="7" t="s">
        <v>10605</v>
      </c>
      <c r="B2596" s="8" t="s">
        <v>993</v>
      </c>
      <c r="C2596" s="8" t="s">
        <v>10606</v>
      </c>
      <c r="D2596" s="8" t="s">
        <v>3163</v>
      </c>
      <c r="E2596" s="8" t="s">
        <v>412</v>
      </c>
      <c r="F2596" s="11" t="s">
        <v>10607</v>
      </c>
      <c r="G2596" s="8" t="s">
        <v>9118</v>
      </c>
      <c r="H2596" s="8" t="s">
        <v>92</v>
      </c>
      <c r="I2596" s="8" t="s">
        <v>4039</v>
      </c>
    </row>
    <row r="2597" spans="1:9" ht="14.25" customHeight="1" x14ac:dyDescent="0.25">
      <c r="A2597" s="7" t="s">
        <v>10608</v>
      </c>
      <c r="B2597" s="8" t="s">
        <v>10609</v>
      </c>
      <c r="C2597" s="8" t="s">
        <v>10610</v>
      </c>
      <c r="D2597" s="8" t="s">
        <v>3163</v>
      </c>
      <c r="E2597" s="8" t="s">
        <v>412</v>
      </c>
      <c r="F2597" s="12" t="s">
        <v>10611</v>
      </c>
      <c r="G2597" s="8"/>
      <c r="H2597" s="8" t="s">
        <v>10612</v>
      </c>
      <c r="I2597" s="8" t="s">
        <v>4039</v>
      </c>
    </row>
    <row r="2598" spans="1:9" ht="14.25" customHeight="1" x14ac:dyDescent="0.25">
      <c r="A2598" s="7" t="s">
        <v>10613</v>
      </c>
      <c r="B2598" s="8" t="s">
        <v>8792</v>
      </c>
      <c r="C2598" s="8" t="s">
        <v>10614</v>
      </c>
      <c r="D2598" s="8" t="s">
        <v>411</v>
      </c>
      <c r="E2598" s="8" t="s">
        <v>412</v>
      </c>
      <c r="F2598" s="11"/>
      <c r="G2598" s="8"/>
      <c r="H2598" s="8" t="s">
        <v>25</v>
      </c>
      <c r="I2598" s="8" t="s">
        <v>4371</v>
      </c>
    </row>
    <row r="2599" spans="1:9" ht="14.25" customHeight="1" x14ac:dyDescent="0.25">
      <c r="A2599" s="7" t="s">
        <v>10615</v>
      </c>
      <c r="B2599" s="8" t="s">
        <v>8755</v>
      </c>
      <c r="C2599" s="8" t="s">
        <v>10616</v>
      </c>
      <c r="D2599" s="8" t="s">
        <v>411</v>
      </c>
      <c r="E2599" s="8" t="s">
        <v>412</v>
      </c>
      <c r="F2599" s="11" t="s">
        <v>10617</v>
      </c>
      <c r="G2599" s="8"/>
      <c r="H2599" s="8"/>
      <c r="I2599" s="8"/>
    </row>
    <row r="2600" spans="1:9" ht="14.25" customHeight="1" x14ac:dyDescent="0.25">
      <c r="A2600" s="7" t="s">
        <v>10618</v>
      </c>
      <c r="B2600" s="8" t="s">
        <v>10619</v>
      </c>
      <c r="C2600" s="8" t="s">
        <v>1454</v>
      </c>
      <c r="D2600" s="8" t="s">
        <v>411</v>
      </c>
      <c r="E2600" s="8" t="s">
        <v>412</v>
      </c>
      <c r="F2600" s="11" t="s">
        <v>10620</v>
      </c>
      <c r="G2600" s="8" t="s">
        <v>10621</v>
      </c>
      <c r="H2600" s="8" t="s">
        <v>37</v>
      </c>
      <c r="I2600" s="8"/>
    </row>
    <row r="2601" spans="1:9" ht="14.25" customHeight="1" x14ac:dyDescent="0.25">
      <c r="A2601" s="7" t="s">
        <v>10622</v>
      </c>
      <c r="B2601" s="8" t="s">
        <v>10623</v>
      </c>
      <c r="C2601" s="8" t="s">
        <v>10624</v>
      </c>
      <c r="D2601" s="8" t="s">
        <v>411</v>
      </c>
      <c r="E2601" s="8" t="s">
        <v>412</v>
      </c>
      <c r="F2601" s="11" t="s">
        <v>10625</v>
      </c>
      <c r="G2601" s="8" t="s">
        <v>10626</v>
      </c>
      <c r="H2601" s="8" t="s">
        <v>15</v>
      </c>
      <c r="I2601" s="8" t="s">
        <v>4039</v>
      </c>
    </row>
    <row r="2602" spans="1:9" ht="14.25" customHeight="1" x14ac:dyDescent="0.25">
      <c r="A2602" s="7" t="s">
        <v>10627</v>
      </c>
      <c r="B2602" s="8" t="s">
        <v>3653</v>
      </c>
      <c r="C2602" s="8" t="s">
        <v>10628</v>
      </c>
      <c r="D2602" s="8" t="s">
        <v>411</v>
      </c>
      <c r="E2602" s="8" t="s">
        <v>3890</v>
      </c>
      <c r="F2602" s="11" t="s">
        <v>10629</v>
      </c>
      <c r="G2602" s="8" t="s">
        <v>10630</v>
      </c>
      <c r="H2602" s="8" t="s">
        <v>3815</v>
      </c>
      <c r="I2602" s="8" t="s">
        <v>3756</v>
      </c>
    </row>
    <row r="2603" spans="1:9" ht="14.25" customHeight="1" x14ac:dyDescent="0.25">
      <c r="A2603" s="7" t="s">
        <v>10631</v>
      </c>
      <c r="B2603" s="8" t="s">
        <v>10632</v>
      </c>
      <c r="C2603" s="8" t="s">
        <v>10633</v>
      </c>
      <c r="D2603" s="8" t="s">
        <v>3163</v>
      </c>
      <c r="E2603" s="8" t="s">
        <v>3890</v>
      </c>
      <c r="F2603" s="11"/>
      <c r="G2603" s="8"/>
      <c r="H2603" s="8"/>
      <c r="I2603" s="8"/>
    </row>
    <row r="2604" spans="1:9" ht="14.25" customHeight="1" x14ac:dyDescent="0.25">
      <c r="A2604" s="7" t="s">
        <v>10634</v>
      </c>
      <c r="B2604" s="8" t="s">
        <v>8455</v>
      </c>
      <c r="C2604" s="8" t="s">
        <v>10635</v>
      </c>
      <c r="D2604" s="8" t="s">
        <v>411</v>
      </c>
      <c r="E2604" s="8" t="s">
        <v>412</v>
      </c>
      <c r="F2604" s="11" t="s">
        <v>10636</v>
      </c>
      <c r="G2604" s="8" t="s">
        <v>10637</v>
      </c>
      <c r="H2604" s="8" t="s">
        <v>61</v>
      </c>
      <c r="I2604" s="8" t="s">
        <v>3756</v>
      </c>
    </row>
    <row r="2605" spans="1:9" ht="14.25" customHeight="1" x14ac:dyDescent="0.25">
      <c r="A2605" s="7" t="s">
        <v>10638</v>
      </c>
      <c r="B2605" s="8" t="s">
        <v>4629</v>
      </c>
      <c r="C2605" s="8" t="s">
        <v>10639</v>
      </c>
      <c r="D2605" s="8" t="s">
        <v>411</v>
      </c>
      <c r="E2605" s="8" t="s">
        <v>412</v>
      </c>
      <c r="F2605" s="11"/>
      <c r="G2605" s="8"/>
      <c r="H2605" s="8"/>
      <c r="I2605" s="8"/>
    </row>
    <row r="2606" spans="1:9" ht="14.25" customHeight="1" x14ac:dyDescent="0.25">
      <c r="A2606" s="7" t="s">
        <v>10640</v>
      </c>
      <c r="B2606" s="8" t="s">
        <v>3810</v>
      </c>
      <c r="C2606" s="8" t="s">
        <v>10641</v>
      </c>
      <c r="D2606" s="8" t="s">
        <v>411</v>
      </c>
      <c r="E2606" s="8" t="s">
        <v>412</v>
      </c>
      <c r="F2606" s="11" t="s">
        <v>10642</v>
      </c>
      <c r="G2606" s="8" t="s">
        <v>10643</v>
      </c>
      <c r="H2606" s="8" t="s">
        <v>92</v>
      </c>
      <c r="I2606" s="8" t="s">
        <v>4039</v>
      </c>
    </row>
    <row r="2607" spans="1:9" ht="14.25" customHeight="1" x14ac:dyDescent="0.25">
      <c r="A2607" s="7" t="s">
        <v>10644</v>
      </c>
      <c r="B2607" s="8" t="s">
        <v>2847</v>
      </c>
      <c r="C2607" s="8" t="s">
        <v>52</v>
      </c>
      <c r="D2607" s="8" t="s">
        <v>411</v>
      </c>
      <c r="E2607" s="8" t="s">
        <v>412</v>
      </c>
      <c r="F2607" s="11" t="s">
        <v>10645</v>
      </c>
      <c r="G2607" s="8" t="s">
        <v>10646</v>
      </c>
      <c r="H2607" s="8" t="s">
        <v>72</v>
      </c>
      <c r="I2607" s="8" t="s">
        <v>3756</v>
      </c>
    </row>
    <row r="2608" spans="1:9" ht="14.25" customHeight="1" x14ac:dyDescent="0.25">
      <c r="A2608" s="7" t="s">
        <v>10647</v>
      </c>
      <c r="B2608" s="8" t="s">
        <v>10648</v>
      </c>
      <c r="C2608" s="8" t="s">
        <v>6145</v>
      </c>
      <c r="D2608" s="8" t="s">
        <v>3163</v>
      </c>
      <c r="E2608" s="8" t="s">
        <v>412</v>
      </c>
      <c r="F2608" s="11" t="s">
        <v>10649</v>
      </c>
      <c r="G2608" s="8" t="s">
        <v>10650</v>
      </c>
      <c r="H2608" s="8" t="s">
        <v>37</v>
      </c>
      <c r="I2608" s="8" t="s">
        <v>3756</v>
      </c>
    </row>
    <row r="2609" spans="1:9" ht="14.25" customHeight="1" x14ac:dyDescent="0.25">
      <c r="A2609" s="7" t="s">
        <v>10651</v>
      </c>
      <c r="B2609" s="8" t="s">
        <v>10652</v>
      </c>
      <c r="C2609" s="8" t="s">
        <v>10653</v>
      </c>
      <c r="D2609" s="8" t="s">
        <v>411</v>
      </c>
      <c r="E2609" s="8" t="s">
        <v>3890</v>
      </c>
      <c r="F2609" s="11" t="s">
        <v>10654</v>
      </c>
      <c r="G2609" s="8" t="s">
        <v>7854</v>
      </c>
      <c r="H2609" s="8" t="s">
        <v>2212</v>
      </c>
      <c r="I2609" s="8" t="s">
        <v>5347</v>
      </c>
    </row>
    <row r="2610" spans="1:9" ht="14.25" customHeight="1" x14ac:dyDescent="0.25">
      <c r="A2610" s="7" t="s">
        <v>10655</v>
      </c>
      <c r="B2610" s="8" t="s">
        <v>4239</v>
      </c>
      <c r="C2610" s="8" t="s">
        <v>2957</v>
      </c>
      <c r="D2610" s="8" t="s">
        <v>3163</v>
      </c>
      <c r="E2610" s="8" t="s">
        <v>3890</v>
      </c>
      <c r="F2610" s="11" t="s">
        <v>10656</v>
      </c>
      <c r="G2610" s="8" t="s">
        <v>7854</v>
      </c>
      <c r="H2610" s="8" t="s">
        <v>2212</v>
      </c>
      <c r="I2610" s="8" t="s">
        <v>5347</v>
      </c>
    </row>
    <row r="2611" spans="1:9" ht="14.25" customHeight="1" x14ac:dyDescent="0.25">
      <c r="A2611" s="7" t="s">
        <v>10657</v>
      </c>
      <c r="B2611" s="8" t="s">
        <v>8874</v>
      </c>
      <c r="C2611" s="8" t="s">
        <v>10658</v>
      </c>
      <c r="D2611" s="8" t="s">
        <v>411</v>
      </c>
      <c r="E2611" s="8" t="s">
        <v>412</v>
      </c>
      <c r="F2611" s="11" t="s">
        <v>10659</v>
      </c>
      <c r="G2611" s="8" t="s">
        <v>10660</v>
      </c>
      <c r="H2611" s="8" t="s">
        <v>37</v>
      </c>
      <c r="I2611" s="8" t="s">
        <v>3756</v>
      </c>
    </row>
    <row r="2612" spans="1:9" ht="14.25" customHeight="1" x14ac:dyDescent="0.25">
      <c r="A2612" s="7" t="s">
        <v>10661</v>
      </c>
      <c r="B2612" s="8" t="s">
        <v>1727</v>
      </c>
      <c r="C2612" s="8" t="s">
        <v>3128</v>
      </c>
      <c r="D2612" s="8" t="s">
        <v>411</v>
      </c>
      <c r="E2612" s="8" t="s">
        <v>412</v>
      </c>
      <c r="F2612" s="11" t="s">
        <v>10662</v>
      </c>
      <c r="G2612" s="8" t="s">
        <v>6312</v>
      </c>
      <c r="H2612" s="8" t="s">
        <v>4272</v>
      </c>
      <c r="I2612" s="8" t="s">
        <v>3756</v>
      </c>
    </row>
    <row r="2613" spans="1:9" ht="14.25" customHeight="1" x14ac:dyDescent="0.25">
      <c r="A2613" s="7" t="s">
        <v>10663</v>
      </c>
      <c r="B2613" s="8" t="s">
        <v>5546</v>
      </c>
      <c r="C2613" s="8" t="s">
        <v>10664</v>
      </c>
      <c r="D2613" s="8" t="s">
        <v>411</v>
      </c>
      <c r="E2613" s="8" t="s">
        <v>412</v>
      </c>
      <c r="F2613" s="12" t="s">
        <v>10665</v>
      </c>
      <c r="G2613" s="8" t="s">
        <v>10666</v>
      </c>
      <c r="H2613" s="8" t="s">
        <v>5915</v>
      </c>
      <c r="I2613" s="8" t="s">
        <v>4039</v>
      </c>
    </row>
    <row r="2614" spans="1:9" ht="14.25" customHeight="1" x14ac:dyDescent="0.25">
      <c r="A2614" s="7" t="s">
        <v>10667</v>
      </c>
      <c r="B2614" s="8" t="s">
        <v>10668</v>
      </c>
      <c r="C2614" s="8" t="s">
        <v>8071</v>
      </c>
      <c r="D2614" s="8" t="s">
        <v>411</v>
      </c>
      <c r="E2614" s="8" t="s">
        <v>412</v>
      </c>
      <c r="F2614" s="12" t="s">
        <v>10669</v>
      </c>
      <c r="G2614" s="8" t="s">
        <v>10670</v>
      </c>
      <c r="H2614" s="8" t="s">
        <v>92</v>
      </c>
      <c r="I2614" s="8" t="s">
        <v>4039</v>
      </c>
    </row>
    <row r="2615" spans="1:9" ht="14.25" customHeight="1" x14ac:dyDescent="0.25">
      <c r="A2615" s="7" t="s">
        <v>10671</v>
      </c>
      <c r="B2615" s="8" t="s">
        <v>9620</v>
      </c>
      <c r="C2615" s="8" t="s">
        <v>10672</v>
      </c>
      <c r="D2615" s="8" t="s">
        <v>411</v>
      </c>
      <c r="E2615" s="8" t="s">
        <v>3890</v>
      </c>
      <c r="F2615" s="12" t="s">
        <v>10673</v>
      </c>
      <c r="G2615" s="8" t="s">
        <v>10674</v>
      </c>
      <c r="H2615" s="8" t="s">
        <v>37</v>
      </c>
      <c r="I2615" s="8" t="s">
        <v>4039</v>
      </c>
    </row>
    <row r="2616" spans="1:9" ht="14.25" customHeight="1" x14ac:dyDescent="0.25">
      <c r="A2616" s="7" t="s">
        <v>10675</v>
      </c>
      <c r="B2616" s="8" t="s">
        <v>10676</v>
      </c>
      <c r="C2616" s="8" t="s">
        <v>10677</v>
      </c>
      <c r="D2616" s="8" t="s">
        <v>3163</v>
      </c>
      <c r="E2616" s="8" t="s">
        <v>3890</v>
      </c>
      <c r="F2616" s="12" t="s">
        <v>10678</v>
      </c>
      <c r="G2616" s="8" t="s">
        <v>10674</v>
      </c>
      <c r="H2616" s="8" t="s">
        <v>37</v>
      </c>
      <c r="I2616" s="8" t="s">
        <v>4039</v>
      </c>
    </row>
    <row r="2617" spans="1:9" ht="14.25" customHeight="1" x14ac:dyDescent="0.25">
      <c r="A2617" s="7" t="s">
        <v>10679</v>
      </c>
      <c r="B2617" s="8" t="s">
        <v>4360</v>
      </c>
      <c r="C2617" s="8" t="s">
        <v>10680</v>
      </c>
      <c r="D2617" s="8" t="s">
        <v>411</v>
      </c>
      <c r="E2617" s="8" t="s">
        <v>412</v>
      </c>
      <c r="F2617" s="12" t="s">
        <v>10681</v>
      </c>
      <c r="G2617" s="8" t="s">
        <v>10682</v>
      </c>
      <c r="H2617" s="8" t="s">
        <v>5613</v>
      </c>
      <c r="I2617" s="8" t="s">
        <v>3756</v>
      </c>
    </row>
    <row r="2618" spans="1:9" ht="14.25" customHeight="1" x14ac:dyDescent="0.25">
      <c r="A2618" s="7" t="s">
        <v>10683</v>
      </c>
      <c r="B2618" s="8" t="s">
        <v>1584</v>
      </c>
      <c r="C2618" s="8" t="s">
        <v>10684</v>
      </c>
      <c r="D2618" s="8" t="s">
        <v>3163</v>
      </c>
      <c r="E2618" s="8" t="s">
        <v>412</v>
      </c>
      <c r="F2618" s="12" t="s">
        <v>10685</v>
      </c>
      <c r="G2618" s="8" t="s">
        <v>10686</v>
      </c>
      <c r="H2618" s="8" t="s">
        <v>6128</v>
      </c>
      <c r="I2618" s="8" t="s">
        <v>4039</v>
      </c>
    </row>
    <row r="2619" spans="1:9" ht="14.25" customHeight="1" x14ac:dyDescent="0.25">
      <c r="A2619" s="7" t="s">
        <v>10687</v>
      </c>
      <c r="B2619" s="8" t="s">
        <v>1463</v>
      </c>
      <c r="C2619" s="8" t="s">
        <v>10688</v>
      </c>
      <c r="D2619" s="8" t="s">
        <v>411</v>
      </c>
      <c r="E2619" s="8" t="s">
        <v>412</v>
      </c>
      <c r="F2619" s="12" t="s">
        <v>10689</v>
      </c>
      <c r="G2619" s="8" t="s">
        <v>10690</v>
      </c>
      <c r="H2619" s="8" t="s">
        <v>3918</v>
      </c>
      <c r="I2619" s="8" t="s">
        <v>3756</v>
      </c>
    </row>
    <row r="2620" spans="1:9" ht="14.25" customHeight="1" x14ac:dyDescent="0.25">
      <c r="A2620" s="7" t="s">
        <v>10691</v>
      </c>
      <c r="B2620" s="8" t="s">
        <v>5484</v>
      </c>
      <c r="C2620" s="8" t="s">
        <v>10692</v>
      </c>
      <c r="D2620" s="8" t="s">
        <v>411</v>
      </c>
      <c r="E2620" s="8" t="s">
        <v>412</v>
      </c>
      <c r="F2620" s="11" t="s">
        <v>10693</v>
      </c>
      <c r="G2620" s="8" t="s">
        <v>10694</v>
      </c>
      <c r="H2620" s="8" t="s">
        <v>4951</v>
      </c>
      <c r="I2620" s="8" t="s">
        <v>4371</v>
      </c>
    </row>
    <row r="2621" spans="1:9" ht="14.25" customHeight="1" x14ac:dyDescent="0.25">
      <c r="A2621" s="7" t="s">
        <v>10695</v>
      </c>
      <c r="B2621" s="8" t="s">
        <v>10696</v>
      </c>
      <c r="C2621" s="8" t="s">
        <v>10697</v>
      </c>
      <c r="D2621" s="8" t="s">
        <v>411</v>
      </c>
      <c r="E2621" s="8" t="s">
        <v>412</v>
      </c>
      <c r="F2621" s="12" t="s">
        <v>10698</v>
      </c>
      <c r="G2621" s="8" t="s">
        <v>10699</v>
      </c>
      <c r="H2621" s="8" t="s">
        <v>6596</v>
      </c>
      <c r="I2621" s="8" t="s">
        <v>3756</v>
      </c>
    </row>
    <row r="2622" spans="1:9" ht="14.25" customHeight="1" x14ac:dyDescent="0.25">
      <c r="A2622" s="7" t="s">
        <v>10700</v>
      </c>
      <c r="B2622" s="8" t="s">
        <v>7830</v>
      </c>
      <c r="C2622" s="8" t="s">
        <v>10701</v>
      </c>
      <c r="D2622" s="8" t="s">
        <v>411</v>
      </c>
      <c r="E2622" s="8" t="s">
        <v>3890</v>
      </c>
      <c r="F2622" s="12" t="s">
        <v>10702</v>
      </c>
      <c r="G2622" s="8" t="s">
        <v>10703</v>
      </c>
      <c r="H2622" s="8" t="s">
        <v>4317</v>
      </c>
      <c r="I2622" s="8" t="s">
        <v>3756</v>
      </c>
    </row>
    <row r="2623" spans="1:9" ht="14.25" customHeight="1" x14ac:dyDescent="0.25">
      <c r="A2623" s="7" t="s">
        <v>10704</v>
      </c>
      <c r="B2623" s="8" t="s">
        <v>10705</v>
      </c>
      <c r="C2623" s="8" t="s">
        <v>10706</v>
      </c>
      <c r="D2623" s="8" t="s">
        <v>3163</v>
      </c>
      <c r="E2623" s="8" t="s">
        <v>3890</v>
      </c>
      <c r="F2623" s="12" t="s">
        <v>10707</v>
      </c>
      <c r="G2623" s="8" t="s">
        <v>10703</v>
      </c>
      <c r="H2623" s="8" t="s">
        <v>4317</v>
      </c>
      <c r="I2623" s="8" t="s">
        <v>3756</v>
      </c>
    </row>
    <row r="2624" spans="1:9" ht="14.25" customHeight="1" x14ac:dyDescent="0.25">
      <c r="A2624" s="7" t="s">
        <v>10708</v>
      </c>
      <c r="B2624" s="8" t="s">
        <v>1243</v>
      </c>
      <c r="C2624" s="8" t="s">
        <v>10709</v>
      </c>
      <c r="D2624" s="8" t="s">
        <v>411</v>
      </c>
      <c r="E2624" s="8" t="s">
        <v>412</v>
      </c>
      <c r="F2624" s="12" t="s">
        <v>10710</v>
      </c>
      <c r="G2624" s="23" t="s">
        <v>10711</v>
      </c>
      <c r="H2624" s="8" t="s">
        <v>10372</v>
      </c>
      <c r="I2624" s="8" t="s">
        <v>3756</v>
      </c>
    </row>
    <row r="2625" spans="1:9" ht="14.25" customHeight="1" x14ac:dyDescent="0.25">
      <c r="A2625" s="7" t="s">
        <v>10712</v>
      </c>
      <c r="B2625" s="8" t="s">
        <v>10713</v>
      </c>
      <c r="C2625" s="8" t="s">
        <v>10714</v>
      </c>
      <c r="D2625" s="8" t="s">
        <v>3163</v>
      </c>
      <c r="E2625" s="8" t="s">
        <v>412</v>
      </c>
      <c r="F2625" s="12" t="s">
        <v>10715</v>
      </c>
      <c r="G2625" s="23" t="s">
        <v>10716</v>
      </c>
      <c r="H2625" s="8" t="s">
        <v>15</v>
      </c>
      <c r="I2625" s="8" t="s">
        <v>4039</v>
      </c>
    </row>
    <row r="2626" spans="1:9" ht="14.25" customHeight="1" x14ac:dyDescent="0.25">
      <c r="A2626" s="7" t="s">
        <v>10717</v>
      </c>
      <c r="B2626" s="8" t="s">
        <v>8840</v>
      </c>
      <c r="C2626" s="8" t="s">
        <v>10718</v>
      </c>
      <c r="D2626" s="8" t="s">
        <v>411</v>
      </c>
      <c r="E2626" s="8" t="s">
        <v>3890</v>
      </c>
      <c r="F2626" s="12" t="s">
        <v>10719</v>
      </c>
      <c r="G2626" s="23" t="s">
        <v>10720</v>
      </c>
      <c r="H2626" s="8" t="s">
        <v>25</v>
      </c>
      <c r="I2626" s="8" t="s">
        <v>4039</v>
      </c>
    </row>
    <row r="2627" spans="1:9" ht="14.25" customHeight="1" x14ac:dyDescent="0.25">
      <c r="A2627" s="7" t="s">
        <v>10721</v>
      </c>
      <c r="B2627" s="8" t="s">
        <v>3361</v>
      </c>
      <c r="C2627" s="8" t="s">
        <v>10722</v>
      </c>
      <c r="D2627" s="8" t="s">
        <v>3163</v>
      </c>
      <c r="E2627" s="8" t="s">
        <v>3890</v>
      </c>
      <c r="F2627" s="12" t="s">
        <v>10723</v>
      </c>
      <c r="G2627" s="23" t="s">
        <v>10720</v>
      </c>
      <c r="H2627" s="8" t="s">
        <v>25</v>
      </c>
      <c r="I2627" s="8" t="s">
        <v>4039</v>
      </c>
    </row>
    <row r="2628" spans="1:9" ht="14.25" customHeight="1" x14ac:dyDescent="0.25">
      <c r="A2628" s="7" t="s">
        <v>10724</v>
      </c>
      <c r="B2628" s="8" t="s">
        <v>5560</v>
      </c>
      <c r="C2628" s="8" t="s">
        <v>10725</v>
      </c>
      <c r="D2628" s="8" t="s">
        <v>411</v>
      </c>
      <c r="E2628" s="8" t="s">
        <v>412</v>
      </c>
      <c r="F2628" s="11" t="s">
        <v>10726</v>
      </c>
      <c r="G2628" s="8" t="s">
        <v>10727</v>
      </c>
      <c r="H2628" s="8" t="s">
        <v>10728</v>
      </c>
      <c r="I2628" s="8" t="s">
        <v>4039</v>
      </c>
    </row>
    <row r="2629" spans="1:9" ht="14.25" customHeight="1" x14ac:dyDescent="0.25">
      <c r="A2629" s="30" t="s">
        <v>10729</v>
      </c>
      <c r="B2629" s="8" t="s">
        <v>155</v>
      </c>
      <c r="C2629" s="8" t="s">
        <v>10730</v>
      </c>
      <c r="D2629" s="8" t="s">
        <v>411</v>
      </c>
      <c r="E2629" s="8" t="s">
        <v>412</v>
      </c>
      <c r="F2629" s="11" t="s">
        <v>10731</v>
      </c>
      <c r="G2629" s="8" t="s">
        <v>10732</v>
      </c>
      <c r="H2629" s="8" t="s">
        <v>49</v>
      </c>
      <c r="I2629" s="8" t="s">
        <v>4039</v>
      </c>
    </row>
    <row r="2630" spans="1:9" ht="14.25" customHeight="1" x14ac:dyDescent="0.25">
      <c r="A2630" s="30" t="s">
        <v>10733</v>
      </c>
      <c r="B2630" s="8" t="s">
        <v>10734</v>
      </c>
      <c r="C2630" s="8" t="s">
        <v>10735</v>
      </c>
      <c r="D2630" s="8" t="s">
        <v>411</v>
      </c>
      <c r="E2630" s="8" t="s">
        <v>412</v>
      </c>
      <c r="F2630" s="11" t="s">
        <v>10736</v>
      </c>
      <c r="G2630" s="8" t="s">
        <v>10737</v>
      </c>
      <c r="H2630" s="8" t="s">
        <v>25</v>
      </c>
      <c r="I2630" s="8" t="s">
        <v>4039</v>
      </c>
    </row>
    <row r="2631" spans="1:9" ht="14.25" customHeight="1" x14ac:dyDescent="0.25">
      <c r="A2631" s="19" t="s">
        <v>10738</v>
      </c>
      <c r="B2631" s="8" t="s">
        <v>1676</v>
      </c>
      <c r="C2631" s="8" t="s">
        <v>10739</v>
      </c>
      <c r="D2631" s="8" t="s">
        <v>411</v>
      </c>
      <c r="E2631" s="8" t="s">
        <v>412</v>
      </c>
      <c r="F2631" s="11" t="s">
        <v>10740</v>
      </c>
      <c r="G2631" s="8" t="s">
        <v>10741</v>
      </c>
      <c r="H2631" s="8" t="s">
        <v>61</v>
      </c>
      <c r="I2631" s="8" t="s">
        <v>3756</v>
      </c>
    </row>
    <row r="2632" spans="1:9" ht="14.25" customHeight="1" x14ac:dyDescent="0.25">
      <c r="A2632" s="7" t="s">
        <v>10742</v>
      </c>
      <c r="B2632" s="8" t="s">
        <v>10743</v>
      </c>
      <c r="C2632" s="8" t="s">
        <v>10744</v>
      </c>
      <c r="D2632" s="8" t="s">
        <v>411</v>
      </c>
      <c r="E2632" s="8" t="s">
        <v>412</v>
      </c>
      <c r="F2632" s="11" t="s">
        <v>10745</v>
      </c>
      <c r="G2632" s="8" t="s">
        <v>10746</v>
      </c>
      <c r="H2632" s="8" t="s">
        <v>82</v>
      </c>
      <c r="I2632" s="8" t="s">
        <v>4039</v>
      </c>
    </row>
    <row r="2633" spans="1:9" ht="14.25" customHeight="1" x14ac:dyDescent="0.25">
      <c r="A2633" s="7" t="s">
        <v>10747</v>
      </c>
      <c r="B2633" s="8" t="s">
        <v>1529</v>
      </c>
      <c r="C2633" s="8" t="s">
        <v>10748</v>
      </c>
      <c r="D2633" s="8" t="s">
        <v>411</v>
      </c>
      <c r="E2633" s="8" t="s">
        <v>412</v>
      </c>
      <c r="F2633" s="12" t="s">
        <v>10749</v>
      </c>
      <c r="G2633" s="23" t="s">
        <v>10750</v>
      </c>
      <c r="H2633" s="8" t="s">
        <v>8561</v>
      </c>
      <c r="I2633" s="8" t="s">
        <v>3756</v>
      </c>
    </row>
    <row r="2634" spans="1:9" ht="14.25" customHeight="1" x14ac:dyDescent="0.25">
      <c r="A2634" s="7" t="s">
        <v>10751</v>
      </c>
      <c r="B2634" s="8" t="s">
        <v>10752</v>
      </c>
      <c r="C2634" s="8" t="s">
        <v>10753</v>
      </c>
      <c r="D2634" s="8" t="s">
        <v>411</v>
      </c>
      <c r="E2634" s="8" t="s">
        <v>412</v>
      </c>
      <c r="F2634" s="12" t="s">
        <v>10754</v>
      </c>
      <c r="G2634" s="23" t="s">
        <v>10755</v>
      </c>
      <c r="H2634" s="8" t="s">
        <v>4951</v>
      </c>
      <c r="I2634" s="8" t="s">
        <v>5347</v>
      </c>
    </row>
    <row r="2635" spans="1:9" ht="14.25" customHeight="1" x14ac:dyDescent="0.25">
      <c r="A2635" s="30" t="s">
        <v>10756</v>
      </c>
      <c r="B2635" s="8" t="s">
        <v>6382</v>
      </c>
      <c r="C2635" s="8" t="s">
        <v>10757</v>
      </c>
      <c r="D2635" s="8" t="s">
        <v>3163</v>
      </c>
      <c r="E2635" s="8" t="s">
        <v>412</v>
      </c>
    </row>
    <row r="2636" spans="1:9" ht="14.25" customHeight="1" x14ac:dyDescent="0.25">
      <c r="A2636" s="7" t="s">
        <v>10758</v>
      </c>
      <c r="B2636" s="8" t="s">
        <v>10759</v>
      </c>
      <c r="C2636" s="8" t="s">
        <v>10760</v>
      </c>
      <c r="D2636" s="8" t="s">
        <v>411</v>
      </c>
      <c r="E2636" s="8" t="s">
        <v>412</v>
      </c>
      <c r="F2636" s="12" t="s">
        <v>10761</v>
      </c>
      <c r="G2636" s="23" t="s">
        <v>10762</v>
      </c>
      <c r="H2636" s="8" t="s">
        <v>6480</v>
      </c>
      <c r="I2636" s="8" t="s">
        <v>3756</v>
      </c>
    </row>
    <row r="2637" spans="1:9" ht="14.25" customHeight="1" x14ac:dyDescent="0.25">
      <c r="A2637" s="7" t="s">
        <v>10763</v>
      </c>
      <c r="B2637" s="8" t="s">
        <v>10764</v>
      </c>
      <c r="C2637" s="8" t="s">
        <v>10765</v>
      </c>
      <c r="D2637" s="8" t="s">
        <v>3163</v>
      </c>
      <c r="E2637" s="8" t="s">
        <v>412</v>
      </c>
      <c r="F2637" s="12" t="s">
        <v>10766</v>
      </c>
      <c r="G2637" s="23" t="s">
        <v>10767</v>
      </c>
      <c r="H2637" s="8" t="s">
        <v>2212</v>
      </c>
      <c r="I2637" s="8" t="s">
        <v>5347</v>
      </c>
    </row>
    <row r="2638" spans="1:9" ht="14.25" customHeight="1" x14ac:dyDescent="0.25">
      <c r="A2638" s="7" t="s">
        <v>10768</v>
      </c>
      <c r="B2638" s="8" t="s">
        <v>10769</v>
      </c>
      <c r="C2638" s="8" t="s">
        <v>10770</v>
      </c>
      <c r="D2638" s="8" t="s">
        <v>3163</v>
      </c>
      <c r="E2638" s="8" t="s">
        <v>412</v>
      </c>
      <c r="I2638" s="8" t="s">
        <v>3756</v>
      </c>
    </row>
    <row r="2639" spans="1:9" ht="14.25" customHeight="1" x14ac:dyDescent="0.25">
      <c r="A2639" s="7" t="s">
        <v>10771</v>
      </c>
      <c r="B2639" s="8" t="s">
        <v>10772</v>
      </c>
      <c r="D2639" s="8" t="s">
        <v>411</v>
      </c>
      <c r="E2639" s="8" t="s">
        <v>412</v>
      </c>
      <c r="H2639" s="8" t="s">
        <v>7063</v>
      </c>
      <c r="I2639" s="8" t="s">
        <v>5347</v>
      </c>
    </row>
    <row r="2640" spans="1:9" ht="14.25" customHeight="1" x14ac:dyDescent="0.25">
      <c r="A2640" s="7" t="s">
        <v>10773</v>
      </c>
      <c r="B2640" s="8" t="s">
        <v>630</v>
      </c>
      <c r="C2640" s="8" t="s">
        <v>10774</v>
      </c>
      <c r="D2640" s="8" t="s">
        <v>411</v>
      </c>
      <c r="E2640" s="8" t="s">
        <v>412</v>
      </c>
      <c r="F2640" s="12" t="s">
        <v>10775</v>
      </c>
      <c r="G2640" s="23" t="s">
        <v>10776</v>
      </c>
      <c r="H2640" s="8" t="s">
        <v>7672</v>
      </c>
      <c r="I2640" s="8" t="s">
        <v>4039</v>
      </c>
    </row>
    <row r="2641" spans="1:9" ht="14.25" customHeight="1" x14ac:dyDescent="0.25">
      <c r="A2641" s="7" t="s">
        <v>10777</v>
      </c>
      <c r="B2641" s="8" t="s">
        <v>10778</v>
      </c>
      <c r="C2641" s="8" t="s">
        <v>10779</v>
      </c>
      <c r="D2641" s="8" t="s">
        <v>411</v>
      </c>
      <c r="E2641" s="8" t="s">
        <v>412</v>
      </c>
      <c r="F2641" s="12" t="s">
        <v>10780</v>
      </c>
      <c r="G2641" s="23" t="s">
        <v>10781</v>
      </c>
      <c r="H2641" s="8" t="s">
        <v>8536</v>
      </c>
      <c r="I2641" s="8" t="s">
        <v>3756</v>
      </c>
    </row>
    <row r="2642" spans="1:9" ht="14.25" customHeight="1" x14ac:dyDescent="0.25">
      <c r="A2642" s="7" t="s">
        <v>10782</v>
      </c>
      <c r="B2642" s="8" t="s">
        <v>10783</v>
      </c>
      <c r="C2642" s="8" t="s">
        <v>10784</v>
      </c>
      <c r="D2642" s="8" t="s">
        <v>411</v>
      </c>
      <c r="E2642" s="8" t="s">
        <v>412</v>
      </c>
      <c r="F2642" s="12" t="s">
        <v>10785</v>
      </c>
      <c r="G2642" s="23" t="s">
        <v>10786</v>
      </c>
      <c r="H2642" s="8" t="s">
        <v>2212</v>
      </c>
      <c r="I2642" s="8" t="s">
        <v>4039</v>
      </c>
    </row>
    <row r="2643" spans="1:9" ht="14.25" customHeight="1" x14ac:dyDescent="0.25">
      <c r="A2643" s="7" t="s">
        <v>10787</v>
      </c>
      <c r="B2643" s="8" t="s">
        <v>3718</v>
      </c>
      <c r="C2643" s="8" t="s">
        <v>10788</v>
      </c>
      <c r="D2643" s="8" t="s">
        <v>411</v>
      </c>
      <c r="E2643" s="8" t="s">
        <v>3890</v>
      </c>
      <c r="F2643" s="12" t="s">
        <v>10789</v>
      </c>
      <c r="G2643" s="23" t="s">
        <v>10790</v>
      </c>
      <c r="H2643" s="8" t="s">
        <v>82</v>
      </c>
      <c r="I2643" s="8" t="s">
        <v>4039</v>
      </c>
    </row>
    <row r="2644" spans="1:9" ht="14.25" customHeight="1" x14ac:dyDescent="0.25">
      <c r="A2644" s="7" t="s">
        <v>10791</v>
      </c>
      <c r="B2644" s="8" t="s">
        <v>10792</v>
      </c>
      <c r="C2644" s="8" t="s">
        <v>10788</v>
      </c>
      <c r="D2644" s="8" t="s">
        <v>3163</v>
      </c>
      <c r="E2644" s="8" t="s">
        <v>3890</v>
      </c>
      <c r="G2644" s="23" t="s">
        <v>10790</v>
      </c>
      <c r="H2644" s="8" t="s">
        <v>82</v>
      </c>
      <c r="I2644" s="8" t="s">
        <v>4039</v>
      </c>
    </row>
    <row r="2645" spans="1:9" ht="14.25" customHeight="1" x14ac:dyDescent="0.25">
      <c r="A2645" s="7" t="s">
        <v>10793</v>
      </c>
      <c r="B2645" s="8" t="s">
        <v>10794</v>
      </c>
      <c r="C2645" s="8" t="s">
        <v>10795</v>
      </c>
      <c r="D2645" s="8" t="s">
        <v>411</v>
      </c>
      <c r="E2645" s="8" t="s">
        <v>412</v>
      </c>
      <c r="F2645" s="12" t="s">
        <v>10796</v>
      </c>
      <c r="G2645" s="23" t="s">
        <v>10797</v>
      </c>
      <c r="H2645" s="23" t="s">
        <v>10798</v>
      </c>
      <c r="I2645" s="8" t="s">
        <v>4039</v>
      </c>
    </row>
    <row r="2646" spans="1:9" ht="14.25" customHeight="1" x14ac:dyDescent="0.25">
      <c r="A2646" s="7" t="s">
        <v>10799</v>
      </c>
      <c r="B2646" s="8" t="s">
        <v>10800</v>
      </c>
      <c r="C2646" s="8" t="s">
        <v>5460</v>
      </c>
      <c r="D2646" s="8" t="s">
        <v>3163</v>
      </c>
      <c r="E2646" s="8" t="s">
        <v>412</v>
      </c>
      <c r="F2646" s="11" t="s">
        <v>10801</v>
      </c>
      <c r="G2646" s="8" t="s">
        <v>10802</v>
      </c>
      <c r="H2646" s="24" t="s">
        <v>3918</v>
      </c>
      <c r="I2646" s="8" t="s">
        <v>4039</v>
      </c>
    </row>
    <row r="2647" spans="1:9" ht="14.25" customHeight="1" x14ac:dyDescent="0.25">
      <c r="A2647" s="7" t="s">
        <v>10803</v>
      </c>
      <c r="B2647" s="8" t="s">
        <v>7816</v>
      </c>
      <c r="C2647" s="8" t="s">
        <v>10804</v>
      </c>
      <c r="D2647" s="8" t="s">
        <v>411</v>
      </c>
      <c r="E2647" s="8" t="s">
        <v>412</v>
      </c>
      <c r="F2647" s="11" t="s">
        <v>10805</v>
      </c>
      <c r="G2647" s="8" t="s">
        <v>10806</v>
      </c>
      <c r="H2647" s="24" t="s">
        <v>10807</v>
      </c>
    </row>
    <row r="2648" spans="1:9" ht="14.25" customHeight="1" x14ac:dyDescent="0.25">
      <c r="A2648" s="19" t="s">
        <v>10808</v>
      </c>
      <c r="B2648" s="8" t="s">
        <v>842</v>
      </c>
      <c r="C2648" s="8" t="s">
        <v>10809</v>
      </c>
      <c r="D2648" s="8" t="s">
        <v>411</v>
      </c>
      <c r="E2648" s="8" t="s">
        <v>3890</v>
      </c>
      <c r="F2648" s="12" t="s">
        <v>10810</v>
      </c>
      <c r="G2648" s="23" t="s">
        <v>10811</v>
      </c>
      <c r="H2648" s="8" t="s">
        <v>5196</v>
      </c>
      <c r="I2648" s="8" t="s">
        <v>3756</v>
      </c>
    </row>
    <row r="2649" spans="1:9" ht="14.25" customHeight="1" x14ac:dyDescent="0.25">
      <c r="A2649" s="7" t="s">
        <v>10812</v>
      </c>
      <c r="B2649" s="8" t="s">
        <v>447</v>
      </c>
      <c r="C2649" s="8" t="s">
        <v>10813</v>
      </c>
      <c r="D2649" s="8" t="s">
        <v>3163</v>
      </c>
      <c r="E2649" s="8" t="s">
        <v>3890</v>
      </c>
      <c r="F2649" s="12" t="s">
        <v>10814</v>
      </c>
      <c r="G2649" s="23" t="s">
        <v>10811</v>
      </c>
      <c r="H2649" s="8" t="s">
        <v>5196</v>
      </c>
      <c r="I2649" s="8" t="s">
        <v>3756</v>
      </c>
    </row>
    <row r="2650" spans="1:9" ht="14.25" customHeight="1" x14ac:dyDescent="0.25">
      <c r="A2650" s="7" t="s">
        <v>10815</v>
      </c>
      <c r="B2650" s="8" t="s">
        <v>6651</v>
      </c>
      <c r="C2650" s="8" t="s">
        <v>10816</v>
      </c>
      <c r="D2650" s="8" t="s">
        <v>411</v>
      </c>
      <c r="E2650" s="8" t="s">
        <v>3890</v>
      </c>
      <c r="F2650" s="12" t="s">
        <v>10817</v>
      </c>
      <c r="G2650" s="24" t="s">
        <v>10818</v>
      </c>
      <c r="H2650" s="24" t="s">
        <v>92</v>
      </c>
      <c r="I2650" s="8" t="s">
        <v>4039</v>
      </c>
    </row>
    <row r="2651" spans="1:9" ht="14.25" customHeight="1" x14ac:dyDescent="0.25">
      <c r="A2651" s="7" t="s">
        <v>10819</v>
      </c>
      <c r="B2651" s="8" t="s">
        <v>7834</v>
      </c>
      <c r="C2651" s="8" t="s">
        <v>10820</v>
      </c>
      <c r="D2651" s="8" t="s">
        <v>3163</v>
      </c>
      <c r="E2651" s="8" t="s">
        <v>3890</v>
      </c>
      <c r="G2651" s="24" t="s">
        <v>10818</v>
      </c>
      <c r="H2651" s="24" t="s">
        <v>92</v>
      </c>
      <c r="I2651" s="8" t="s">
        <v>4039</v>
      </c>
    </row>
    <row r="2652" spans="1:9" ht="14.25" customHeight="1" x14ac:dyDescent="0.25">
      <c r="A2652" s="7" t="s">
        <v>10821</v>
      </c>
      <c r="B2652" s="8" t="s">
        <v>7537</v>
      </c>
      <c r="C2652" s="8" t="s">
        <v>10822</v>
      </c>
      <c r="D2652" s="8" t="s">
        <v>3163</v>
      </c>
      <c r="E2652" s="8" t="s">
        <v>412</v>
      </c>
      <c r="F2652" s="12" t="s">
        <v>10823</v>
      </c>
      <c r="G2652" s="23" t="s">
        <v>8584</v>
      </c>
      <c r="H2652" s="8" t="s">
        <v>2212</v>
      </c>
      <c r="I2652" s="8" t="s">
        <v>4039</v>
      </c>
    </row>
    <row r="2653" spans="1:9" ht="14.25" customHeight="1" x14ac:dyDescent="0.25">
      <c r="A2653" s="7" t="s">
        <v>10824</v>
      </c>
      <c r="B2653" s="8" t="s">
        <v>10825</v>
      </c>
      <c r="C2653" s="8" t="s">
        <v>10804</v>
      </c>
      <c r="D2653" s="8" t="s">
        <v>3163</v>
      </c>
      <c r="E2653" s="8" t="s">
        <v>3890</v>
      </c>
      <c r="F2653" s="12" t="s">
        <v>10826</v>
      </c>
      <c r="G2653" s="8" t="s">
        <v>10827</v>
      </c>
      <c r="H2653" s="8" t="s">
        <v>15</v>
      </c>
      <c r="I2653" s="8" t="s">
        <v>4039</v>
      </c>
    </row>
    <row r="2654" spans="1:9" ht="14.25" customHeight="1" x14ac:dyDescent="0.25">
      <c r="A2654" s="7" t="s">
        <v>10828</v>
      </c>
      <c r="B2654" s="8" t="s">
        <v>10829</v>
      </c>
      <c r="C2654" s="8" t="s">
        <v>10830</v>
      </c>
      <c r="D2654" s="8" t="s">
        <v>411</v>
      </c>
      <c r="E2654" s="8" t="s">
        <v>3890</v>
      </c>
      <c r="F2654" s="12" t="s">
        <v>10831</v>
      </c>
      <c r="G2654" s="8" t="s">
        <v>10827</v>
      </c>
      <c r="H2654" s="8" t="s">
        <v>15</v>
      </c>
      <c r="I2654" s="8" t="s">
        <v>4039</v>
      </c>
    </row>
    <row r="2655" spans="1:9" ht="14.25" customHeight="1" x14ac:dyDescent="0.25">
      <c r="A2655" s="7" t="s">
        <v>10832</v>
      </c>
      <c r="B2655" s="8" t="s">
        <v>4515</v>
      </c>
      <c r="C2655" s="8" t="s">
        <v>10833</v>
      </c>
      <c r="D2655" s="8" t="s">
        <v>411</v>
      </c>
      <c r="E2655" s="8" t="s">
        <v>3890</v>
      </c>
      <c r="F2655" s="12" t="s">
        <v>10834</v>
      </c>
      <c r="G2655" s="8" t="s">
        <v>10835</v>
      </c>
      <c r="H2655" s="8" t="s">
        <v>37</v>
      </c>
      <c r="I2655" s="8" t="s">
        <v>3756</v>
      </c>
    </row>
    <row r="2656" spans="1:9" ht="14.25" customHeight="1" x14ac:dyDescent="0.25">
      <c r="A2656" s="7" t="s">
        <v>10836</v>
      </c>
      <c r="B2656" s="8" t="s">
        <v>9362</v>
      </c>
      <c r="C2656" s="8" t="s">
        <v>10837</v>
      </c>
      <c r="D2656" s="8" t="s">
        <v>3163</v>
      </c>
      <c r="E2656" s="8" t="s">
        <v>3890</v>
      </c>
      <c r="G2656" s="8" t="s">
        <v>10835</v>
      </c>
      <c r="H2656" s="8" t="s">
        <v>37</v>
      </c>
      <c r="I2656" s="8" t="s">
        <v>3756</v>
      </c>
    </row>
    <row r="2657" spans="1:9" ht="14.25" customHeight="1" x14ac:dyDescent="0.25">
      <c r="A2657" s="7" t="s">
        <v>10838</v>
      </c>
      <c r="B2657" s="8" t="s">
        <v>10839</v>
      </c>
      <c r="C2657" s="8" t="s">
        <v>10840</v>
      </c>
      <c r="D2657" s="8" t="s">
        <v>411</v>
      </c>
      <c r="E2657" s="8" t="s">
        <v>412</v>
      </c>
      <c r="F2657" s="11" t="s">
        <v>10841</v>
      </c>
      <c r="G2657" s="8" t="s">
        <v>10842</v>
      </c>
      <c r="H2657" s="8" t="s">
        <v>10843</v>
      </c>
      <c r="I2657" s="8" t="s">
        <v>4371</v>
      </c>
    </row>
    <row r="2658" spans="1:9" ht="14.25" customHeight="1" x14ac:dyDescent="0.25">
      <c r="A2658" s="7" t="s">
        <v>10844</v>
      </c>
      <c r="B2658" s="8" t="s">
        <v>10845</v>
      </c>
      <c r="C2658" s="8" t="s">
        <v>10846</v>
      </c>
      <c r="D2658" s="8" t="s">
        <v>411</v>
      </c>
      <c r="E2658" s="8" t="s">
        <v>412</v>
      </c>
      <c r="F2658" s="12" t="s">
        <v>10847</v>
      </c>
      <c r="G2658" s="23" t="s">
        <v>10848</v>
      </c>
      <c r="H2658" s="8" t="s">
        <v>10091</v>
      </c>
      <c r="I2658" s="8" t="s">
        <v>3756</v>
      </c>
    </row>
    <row r="2659" spans="1:9" ht="14.25" customHeight="1" x14ac:dyDescent="0.25">
      <c r="A2659" s="7" t="s">
        <v>10849</v>
      </c>
      <c r="B2659" s="8" t="s">
        <v>10850</v>
      </c>
      <c r="C2659" s="8" t="s">
        <v>7099</v>
      </c>
      <c r="D2659" s="8" t="s">
        <v>3163</v>
      </c>
      <c r="E2659" s="8" t="s">
        <v>3890</v>
      </c>
      <c r="F2659" s="11" t="s">
        <v>10851</v>
      </c>
      <c r="G2659" s="8" t="s">
        <v>7101</v>
      </c>
      <c r="H2659" s="8" t="s">
        <v>3618</v>
      </c>
      <c r="I2659" s="8" t="s">
        <v>3756</v>
      </c>
    </row>
    <row r="2660" spans="1:9" ht="14.25" customHeight="1" x14ac:dyDescent="0.25">
      <c r="A2660" s="7" t="s">
        <v>10852</v>
      </c>
      <c r="B2660" s="8" t="s">
        <v>6149</v>
      </c>
      <c r="C2660" s="8" t="s">
        <v>10853</v>
      </c>
      <c r="D2660" s="8" t="s">
        <v>411</v>
      </c>
      <c r="E2660" s="8" t="s">
        <v>3890</v>
      </c>
      <c r="F2660" s="11" t="s">
        <v>10854</v>
      </c>
      <c r="G2660" s="8" t="s">
        <v>7101</v>
      </c>
      <c r="H2660" s="8" t="s">
        <v>3618</v>
      </c>
      <c r="I2660" s="8" t="s">
        <v>3756</v>
      </c>
    </row>
    <row r="2661" spans="1:9" ht="14.25" customHeight="1" x14ac:dyDescent="0.25">
      <c r="A2661" s="7" t="s">
        <v>10855</v>
      </c>
      <c r="B2661" s="8" t="s">
        <v>1876</v>
      </c>
      <c r="C2661" s="8" t="s">
        <v>10856</v>
      </c>
      <c r="D2661" s="8" t="s">
        <v>411</v>
      </c>
      <c r="E2661" s="8" t="s">
        <v>412</v>
      </c>
      <c r="F2661" s="12" t="s">
        <v>10857</v>
      </c>
      <c r="G2661" s="23" t="s">
        <v>10858</v>
      </c>
      <c r="H2661" s="8" t="s">
        <v>10859</v>
      </c>
      <c r="I2661" s="8" t="s">
        <v>4039</v>
      </c>
    </row>
    <row r="2662" spans="1:9" ht="14.25" customHeight="1" x14ac:dyDescent="0.25">
      <c r="A2662" s="7" t="s">
        <v>10860</v>
      </c>
      <c r="B2662" s="8" t="s">
        <v>10861</v>
      </c>
      <c r="C2662" s="8" t="s">
        <v>10862</v>
      </c>
      <c r="D2662" s="8" t="s">
        <v>411</v>
      </c>
      <c r="E2662" s="8" t="s">
        <v>3890</v>
      </c>
      <c r="F2662" s="12" t="s">
        <v>10863</v>
      </c>
      <c r="G2662" s="23" t="s">
        <v>10864</v>
      </c>
      <c r="H2662" s="8" t="s">
        <v>6143</v>
      </c>
      <c r="I2662" s="8" t="s">
        <v>4371</v>
      </c>
    </row>
    <row r="2663" spans="1:9" ht="14.25" customHeight="1" x14ac:dyDescent="0.25">
      <c r="A2663" s="7" t="s">
        <v>10865</v>
      </c>
      <c r="B2663" s="8" t="s">
        <v>10866</v>
      </c>
      <c r="C2663" s="8" t="s">
        <v>10867</v>
      </c>
      <c r="D2663" s="8" t="s">
        <v>411</v>
      </c>
      <c r="E2663" s="8" t="s">
        <v>3890</v>
      </c>
      <c r="F2663" s="12" t="s">
        <v>10868</v>
      </c>
      <c r="G2663" s="23" t="s">
        <v>10864</v>
      </c>
      <c r="H2663" s="8" t="s">
        <v>6143</v>
      </c>
      <c r="I2663" s="8" t="s">
        <v>4371</v>
      </c>
    </row>
    <row r="2664" spans="1:9" ht="14.25" customHeight="1" x14ac:dyDescent="0.25">
      <c r="A2664" s="7" t="s">
        <v>10869</v>
      </c>
      <c r="B2664" s="8" t="s">
        <v>10870</v>
      </c>
      <c r="C2664" s="8" t="s">
        <v>10871</v>
      </c>
      <c r="D2664" s="8" t="s">
        <v>411</v>
      </c>
      <c r="E2664" s="8" t="s">
        <v>412</v>
      </c>
      <c r="F2664" s="12" t="s">
        <v>10872</v>
      </c>
      <c r="G2664" s="23" t="s">
        <v>10873</v>
      </c>
      <c r="H2664" s="8" t="s">
        <v>4619</v>
      </c>
      <c r="I2664" s="8" t="s">
        <v>4039</v>
      </c>
    </row>
    <row r="2665" spans="1:9" ht="14.25" customHeight="1" x14ac:dyDescent="0.25">
      <c r="A2665" s="7" t="s">
        <v>10874</v>
      </c>
      <c r="B2665" s="8" t="s">
        <v>2972</v>
      </c>
      <c r="C2665" s="8" t="s">
        <v>10875</v>
      </c>
      <c r="D2665" s="8" t="s">
        <v>411</v>
      </c>
      <c r="E2665" s="8" t="s">
        <v>412</v>
      </c>
      <c r="F2665" s="12" t="s">
        <v>10876</v>
      </c>
      <c r="G2665" s="23" t="s">
        <v>10877</v>
      </c>
      <c r="H2665" s="8" t="s">
        <v>6233</v>
      </c>
      <c r="I2665" s="8" t="s">
        <v>4039</v>
      </c>
    </row>
    <row r="2666" spans="1:9" ht="14.25" customHeight="1" x14ac:dyDescent="0.25">
      <c r="A2666" s="7" t="s">
        <v>10878</v>
      </c>
      <c r="B2666" s="8" t="s">
        <v>10879</v>
      </c>
      <c r="C2666" s="8" t="s">
        <v>10880</v>
      </c>
      <c r="D2666" s="8" t="s">
        <v>411</v>
      </c>
      <c r="E2666" s="8" t="s">
        <v>412</v>
      </c>
      <c r="F2666" s="12" t="s">
        <v>10881</v>
      </c>
      <c r="G2666" s="23" t="s">
        <v>10882</v>
      </c>
      <c r="H2666" s="8" t="s">
        <v>92</v>
      </c>
      <c r="I2666" s="8" t="s">
        <v>3756</v>
      </c>
    </row>
    <row r="2667" spans="1:9" ht="14.25" customHeight="1" x14ac:dyDescent="0.25">
      <c r="A2667" s="19" t="s">
        <v>10883</v>
      </c>
      <c r="B2667" s="8" t="s">
        <v>4382</v>
      </c>
      <c r="C2667" s="8" t="s">
        <v>10867</v>
      </c>
      <c r="D2667" s="8" t="s">
        <v>3163</v>
      </c>
      <c r="E2667" s="8" t="s">
        <v>412</v>
      </c>
      <c r="F2667" s="12"/>
      <c r="H2667" s="8"/>
      <c r="I2667" s="8"/>
    </row>
    <row r="2668" spans="1:9" ht="14.25" customHeight="1" x14ac:dyDescent="0.25">
      <c r="A2668" s="7" t="s">
        <v>10884</v>
      </c>
      <c r="B2668" s="8" t="s">
        <v>1267</v>
      </c>
      <c r="C2668" s="8" t="s">
        <v>10885</v>
      </c>
      <c r="D2668" s="8" t="s">
        <v>411</v>
      </c>
      <c r="E2668" s="8" t="s">
        <v>412</v>
      </c>
      <c r="F2668" s="12" t="s">
        <v>10886</v>
      </c>
      <c r="G2668" s="23" t="s">
        <v>10887</v>
      </c>
      <c r="H2668" s="8" t="s">
        <v>25</v>
      </c>
      <c r="I2668" s="8" t="s">
        <v>4039</v>
      </c>
    </row>
    <row r="2669" spans="1:9" ht="14.25" customHeight="1" x14ac:dyDescent="0.25">
      <c r="A2669" s="7" t="s">
        <v>10888</v>
      </c>
      <c r="B2669" s="8" t="s">
        <v>155</v>
      </c>
      <c r="C2669" s="8" t="s">
        <v>10889</v>
      </c>
      <c r="D2669" s="8" t="s">
        <v>411</v>
      </c>
      <c r="E2669" s="8" t="s">
        <v>412</v>
      </c>
      <c r="F2669" s="12" t="s">
        <v>10890</v>
      </c>
      <c r="H2669" s="8" t="s">
        <v>10891</v>
      </c>
      <c r="I2669" s="8" t="s">
        <v>5347</v>
      </c>
    </row>
    <row r="2670" spans="1:9" ht="14.25" customHeight="1" x14ac:dyDescent="0.25">
      <c r="A2670" s="7" t="s">
        <v>10892</v>
      </c>
      <c r="B2670" s="8" t="s">
        <v>5957</v>
      </c>
      <c r="C2670" s="8" t="s">
        <v>6626</v>
      </c>
      <c r="D2670" s="8" t="s">
        <v>411</v>
      </c>
      <c r="E2670" s="8" t="s">
        <v>412</v>
      </c>
      <c r="F2670" s="12" t="s">
        <v>10893</v>
      </c>
      <c r="H2670" s="8">
        <v>5000</v>
      </c>
      <c r="I2670" s="8" t="s">
        <v>3756</v>
      </c>
    </row>
    <row r="2671" spans="1:9" ht="14.25" customHeight="1" x14ac:dyDescent="0.25">
      <c r="A2671" s="7" t="s">
        <v>10894</v>
      </c>
      <c r="B2671" s="8" t="s">
        <v>319</v>
      </c>
      <c r="C2671" s="8" t="s">
        <v>10895</v>
      </c>
      <c r="D2671" s="8" t="s">
        <v>411</v>
      </c>
      <c r="E2671" s="8" t="s">
        <v>412</v>
      </c>
      <c r="F2671" s="12" t="s">
        <v>10896</v>
      </c>
      <c r="G2671" s="23" t="s">
        <v>10897</v>
      </c>
      <c r="H2671" s="8" t="s">
        <v>10898</v>
      </c>
      <c r="I2671" s="8" t="s">
        <v>3756</v>
      </c>
    </row>
    <row r="2672" spans="1:9" ht="14.25" customHeight="1" x14ac:dyDescent="0.25">
      <c r="A2672" s="7" t="s">
        <v>10899</v>
      </c>
      <c r="B2672" s="8" t="s">
        <v>10900</v>
      </c>
      <c r="C2672" s="8" t="s">
        <v>10901</v>
      </c>
      <c r="D2672" s="8" t="s">
        <v>3163</v>
      </c>
      <c r="E2672" s="8" t="s">
        <v>412</v>
      </c>
      <c r="F2672" s="12"/>
      <c r="H2672" s="8"/>
      <c r="I2672" s="8" t="s">
        <v>3756</v>
      </c>
    </row>
    <row r="2673" spans="1:9" ht="14.25" customHeight="1" x14ac:dyDescent="0.25">
      <c r="A2673" s="7" t="s">
        <v>10902</v>
      </c>
      <c r="B2673" s="8" t="s">
        <v>3356</v>
      </c>
      <c r="C2673" s="8" t="s">
        <v>10084</v>
      </c>
      <c r="D2673" s="8" t="s">
        <v>411</v>
      </c>
      <c r="E2673" s="8" t="s">
        <v>412</v>
      </c>
      <c r="F2673" s="12" t="s">
        <v>10903</v>
      </c>
      <c r="G2673" s="24" t="s">
        <v>10904</v>
      </c>
      <c r="H2673" s="8" t="s">
        <v>49</v>
      </c>
      <c r="I2673" s="8" t="s">
        <v>4039</v>
      </c>
    </row>
    <row r="2674" spans="1:9" ht="14.25" customHeight="1" x14ac:dyDescent="0.25">
      <c r="A2674" s="7" t="s">
        <v>10905</v>
      </c>
      <c r="B2674" s="8" t="s">
        <v>2956</v>
      </c>
      <c r="C2674" s="8" t="s">
        <v>10906</v>
      </c>
      <c r="D2674" s="8" t="s">
        <v>411</v>
      </c>
      <c r="E2674" s="8" t="s">
        <v>412</v>
      </c>
      <c r="F2674" s="12" t="s">
        <v>10907</v>
      </c>
      <c r="G2674" s="23" t="s">
        <v>10908</v>
      </c>
      <c r="H2674" s="8" t="s">
        <v>9701</v>
      </c>
      <c r="I2674" s="8" t="s">
        <v>3756</v>
      </c>
    </row>
    <row r="2675" spans="1:9" ht="14.25" customHeight="1" x14ac:dyDescent="0.25">
      <c r="A2675" s="7" t="s">
        <v>10909</v>
      </c>
      <c r="B2675" s="8" t="s">
        <v>3109</v>
      </c>
      <c r="C2675" s="8" t="s">
        <v>10910</v>
      </c>
      <c r="D2675" s="8" t="s">
        <v>411</v>
      </c>
      <c r="E2675" s="8" t="s">
        <v>412</v>
      </c>
      <c r="F2675" s="12" t="s">
        <v>10911</v>
      </c>
      <c r="G2675" s="23" t="s">
        <v>10912</v>
      </c>
      <c r="H2675" s="8" t="s">
        <v>2212</v>
      </c>
      <c r="I2675" s="8" t="s">
        <v>4039</v>
      </c>
    </row>
    <row r="2676" spans="1:9" ht="14.25" customHeight="1" x14ac:dyDescent="0.25">
      <c r="A2676" s="7" t="s">
        <v>10913</v>
      </c>
      <c r="B2676" s="8" t="s">
        <v>8176</v>
      </c>
      <c r="C2676" s="8" t="s">
        <v>10914</v>
      </c>
      <c r="D2676" s="8" t="s">
        <v>3163</v>
      </c>
      <c r="E2676" s="8" t="s">
        <v>412</v>
      </c>
      <c r="F2676" s="12" t="s">
        <v>10915</v>
      </c>
      <c r="H2676" s="8" t="s">
        <v>10916</v>
      </c>
      <c r="I2676" s="8" t="s">
        <v>5347</v>
      </c>
    </row>
    <row r="2677" spans="1:9" ht="14.25" customHeight="1" x14ac:dyDescent="0.25">
      <c r="A2677" s="7" t="s">
        <v>10917</v>
      </c>
      <c r="B2677" s="8" t="s">
        <v>6242</v>
      </c>
      <c r="C2677" s="8" t="s">
        <v>10918</v>
      </c>
      <c r="D2677" s="8" t="s">
        <v>411</v>
      </c>
      <c r="E2677" s="8" t="s">
        <v>412</v>
      </c>
      <c r="F2677" s="12" t="s">
        <v>10919</v>
      </c>
      <c r="G2677" s="23" t="s">
        <v>10920</v>
      </c>
      <c r="H2677" s="8" t="s">
        <v>10921</v>
      </c>
      <c r="I2677" s="8" t="s">
        <v>4039</v>
      </c>
    </row>
    <row r="2678" spans="1:9" ht="14.25" customHeight="1" x14ac:dyDescent="0.25">
      <c r="A2678" s="7" t="s">
        <v>10922</v>
      </c>
      <c r="B2678" s="8" t="s">
        <v>10923</v>
      </c>
      <c r="C2678" s="8" t="s">
        <v>10924</v>
      </c>
      <c r="D2678" s="8" t="s">
        <v>411</v>
      </c>
      <c r="E2678" s="8" t="s">
        <v>412</v>
      </c>
      <c r="F2678" s="12" t="s">
        <v>10925</v>
      </c>
      <c r="G2678" s="24" t="s">
        <v>10926</v>
      </c>
      <c r="H2678" s="8" t="s">
        <v>3815</v>
      </c>
      <c r="I2678" s="8" t="s">
        <v>4039</v>
      </c>
    </row>
    <row r="2679" spans="1:9" ht="14.25" customHeight="1" x14ac:dyDescent="0.25">
      <c r="A2679" s="7" t="s">
        <v>10927</v>
      </c>
      <c r="B2679" s="8" t="s">
        <v>1693</v>
      </c>
      <c r="C2679" s="8" t="s">
        <v>10928</v>
      </c>
      <c r="D2679" s="8" t="s">
        <v>411</v>
      </c>
      <c r="E2679" s="8" t="s">
        <v>3890</v>
      </c>
      <c r="F2679" s="12" t="s">
        <v>10929</v>
      </c>
      <c r="G2679" s="35" t="s">
        <v>10930</v>
      </c>
      <c r="H2679" s="8" t="s">
        <v>61</v>
      </c>
      <c r="I2679" s="8" t="s">
        <v>4371</v>
      </c>
    </row>
    <row r="2680" spans="1:9" ht="14.25" customHeight="1" x14ac:dyDescent="0.25">
      <c r="A2680" s="7" t="s">
        <v>10931</v>
      </c>
      <c r="B2680" s="8" t="s">
        <v>3351</v>
      </c>
      <c r="C2680" s="8" t="s">
        <v>10932</v>
      </c>
      <c r="D2680" s="8" t="s">
        <v>3163</v>
      </c>
      <c r="E2680" s="8" t="s">
        <v>3890</v>
      </c>
      <c r="F2680" s="12"/>
      <c r="G2680" s="35" t="s">
        <v>10930</v>
      </c>
      <c r="H2680" s="8" t="s">
        <v>61</v>
      </c>
      <c r="I2680" s="8" t="s">
        <v>4371</v>
      </c>
    </row>
    <row r="2681" spans="1:9" ht="14.25" customHeight="1" x14ac:dyDescent="0.25">
      <c r="A2681" s="7" t="s">
        <v>10933</v>
      </c>
      <c r="B2681" s="8" t="s">
        <v>9146</v>
      </c>
      <c r="C2681" s="8" t="s">
        <v>10934</v>
      </c>
      <c r="D2681" s="8" t="s">
        <v>411</v>
      </c>
      <c r="E2681" s="8" t="s">
        <v>412</v>
      </c>
      <c r="F2681" s="12" t="s">
        <v>10935</v>
      </c>
      <c r="G2681" s="35" t="s">
        <v>10936</v>
      </c>
      <c r="H2681" s="8" t="s">
        <v>10937</v>
      </c>
      <c r="I2681" s="8" t="s">
        <v>4039</v>
      </c>
    </row>
    <row r="2682" spans="1:9" ht="14.25" customHeight="1" x14ac:dyDescent="0.25">
      <c r="A2682" s="7" t="s">
        <v>10938</v>
      </c>
      <c r="B2682" s="8" t="s">
        <v>10939</v>
      </c>
      <c r="C2682" s="8" t="s">
        <v>4134</v>
      </c>
      <c r="D2682" s="8" t="s">
        <v>411</v>
      </c>
      <c r="E2682" s="8" t="s">
        <v>412</v>
      </c>
      <c r="F2682" s="12" t="s">
        <v>10940</v>
      </c>
      <c r="G2682" s="35" t="s">
        <v>10941</v>
      </c>
      <c r="H2682" s="8" t="s">
        <v>5537</v>
      </c>
      <c r="I2682" s="8" t="s">
        <v>3756</v>
      </c>
    </row>
    <row r="2683" spans="1:9" ht="14.25" customHeight="1" x14ac:dyDescent="0.25">
      <c r="A2683" s="7" t="s">
        <v>10942</v>
      </c>
      <c r="B2683" s="8" t="s">
        <v>9033</v>
      </c>
      <c r="C2683" s="8" t="s">
        <v>9779</v>
      </c>
      <c r="D2683" s="8" t="s">
        <v>3163</v>
      </c>
      <c r="E2683" s="8" t="s">
        <v>412</v>
      </c>
      <c r="F2683" s="12" t="s">
        <v>9780</v>
      </c>
      <c r="G2683" s="35" t="s">
        <v>9674</v>
      </c>
      <c r="H2683" s="8" t="s">
        <v>4651</v>
      </c>
      <c r="I2683" s="8" t="s">
        <v>4039</v>
      </c>
    </row>
    <row r="2684" spans="1:9" ht="14.25" customHeight="1" x14ac:dyDescent="0.25">
      <c r="A2684" s="7" t="s">
        <v>10943</v>
      </c>
      <c r="B2684" s="8" t="s">
        <v>7863</v>
      </c>
      <c r="C2684" s="8" t="s">
        <v>9434</v>
      </c>
      <c r="D2684" s="8" t="s">
        <v>3163</v>
      </c>
      <c r="E2684" s="8" t="s">
        <v>412</v>
      </c>
      <c r="F2684" s="12" t="s">
        <v>9435</v>
      </c>
      <c r="G2684" s="35" t="s">
        <v>8440</v>
      </c>
      <c r="H2684" s="8" t="s">
        <v>25</v>
      </c>
      <c r="I2684" s="8" t="s">
        <v>3756</v>
      </c>
    </row>
    <row r="2685" spans="1:9" ht="14.25" customHeight="1" x14ac:dyDescent="0.25">
      <c r="A2685" s="7" t="s">
        <v>10944</v>
      </c>
      <c r="B2685" s="8" t="s">
        <v>10945</v>
      </c>
      <c r="C2685" s="8" t="s">
        <v>10946</v>
      </c>
      <c r="D2685" s="8" t="s">
        <v>411</v>
      </c>
      <c r="E2685" s="8" t="s">
        <v>412</v>
      </c>
      <c r="F2685" s="12" t="s">
        <v>10947</v>
      </c>
      <c r="G2685" s="35" t="s">
        <v>10948</v>
      </c>
      <c r="H2685" s="8" t="s">
        <v>8864</v>
      </c>
      <c r="I2685" s="8" t="s">
        <v>3756</v>
      </c>
    </row>
    <row r="2686" spans="1:9" ht="14.25" customHeight="1" x14ac:dyDescent="0.25">
      <c r="A2686" s="7" t="s">
        <v>10949</v>
      </c>
      <c r="B2686" s="8" t="s">
        <v>10950</v>
      </c>
      <c r="C2686" s="8" t="s">
        <v>519</v>
      </c>
      <c r="D2686" s="8" t="s">
        <v>411</v>
      </c>
      <c r="E2686" s="8" t="s">
        <v>412</v>
      </c>
      <c r="F2686" s="12" t="s">
        <v>10951</v>
      </c>
      <c r="G2686" s="35" t="s">
        <v>10952</v>
      </c>
      <c r="H2686" s="8" t="s">
        <v>4059</v>
      </c>
      <c r="I2686" s="8" t="s">
        <v>5347</v>
      </c>
    </row>
    <row r="2687" spans="1:9" ht="14.25" customHeight="1" x14ac:dyDescent="0.25">
      <c r="A2687" s="7" t="s">
        <v>10953</v>
      </c>
      <c r="B2687" s="8" t="s">
        <v>3351</v>
      </c>
      <c r="C2687" s="8" t="s">
        <v>7821</v>
      </c>
      <c r="D2687" s="8" t="s">
        <v>3163</v>
      </c>
      <c r="E2687" s="8" t="s">
        <v>412</v>
      </c>
      <c r="F2687" s="12" t="s">
        <v>10954</v>
      </c>
      <c r="G2687" s="35" t="s">
        <v>10955</v>
      </c>
      <c r="H2687" s="8" t="s">
        <v>92</v>
      </c>
      <c r="I2687" s="8" t="s">
        <v>3756</v>
      </c>
    </row>
    <row r="2688" spans="1:9" ht="14.25" customHeight="1" x14ac:dyDescent="0.25">
      <c r="A2688" s="7" t="s">
        <v>10956</v>
      </c>
      <c r="B2688" s="8" t="s">
        <v>10957</v>
      </c>
      <c r="C2688" s="8" t="s">
        <v>10958</v>
      </c>
      <c r="D2688" s="8" t="s">
        <v>3163</v>
      </c>
      <c r="E2688" s="8" t="s">
        <v>412</v>
      </c>
      <c r="F2688" s="12" t="s">
        <v>10959</v>
      </c>
      <c r="G2688" s="35" t="s">
        <v>10960</v>
      </c>
      <c r="H2688" s="8" t="s">
        <v>4651</v>
      </c>
      <c r="I2688" s="8" t="s">
        <v>4039</v>
      </c>
    </row>
    <row r="2689" spans="1:9" ht="14.25" customHeight="1" x14ac:dyDescent="0.25">
      <c r="A2689" s="7" t="s">
        <v>10961</v>
      </c>
      <c r="B2689" s="8" t="s">
        <v>3046</v>
      </c>
      <c r="C2689" s="8" t="s">
        <v>8756</v>
      </c>
      <c r="D2689" s="8" t="s">
        <v>3163</v>
      </c>
      <c r="E2689" s="8" t="s">
        <v>412</v>
      </c>
      <c r="F2689" s="12" t="s">
        <v>10962</v>
      </c>
      <c r="G2689" s="35" t="s">
        <v>9918</v>
      </c>
      <c r="H2689" s="8" t="s">
        <v>61</v>
      </c>
      <c r="I2689" s="8" t="s">
        <v>4039</v>
      </c>
    </row>
    <row r="2690" spans="1:9" ht="14.25" customHeight="1" x14ac:dyDescent="0.25">
      <c r="A2690" s="7" t="s">
        <v>10963</v>
      </c>
      <c r="B2690" s="8" t="s">
        <v>2105</v>
      </c>
      <c r="C2690" s="8" t="s">
        <v>10964</v>
      </c>
      <c r="D2690" s="8" t="s">
        <v>3163</v>
      </c>
      <c r="E2690" s="8" t="s">
        <v>3890</v>
      </c>
      <c r="F2690" s="12" t="s">
        <v>10965</v>
      </c>
      <c r="G2690" s="35" t="s">
        <v>10966</v>
      </c>
      <c r="H2690" s="8" t="s">
        <v>4651</v>
      </c>
      <c r="I2690" s="8" t="s">
        <v>4039</v>
      </c>
    </row>
    <row r="2691" spans="1:9" ht="14.25" customHeight="1" x14ac:dyDescent="0.25">
      <c r="A2691" s="7" t="s">
        <v>10967</v>
      </c>
      <c r="B2691" s="8" t="s">
        <v>359</v>
      </c>
      <c r="C2691" s="8" t="s">
        <v>10968</v>
      </c>
      <c r="D2691" s="8" t="s">
        <v>411</v>
      </c>
      <c r="E2691" s="8" t="s">
        <v>3890</v>
      </c>
      <c r="F2691" s="12" t="s">
        <v>10969</v>
      </c>
      <c r="G2691" s="35" t="s">
        <v>10966</v>
      </c>
      <c r="H2691" s="8" t="s">
        <v>4651</v>
      </c>
      <c r="I2691" s="8" t="s">
        <v>4039</v>
      </c>
    </row>
    <row r="2692" spans="1:9" ht="14.25" customHeight="1" x14ac:dyDescent="0.25">
      <c r="A2692" s="7" t="s">
        <v>10970</v>
      </c>
      <c r="B2692" s="8" t="s">
        <v>10971</v>
      </c>
      <c r="C2692" s="8" t="s">
        <v>10972</v>
      </c>
      <c r="D2692" s="8" t="s">
        <v>411</v>
      </c>
      <c r="E2692" s="8" t="s">
        <v>412</v>
      </c>
      <c r="F2692" s="12" t="s">
        <v>10973</v>
      </c>
      <c r="G2692" s="35" t="s">
        <v>10974</v>
      </c>
      <c r="H2692" s="8" t="s">
        <v>9978</v>
      </c>
      <c r="I2692" s="8" t="s">
        <v>4039</v>
      </c>
    </row>
    <row r="2693" spans="1:9" ht="14.25" customHeight="1" x14ac:dyDescent="0.25">
      <c r="A2693" s="7" t="s">
        <v>10975</v>
      </c>
      <c r="B2693" s="8" t="s">
        <v>9593</v>
      </c>
      <c r="C2693" s="8" t="s">
        <v>10976</v>
      </c>
      <c r="D2693" s="8" t="s">
        <v>3163</v>
      </c>
      <c r="E2693" s="8" t="s">
        <v>412</v>
      </c>
      <c r="F2693" s="12"/>
      <c r="G2693" s="35" t="s">
        <v>10977</v>
      </c>
      <c r="H2693" s="8" t="s">
        <v>9978</v>
      </c>
      <c r="I2693" s="8" t="s">
        <v>4039</v>
      </c>
    </row>
    <row r="2694" spans="1:9" ht="14.25" customHeight="1" x14ac:dyDescent="0.25">
      <c r="A2694" s="7" t="s">
        <v>10978</v>
      </c>
      <c r="B2694" s="8" t="s">
        <v>10332</v>
      </c>
      <c r="C2694" s="8" t="s">
        <v>10979</v>
      </c>
      <c r="D2694" s="8" t="s">
        <v>411</v>
      </c>
      <c r="E2694" s="8" t="s">
        <v>412</v>
      </c>
      <c r="F2694" s="12" t="s">
        <v>10980</v>
      </c>
      <c r="G2694" s="8" t="s">
        <v>10981</v>
      </c>
      <c r="H2694" s="8" t="s">
        <v>2212</v>
      </c>
      <c r="I2694" s="8" t="s">
        <v>4039</v>
      </c>
    </row>
    <row r="2695" spans="1:9" ht="14.25" customHeight="1" x14ac:dyDescent="0.25">
      <c r="A2695" s="7" t="s">
        <v>10982</v>
      </c>
      <c r="B2695" s="8" t="s">
        <v>9194</v>
      </c>
      <c r="C2695" s="8" t="s">
        <v>9195</v>
      </c>
      <c r="D2695" s="8" t="s">
        <v>411</v>
      </c>
      <c r="E2695" s="8" t="s">
        <v>412</v>
      </c>
      <c r="F2695" s="12" t="s">
        <v>9196</v>
      </c>
      <c r="G2695" s="35" t="s">
        <v>9202</v>
      </c>
      <c r="H2695" s="8" t="s">
        <v>5772</v>
      </c>
      <c r="I2695" s="8" t="s">
        <v>5347</v>
      </c>
    </row>
    <row r="2696" spans="1:9" ht="14.25" customHeight="1" x14ac:dyDescent="0.25">
      <c r="A2696" s="7" t="s">
        <v>10983</v>
      </c>
      <c r="B2696" s="8" t="s">
        <v>10984</v>
      </c>
      <c r="C2696" s="8" t="s">
        <v>4105</v>
      </c>
      <c r="D2696" s="8" t="s">
        <v>411</v>
      </c>
      <c r="E2696" s="8" t="s">
        <v>412</v>
      </c>
      <c r="F2696" s="12" t="s">
        <v>10985</v>
      </c>
      <c r="G2696" s="35" t="s">
        <v>10986</v>
      </c>
      <c r="H2696" s="8" t="s">
        <v>25</v>
      </c>
      <c r="I2696" s="8" t="s">
        <v>4039</v>
      </c>
    </row>
    <row r="2697" spans="1:9" ht="14.25" customHeight="1" x14ac:dyDescent="0.25">
      <c r="A2697" s="7" t="s">
        <v>10987</v>
      </c>
      <c r="B2697" s="8" t="s">
        <v>3321</v>
      </c>
      <c r="C2697" s="8" t="s">
        <v>5563</v>
      </c>
      <c r="D2697" s="8" t="s">
        <v>3163</v>
      </c>
      <c r="E2697" s="8" t="s">
        <v>412</v>
      </c>
      <c r="F2697" s="12" t="s">
        <v>10988</v>
      </c>
      <c r="G2697" s="35" t="s">
        <v>10989</v>
      </c>
      <c r="H2697" s="8" t="s">
        <v>49</v>
      </c>
      <c r="I2697" s="8" t="s">
        <v>4039</v>
      </c>
    </row>
    <row r="2698" spans="1:9" ht="14.25" customHeight="1" x14ac:dyDescent="0.25">
      <c r="A2698" s="7" t="s">
        <v>10990</v>
      </c>
      <c r="B2698" s="8" t="s">
        <v>10991</v>
      </c>
      <c r="C2698" s="8" t="s">
        <v>4240</v>
      </c>
      <c r="D2698" s="8" t="s">
        <v>411</v>
      </c>
      <c r="E2698" s="8" t="s">
        <v>412</v>
      </c>
      <c r="F2698" s="12" t="s">
        <v>10992</v>
      </c>
      <c r="G2698" s="35" t="s">
        <v>10993</v>
      </c>
      <c r="H2698" s="8" t="s">
        <v>72</v>
      </c>
      <c r="I2698" s="8" t="s">
        <v>3756</v>
      </c>
    </row>
    <row r="2699" spans="1:9" ht="14.25" customHeight="1" x14ac:dyDescent="0.25">
      <c r="A2699" s="7" t="s">
        <v>10994</v>
      </c>
      <c r="B2699" s="8" t="s">
        <v>10995</v>
      </c>
      <c r="C2699" s="8" t="s">
        <v>10996</v>
      </c>
      <c r="D2699" s="8" t="s">
        <v>411</v>
      </c>
      <c r="E2699" s="8" t="s">
        <v>412</v>
      </c>
      <c r="F2699" s="12" t="s">
        <v>10997</v>
      </c>
      <c r="G2699" s="8" t="s">
        <v>10998</v>
      </c>
      <c r="H2699" s="8" t="s">
        <v>2212</v>
      </c>
      <c r="I2699" s="8" t="s">
        <v>4039</v>
      </c>
    </row>
    <row r="2700" spans="1:9" ht="14.25" customHeight="1" x14ac:dyDescent="0.25">
      <c r="A2700" s="7" t="s">
        <v>10999</v>
      </c>
      <c r="B2700" s="8" t="s">
        <v>8112</v>
      </c>
      <c r="C2700" s="8" t="s">
        <v>11000</v>
      </c>
      <c r="D2700" s="8" t="s">
        <v>3163</v>
      </c>
      <c r="E2700" s="8" t="s">
        <v>412</v>
      </c>
      <c r="F2700" s="12" t="s">
        <v>11001</v>
      </c>
      <c r="G2700" s="8" t="s">
        <v>11002</v>
      </c>
      <c r="H2700" s="8" t="s">
        <v>92</v>
      </c>
      <c r="I2700" s="8" t="s">
        <v>4039</v>
      </c>
    </row>
    <row r="2701" spans="1:9" ht="14.25" customHeight="1" x14ac:dyDescent="0.25">
      <c r="A2701" s="7" t="s">
        <v>11003</v>
      </c>
      <c r="B2701" s="8" t="s">
        <v>11004</v>
      </c>
      <c r="C2701" s="8" t="s">
        <v>11005</v>
      </c>
      <c r="D2701" s="8" t="s">
        <v>3163</v>
      </c>
      <c r="E2701" s="8" t="s">
        <v>412</v>
      </c>
      <c r="F2701" s="12" t="s">
        <v>11006</v>
      </c>
      <c r="G2701" s="35" t="s">
        <v>11007</v>
      </c>
      <c r="H2701" s="8" t="s">
        <v>8864</v>
      </c>
      <c r="I2701" s="8" t="s">
        <v>3756</v>
      </c>
    </row>
    <row r="2702" spans="1:9" ht="14.25" customHeight="1" x14ac:dyDescent="0.25">
      <c r="A2702" s="7" t="s">
        <v>11008</v>
      </c>
      <c r="B2702" s="8" t="s">
        <v>2070</v>
      </c>
      <c r="C2702" s="8" t="s">
        <v>11009</v>
      </c>
      <c r="D2702" s="8" t="s">
        <v>411</v>
      </c>
      <c r="E2702" s="8" t="s">
        <v>412</v>
      </c>
      <c r="F2702" s="11" t="s">
        <v>11010</v>
      </c>
      <c r="G2702" s="8" t="s">
        <v>11011</v>
      </c>
      <c r="H2702" s="8" t="s">
        <v>25</v>
      </c>
      <c r="I2702" s="8" t="s">
        <v>4039</v>
      </c>
    </row>
    <row r="2703" spans="1:9" ht="14.25" customHeight="1" x14ac:dyDescent="0.25">
      <c r="A2703" s="7" t="s">
        <v>11012</v>
      </c>
      <c r="B2703" s="8" t="s">
        <v>11013</v>
      </c>
      <c r="C2703" s="8" t="s">
        <v>11014</v>
      </c>
      <c r="D2703" s="8" t="s">
        <v>411</v>
      </c>
      <c r="E2703" s="8" t="s">
        <v>412</v>
      </c>
      <c r="F2703" s="12" t="s">
        <v>11015</v>
      </c>
      <c r="G2703" s="8" t="s">
        <v>9183</v>
      </c>
      <c r="H2703" s="8" t="s">
        <v>25</v>
      </c>
      <c r="I2703" s="8" t="s">
        <v>5347</v>
      </c>
    </row>
    <row r="2704" spans="1:9" ht="14.25" customHeight="1" x14ac:dyDescent="0.25">
      <c r="A2704" s="7" t="s">
        <v>11016</v>
      </c>
      <c r="B2704" s="8" t="s">
        <v>726</v>
      </c>
      <c r="C2704" s="8" t="s">
        <v>11017</v>
      </c>
      <c r="D2704" s="8" t="s">
        <v>3163</v>
      </c>
      <c r="E2704" s="8" t="s">
        <v>412</v>
      </c>
      <c r="F2704" s="12" t="s">
        <v>11018</v>
      </c>
      <c r="G2704" s="8" t="s">
        <v>11019</v>
      </c>
      <c r="H2704" s="8" t="s">
        <v>37</v>
      </c>
      <c r="I2704" s="8" t="s">
        <v>3756</v>
      </c>
    </row>
    <row r="2705" spans="1:9" ht="14.25" customHeight="1" x14ac:dyDescent="0.25">
      <c r="A2705" s="7" t="s">
        <v>11020</v>
      </c>
      <c r="B2705" s="8" t="s">
        <v>11021</v>
      </c>
      <c r="C2705" s="8" t="s">
        <v>11022</v>
      </c>
      <c r="D2705" s="8" t="s">
        <v>411</v>
      </c>
      <c r="E2705" s="8" t="s">
        <v>412</v>
      </c>
      <c r="F2705" s="12" t="s">
        <v>11023</v>
      </c>
      <c r="G2705" s="8" t="s">
        <v>11019</v>
      </c>
      <c r="H2705" s="8" t="s">
        <v>37</v>
      </c>
      <c r="I2705" s="8" t="s">
        <v>3756</v>
      </c>
    </row>
    <row r="2706" spans="1:9" ht="14.25" customHeight="1" x14ac:dyDescent="0.25">
      <c r="A2706" s="7" t="s">
        <v>11024</v>
      </c>
      <c r="B2706" s="8" t="s">
        <v>944</v>
      </c>
      <c r="C2706" s="8" t="s">
        <v>11025</v>
      </c>
      <c r="D2706" s="8" t="s">
        <v>411</v>
      </c>
      <c r="E2706" s="8" t="s">
        <v>412</v>
      </c>
      <c r="F2706" s="12" t="s">
        <v>11026</v>
      </c>
      <c r="G2706" s="8" t="s">
        <v>11027</v>
      </c>
      <c r="H2706" s="8" t="s">
        <v>2212</v>
      </c>
      <c r="I2706" s="8" t="s">
        <v>5347</v>
      </c>
    </row>
    <row r="2707" spans="1:9" ht="14.25" customHeight="1" x14ac:dyDescent="0.25">
      <c r="A2707" s="7" t="s">
        <v>11028</v>
      </c>
      <c r="B2707" s="8" t="s">
        <v>3974</v>
      </c>
      <c r="C2707" s="8" t="s">
        <v>2470</v>
      </c>
      <c r="D2707" s="8" t="s">
        <v>3163</v>
      </c>
      <c r="E2707" s="8" t="s">
        <v>412</v>
      </c>
      <c r="F2707" s="12" t="s">
        <v>11029</v>
      </c>
      <c r="G2707" s="8" t="s">
        <v>11030</v>
      </c>
      <c r="H2707" s="8" t="s">
        <v>11031</v>
      </c>
      <c r="I2707" s="8" t="s">
        <v>4039</v>
      </c>
    </row>
    <row r="2708" spans="1:9" ht="14.25" customHeight="1" x14ac:dyDescent="0.25">
      <c r="A2708" s="7" t="s">
        <v>11032</v>
      </c>
      <c r="B2708" s="8" t="s">
        <v>133</v>
      </c>
      <c r="C2708" s="8" t="s">
        <v>11033</v>
      </c>
      <c r="D2708" s="8" t="s">
        <v>411</v>
      </c>
      <c r="E2708" s="8" t="s">
        <v>412</v>
      </c>
      <c r="F2708" s="12" t="s">
        <v>11034</v>
      </c>
      <c r="G2708" s="8" t="s">
        <v>11035</v>
      </c>
      <c r="H2708" s="8" t="s">
        <v>49</v>
      </c>
      <c r="I2708" s="8" t="s">
        <v>3756</v>
      </c>
    </row>
    <row r="2709" spans="1:9" ht="14.25" customHeight="1" x14ac:dyDescent="0.25">
      <c r="A2709" s="7" t="s">
        <v>11036</v>
      </c>
      <c r="B2709" s="8" t="s">
        <v>1047</v>
      </c>
      <c r="C2709" s="8" t="s">
        <v>11037</v>
      </c>
      <c r="D2709" s="8" t="s">
        <v>411</v>
      </c>
      <c r="E2709" s="8" t="s">
        <v>412</v>
      </c>
      <c r="F2709" s="11" t="s">
        <v>11038</v>
      </c>
      <c r="G2709" s="8" t="s">
        <v>11039</v>
      </c>
      <c r="H2709" s="8" t="s">
        <v>20</v>
      </c>
      <c r="I2709" s="8" t="s">
        <v>4039</v>
      </c>
    </row>
    <row r="2710" spans="1:9" ht="14.25" customHeight="1" x14ac:dyDescent="0.25">
      <c r="A2710" s="7" t="s">
        <v>11040</v>
      </c>
      <c r="B2710" s="8" t="s">
        <v>11041</v>
      </c>
      <c r="C2710" s="8" t="s">
        <v>11042</v>
      </c>
      <c r="D2710" s="8" t="s">
        <v>411</v>
      </c>
      <c r="E2710" s="8" t="s">
        <v>412</v>
      </c>
      <c r="F2710" s="12" t="s">
        <v>11043</v>
      </c>
      <c r="G2710" s="8" t="s">
        <v>7751</v>
      </c>
      <c r="H2710" s="8" t="s">
        <v>4199</v>
      </c>
      <c r="I2710" s="8" t="s">
        <v>4039</v>
      </c>
    </row>
    <row r="2711" spans="1:9" ht="14.25" customHeight="1" x14ac:dyDescent="0.25">
      <c r="A2711" s="7" t="s">
        <v>11044</v>
      </c>
      <c r="B2711" s="8" t="s">
        <v>11045</v>
      </c>
      <c r="C2711" s="8" t="s">
        <v>462</v>
      </c>
      <c r="D2711" s="8" t="s">
        <v>411</v>
      </c>
      <c r="E2711" s="8" t="s">
        <v>412</v>
      </c>
      <c r="F2711" s="12" t="s">
        <v>11046</v>
      </c>
      <c r="G2711" s="35" t="s">
        <v>11047</v>
      </c>
      <c r="H2711" s="8" t="s">
        <v>11048</v>
      </c>
      <c r="I2711" s="8" t="s">
        <v>4039</v>
      </c>
    </row>
    <row r="2712" spans="1:9" ht="14.25" customHeight="1" x14ac:dyDescent="0.25">
      <c r="A2712" s="7" t="s">
        <v>11049</v>
      </c>
      <c r="B2712" s="8" t="s">
        <v>10191</v>
      </c>
      <c r="C2712" s="8" t="s">
        <v>11050</v>
      </c>
      <c r="D2712" s="8" t="s">
        <v>3163</v>
      </c>
      <c r="E2712" s="8" t="s">
        <v>412</v>
      </c>
      <c r="F2712" s="12" t="s">
        <v>11051</v>
      </c>
      <c r="G2712" s="35" t="s">
        <v>11052</v>
      </c>
      <c r="H2712" s="8" t="s">
        <v>2212</v>
      </c>
      <c r="I2712" s="8" t="s">
        <v>4039</v>
      </c>
    </row>
    <row r="2713" spans="1:9" ht="14.25" customHeight="1" x14ac:dyDescent="0.25">
      <c r="A2713" s="7" t="s">
        <v>11053</v>
      </c>
      <c r="B2713" s="8" t="s">
        <v>11054</v>
      </c>
      <c r="C2713" s="8" t="s">
        <v>11055</v>
      </c>
      <c r="D2713" s="8" t="s">
        <v>411</v>
      </c>
      <c r="E2713" s="8" t="s">
        <v>412</v>
      </c>
      <c r="F2713" s="12" t="s">
        <v>11056</v>
      </c>
      <c r="G2713" s="8" t="s">
        <v>11057</v>
      </c>
      <c r="H2713" s="8" t="s">
        <v>2212</v>
      </c>
      <c r="I2713" s="8" t="s">
        <v>3756</v>
      </c>
    </row>
    <row r="2714" spans="1:9" ht="14.25" customHeight="1" x14ac:dyDescent="0.25">
      <c r="A2714" s="7" t="s">
        <v>11058</v>
      </c>
      <c r="B2714" s="8" t="s">
        <v>2731</v>
      </c>
      <c r="C2714" s="8" t="s">
        <v>11059</v>
      </c>
      <c r="D2714" s="8" t="s">
        <v>3163</v>
      </c>
      <c r="E2714" s="8" t="s">
        <v>412</v>
      </c>
      <c r="F2714" s="12" t="s">
        <v>11060</v>
      </c>
      <c r="G2714" s="35" t="s">
        <v>11061</v>
      </c>
      <c r="H2714" s="8" t="s">
        <v>3918</v>
      </c>
      <c r="I2714" s="8" t="s">
        <v>4039</v>
      </c>
    </row>
    <row r="2715" spans="1:9" ht="14.25" customHeight="1" x14ac:dyDescent="0.25">
      <c r="A2715" s="7" t="s">
        <v>11062</v>
      </c>
      <c r="B2715" s="8" t="s">
        <v>11063</v>
      </c>
      <c r="C2715" s="8" t="s">
        <v>11059</v>
      </c>
      <c r="D2715" s="8" t="s">
        <v>411</v>
      </c>
      <c r="E2715" s="8" t="s">
        <v>412</v>
      </c>
      <c r="F2715" s="12"/>
      <c r="G2715" s="35" t="s">
        <v>11061</v>
      </c>
      <c r="H2715" s="8" t="s">
        <v>3918</v>
      </c>
      <c r="I2715" s="8" t="s">
        <v>4039</v>
      </c>
    </row>
    <row r="2716" spans="1:9" ht="14.25" customHeight="1" x14ac:dyDescent="0.25">
      <c r="A2716" s="7" t="s">
        <v>11064</v>
      </c>
      <c r="B2716" s="8" t="s">
        <v>1363</v>
      </c>
      <c r="C2716" s="8" t="s">
        <v>9945</v>
      </c>
      <c r="D2716" s="8" t="s">
        <v>3163</v>
      </c>
      <c r="E2716" s="8" t="s">
        <v>412</v>
      </c>
      <c r="F2716" s="11" t="s">
        <v>9946</v>
      </c>
      <c r="G2716" s="8" t="s">
        <v>9947</v>
      </c>
      <c r="H2716" s="8" t="s">
        <v>11065</v>
      </c>
      <c r="I2716" s="8" t="s">
        <v>4039</v>
      </c>
    </row>
    <row r="2717" spans="1:9" ht="14.25" customHeight="1" x14ac:dyDescent="0.25">
      <c r="A2717" s="7" t="s">
        <v>11066</v>
      </c>
      <c r="B2717" s="8" t="s">
        <v>11067</v>
      </c>
      <c r="C2717" s="8" t="s">
        <v>11068</v>
      </c>
      <c r="D2717" s="8" t="s">
        <v>3163</v>
      </c>
      <c r="E2717" s="8" t="s">
        <v>412</v>
      </c>
      <c r="F2717" s="12" t="s">
        <v>11069</v>
      </c>
      <c r="G2717" s="8" t="s">
        <v>11070</v>
      </c>
      <c r="H2717" s="8" t="s">
        <v>2212</v>
      </c>
      <c r="I2717" s="8" t="s">
        <v>4039</v>
      </c>
    </row>
    <row r="2718" spans="1:9" ht="14.25" customHeight="1" x14ac:dyDescent="0.25">
      <c r="A2718" s="7" t="s">
        <v>11071</v>
      </c>
      <c r="B2718" s="8" t="s">
        <v>11072</v>
      </c>
      <c r="C2718" s="8" t="s">
        <v>11073</v>
      </c>
      <c r="D2718" s="8" t="s">
        <v>411</v>
      </c>
      <c r="E2718" s="8" t="s">
        <v>412</v>
      </c>
      <c r="F2718" s="12" t="s">
        <v>11074</v>
      </c>
      <c r="G2718" s="8" t="s">
        <v>11075</v>
      </c>
      <c r="H2718" s="8" t="s">
        <v>2212</v>
      </c>
      <c r="I2718" s="8" t="s">
        <v>3756</v>
      </c>
    </row>
    <row r="2719" spans="1:9" ht="14.25" customHeight="1" x14ac:dyDescent="0.25">
      <c r="A2719" s="7" t="s">
        <v>11076</v>
      </c>
      <c r="B2719" s="8" t="s">
        <v>11077</v>
      </c>
      <c r="C2719" s="8" t="s">
        <v>11078</v>
      </c>
      <c r="D2719" s="8" t="s">
        <v>411</v>
      </c>
      <c r="E2719" s="8" t="s">
        <v>412</v>
      </c>
      <c r="F2719" s="12" t="s">
        <v>11079</v>
      </c>
      <c r="G2719" s="8" t="s">
        <v>11080</v>
      </c>
      <c r="H2719" s="8" t="s">
        <v>61</v>
      </c>
      <c r="I2719" s="8" t="s">
        <v>3756</v>
      </c>
    </row>
    <row r="2720" spans="1:9" ht="14.25" customHeight="1" x14ac:dyDescent="0.25">
      <c r="A2720" s="7" t="s">
        <v>11081</v>
      </c>
      <c r="B2720" s="8" t="s">
        <v>11082</v>
      </c>
      <c r="C2720" s="8" t="s">
        <v>11083</v>
      </c>
      <c r="D2720" s="8" t="s">
        <v>411</v>
      </c>
      <c r="E2720" s="8" t="s">
        <v>412</v>
      </c>
      <c r="F2720" s="12" t="s">
        <v>11084</v>
      </c>
      <c r="G2720" s="8" t="s">
        <v>9118</v>
      </c>
      <c r="H2720" s="8" t="s">
        <v>2212</v>
      </c>
      <c r="I2720" s="8" t="s">
        <v>4039</v>
      </c>
    </row>
    <row r="2721" spans="1:9" ht="14.25" customHeight="1" x14ac:dyDescent="0.25">
      <c r="A2721" s="30" t="s">
        <v>11085</v>
      </c>
      <c r="B2721" s="8" t="s">
        <v>10228</v>
      </c>
      <c r="C2721" s="8" t="s">
        <v>11086</v>
      </c>
      <c r="D2721" s="8" t="s">
        <v>3163</v>
      </c>
      <c r="E2721" s="8" t="s">
        <v>412</v>
      </c>
      <c r="F2721" s="12" t="s">
        <v>11087</v>
      </c>
      <c r="G2721" s="8" t="s">
        <v>11088</v>
      </c>
      <c r="H2721" s="8" t="s">
        <v>11089</v>
      </c>
      <c r="I2721" s="8" t="s">
        <v>3756</v>
      </c>
    </row>
    <row r="2722" spans="1:9" ht="14.25" customHeight="1" x14ac:dyDescent="0.25">
      <c r="A2722" s="7" t="s">
        <v>11090</v>
      </c>
      <c r="B2722" s="8" t="s">
        <v>612</v>
      </c>
      <c r="C2722" s="8" t="s">
        <v>11091</v>
      </c>
      <c r="D2722" s="8" t="s">
        <v>411</v>
      </c>
      <c r="E2722" s="8" t="s">
        <v>412</v>
      </c>
      <c r="F2722" s="12" t="s">
        <v>11092</v>
      </c>
      <c r="G2722" s="8" t="s">
        <v>11093</v>
      </c>
      <c r="H2722" s="8" t="s">
        <v>72</v>
      </c>
      <c r="I2722" s="8" t="s">
        <v>4039</v>
      </c>
    </row>
    <row r="2723" spans="1:9" ht="14.25" customHeight="1" x14ac:dyDescent="0.25">
      <c r="A2723" s="30" t="s">
        <v>11094</v>
      </c>
      <c r="B2723" s="8" t="s">
        <v>11095</v>
      </c>
      <c r="C2723" s="8" t="s">
        <v>11096</v>
      </c>
      <c r="D2723" s="8" t="s">
        <v>411</v>
      </c>
      <c r="E2723" s="8" t="s">
        <v>412</v>
      </c>
      <c r="F2723" s="12" t="s">
        <v>11097</v>
      </c>
      <c r="G2723" s="8" t="s">
        <v>11098</v>
      </c>
      <c r="H2723" s="8" t="s">
        <v>49</v>
      </c>
      <c r="I2723" s="8" t="s">
        <v>3756</v>
      </c>
    </row>
    <row r="2724" spans="1:9" ht="14.25" customHeight="1" x14ac:dyDescent="0.25">
      <c r="A2724" s="7" t="s">
        <v>11099</v>
      </c>
      <c r="B2724" s="8" t="s">
        <v>3201</v>
      </c>
      <c r="C2724" s="8" t="s">
        <v>9190</v>
      </c>
      <c r="D2724" s="8" t="s">
        <v>411</v>
      </c>
      <c r="E2724" s="8" t="s">
        <v>412</v>
      </c>
      <c r="F2724" s="12" t="s">
        <v>9191</v>
      </c>
      <c r="G2724" s="35" t="s">
        <v>11100</v>
      </c>
      <c r="H2724" s="8" t="s">
        <v>49</v>
      </c>
      <c r="I2724" s="8" t="s">
        <v>4039</v>
      </c>
    </row>
    <row r="2725" spans="1:9" ht="14.25" customHeight="1" x14ac:dyDescent="0.25">
      <c r="A2725" s="7" t="s">
        <v>11101</v>
      </c>
      <c r="B2725" s="8" t="s">
        <v>11102</v>
      </c>
      <c r="C2725" s="8" t="s">
        <v>11103</v>
      </c>
      <c r="D2725" s="8" t="s">
        <v>3163</v>
      </c>
      <c r="E2725" s="8" t="s">
        <v>412</v>
      </c>
      <c r="F2725" s="12" t="s">
        <v>11104</v>
      </c>
      <c r="G2725" s="8" t="s">
        <v>11105</v>
      </c>
      <c r="H2725" s="8" t="s">
        <v>37</v>
      </c>
      <c r="I2725" s="8" t="s">
        <v>3756</v>
      </c>
    </row>
    <row r="2726" spans="1:9" ht="14.25" customHeight="1" x14ac:dyDescent="0.25">
      <c r="A2726" s="7" t="s">
        <v>11106</v>
      </c>
      <c r="B2726" s="8" t="s">
        <v>11107</v>
      </c>
      <c r="C2726" s="8" t="s">
        <v>11108</v>
      </c>
      <c r="D2726" s="8" t="s">
        <v>411</v>
      </c>
      <c r="E2726" s="8" t="s">
        <v>412</v>
      </c>
      <c r="F2726" s="12" t="s">
        <v>11109</v>
      </c>
      <c r="G2726" s="8" t="s">
        <v>11110</v>
      </c>
      <c r="H2726" s="8" t="s">
        <v>92</v>
      </c>
      <c r="I2726" s="8" t="s">
        <v>3756</v>
      </c>
    </row>
    <row r="2727" spans="1:9" ht="14.25" customHeight="1" x14ac:dyDescent="0.25">
      <c r="A2727" s="7" t="s">
        <v>11111</v>
      </c>
      <c r="B2727" s="8" t="s">
        <v>11112</v>
      </c>
      <c r="C2727" s="8" t="s">
        <v>11113</v>
      </c>
      <c r="D2727" s="8" t="s">
        <v>411</v>
      </c>
      <c r="E2727" s="8" t="s">
        <v>412</v>
      </c>
      <c r="F2727" s="12" t="s">
        <v>11114</v>
      </c>
      <c r="G2727" s="24" t="s">
        <v>11115</v>
      </c>
      <c r="H2727" s="8" t="s">
        <v>72</v>
      </c>
      <c r="I2727" s="8" t="s">
        <v>3756</v>
      </c>
    </row>
    <row r="2728" spans="1:9" ht="14.25" customHeight="1" x14ac:dyDescent="0.25">
      <c r="A2728" s="7" t="s">
        <v>11116</v>
      </c>
      <c r="B2728" s="8" t="s">
        <v>8684</v>
      </c>
      <c r="C2728" s="8" t="s">
        <v>11117</v>
      </c>
      <c r="D2728" s="8" t="s">
        <v>3163</v>
      </c>
      <c r="E2728" s="8" t="s">
        <v>412</v>
      </c>
      <c r="F2728" s="11" t="s">
        <v>11118</v>
      </c>
      <c r="G2728" s="8" t="s">
        <v>11119</v>
      </c>
      <c r="H2728" s="8" t="s">
        <v>61</v>
      </c>
      <c r="I2728" s="8" t="s">
        <v>4039</v>
      </c>
    </row>
    <row r="2729" spans="1:9" ht="14.25" customHeight="1" x14ac:dyDescent="0.25">
      <c r="A2729" s="7" t="s">
        <v>11120</v>
      </c>
      <c r="B2729" s="8" t="s">
        <v>5724</v>
      </c>
      <c r="C2729" s="8" t="s">
        <v>5725</v>
      </c>
      <c r="D2729" s="8" t="s">
        <v>411</v>
      </c>
      <c r="E2729" s="8" t="s">
        <v>412</v>
      </c>
      <c r="F2729" s="12" t="s">
        <v>5726</v>
      </c>
      <c r="G2729" s="35" t="s">
        <v>11121</v>
      </c>
      <c r="H2729" s="8" t="s">
        <v>72</v>
      </c>
      <c r="I2729" s="8" t="s">
        <v>3756</v>
      </c>
    </row>
    <row r="2730" spans="1:9" ht="14.25" customHeight="1" x14ac:dyDescent="0.25">
      <c r="A2730" s="7" t="s">
        <v>11122</v>
      </c>
      <c r="B2730" s="8" t="s">
        <v>11123</v>
      </c>
      <c r="C2730" s="8" t="s">
        <v>2295</v>
      </c>
      <c r="D2730" s="8" t="s">
        <v>3163</v>
      </c>
      <c r="E2730" s="8" t="s">
        <v>412</v>
      </c>
      <c r="F2730" s="12" t="s">
        <v>11124</v>
      </c>
      <c r="G2730" s="35" t="s">
        <v>11125</v>
      </c>
      <c r="H2730" s="8" t="s">
        <v>6128</v>
      </c>
      <c r="I2730" s="8" t="s">
        <v>4039</v>
      </c>
    </row>
    <row r="2731" spans="1:9" ht="14.25" customHeight="1" x14ac:dyDescent="0.25">
      <c r="A2731" s="7" t="s">
        <v>11126</v>
      </c>
      <c r="B2731" s="8" t="s">
        <v>3089</v>
      </c>
      <c r="C2731" s="8" t="s">
        <v>1420</v>
      </c>
      <c r="D2731" s="8" t="s">
        <v>411</v>
      </c>
      <c r="E2731" s="8" t="s">
        <v>412</v>
      </c>
      <c r="F2731" s="12" t="s">
        <v>11127</v>
      </c>
      <c r="G2731" s="35" t="s">
        <v>11128</v>
      </c>
      <c r="H2731" s="8" t="s">
        <v>8166</v>
      </c>
      <c r="I2731" s="8" t="s">
        <v>4039</v>
      </c>
    </row>
    <row r="2732" spans="1:9" ht="14.25" customHeight="1" x14ac:dyDescent="0.25">
      <c r="A2732" s="7" t="s">
        <v>11129</v>
      </c>
      <c r="B2732" s="8" t="s">
        <v>11130</v>
      </c>
      <c r="C2732" s="8" t="s">
        <v>11131</v>
      </c>
      <c r="D2732" s="8" t="s">
        <v>3163</v>
      </c>
      <c r="E2732" s="8" t="s">
        <v>412</v>
      </c>
      <c r="F2732" s="12" t="s">
        <v>11132</v>
      </c>
      <c r="G2732" s="35" t="s">
        <v>11133</v>
      </c>
      <c r="H2732" s="8" t="s">
        <v>3918</v>
      </c>
      <c r="I2732" s="8" t="s">
        <v>4039</v>
      </c>
    </row>
    <row r="2733" spans="1:9" ht="14.25" customHeight="1" x14ac:dyDescent="0.25">
      <c r="A2733" s="7" t="s">
        <v>11134</v>
      </c>
      <c r="B2733" s="8" t="s">
        <v>2313</v>
      </c>
      <c r="C2733" s="8" t="s">
        <v>11135</v>
      </c>
      <c r="D2733" s="8" t="s">
        <v>411</v>
      </c>
      <c r="E2733" s="8" t="s">
        <v>3890</v>
      </c>
      <c r="F2733" s="12" t="s">
        <v>11136</v>
      </c>
      <c r="G2733" s="35" t="s">
        <v>11137</v>
      </c>
      <c r="H2733" s="8" t="s">
        <v>20</v>
      </c>
      <c r="I2733" s="8" t="s">
        <v>3756</v>
      </c>
    </row>
    <row r="2734" spans="1:9" ht="14.25" customHeight="1" x14ac:dyDescent="0.25">
      <c r="A2734" s="7" t="s">
        <v>11138</v>
      </c>
      <c r="B2734" s="8" t="s">
        <v>447</v>
      </c>
      <c r="C2734" s="8" t="s">
        <v>11139</v>
      </c>
      <c r="D2734" s="8" t="s">
        <v>3163</v>
      </c>
      <c r="E2734" s="8" t="s">
        <v>3890</v>
      </c>
      <c r="F2734" s="12"/>
      <c r="G2734" s="35" t="s">
        <v>11137</v>
      </c>
      <c r="H2734" s="8" t="s">
        <v>20</v>
      </c>
      <c r="I2734" s="8" t="s">
        <v>3756</v>
      </c>
    </row>
    <row r="2735" spans="1:9" ht="14.25" customHeight="1" x14ac:dyDescent="0.25">
      <c r="A2735" s="7" t="s">
        <v>11140</v>
      </c>
      <c r="B2735" s="8" t="s">
        <v>3810</v>
      </c>
      <c r="C2735" s="8" t="s">
        <v>11141</v>
      </c>
      <c r="D2735" s="8" t="s">
        <v>411</v>
      </c>
      <c r="E2735" s="8" t="s">
        <v>412</v>
      </c>
      <c r="F2735" s="12" t="s">
        <v>11142</v>
      </c>
      <c r="G2735" s="35" t="s">
        <v>11143</v>
      </c>
      <c r="H2735" s="8" t="s">
        <v>2212</v>
      </c>
      <c r="I2735" s="8" t="s">
        <v>4039</v>
      </c>
    </row>
    <row r="2736" spans="1:9" ht="14.25" customHeight="1" x14ac:dyDescent="0.25">
      <c r="A2736" s="7" t="s">
        <v>11144</v>
      </c>
      <c r="B2736" s="8" t="s">
        <v>11145</v>
      </c>
      <c r="C2736" s="8" t="s">
        <v>11146</v>
      </c>
      <c r="D2736" s="8" t="s">
        <v>411</v>
      </c>
      <c r="E2736" s="8" t="s">
        <v>412</v>
      </c>
      <c r="F2736" s="12" t="s">
        <v>11147</v>
      </c>
      <c r="G2736" s="35" t="s">
        <v>11148</v>
      </c>
      <c r="H2736" s="8" t="s">
        <v>3918</v>
      </c>
      <c r="I2736" s="8" t="s">
        <v>4039</v>
      </c>
    </row>
    <row r="2737" spans="1:9" ht="14.25" customHeight="1" x14ac:dyDescent="0.25">
      <c r="A2737" s="7" t="s">
        <v>11149</v>
      </c>
      <c r="B2737" s="8" t="s">
        <v>276</v>
      </c>
      <c r="C2737" s="8" t="s">
        <v>11150</v>
      </c>
      <c r="D2737" s="8" t="s">
        <v>3163</v>
      </c>
      <c r="E2737" s="8" t="s">
        <v>3890</v>
      </c>
      <c r="F2737" s="12" t="s">
        <v>11151</v>
      </c>
      <c r="G2737" s="24" t="s">
        <v>11152</v>
      </c>
      <c r="H2737" s="8" t="s">
        <v>3618</v>
      </c>
      <c r="I2737" s="8" t="s">
        <v>3756</v>
      </c>
    </row>
    <row r="2738" spans="1:9" ht="14.25" customHeight="1" x14ac:dyDescent="0.25">
      <c r="A2738" s="7" t="s">
        <v>11153</v>
      </c>
      <c r="B2738" s="8" t="s">
        <v>5816</v>
      </c>
      <c r="C2738" s="8" t="s">
        <v>11154</v>
      </c>
      <c r="D2738" s="8" t="s">
        <v>411</v>
      </c>
      <c r="E2738" s="8" t="s">
        <v>3890</v>
      </c>
      <c r="F2738" s="12" t="s">
        <v>11155</v>
      </c>
      <c r="G2738" s="24" t="s">
        <v>11152</v>
      </c>
      <c r="H2738" s="8" t="s">
        <v>3618</v>
      </c>
      <c r="I2738" s="8" t="s">
        <v>3756</v>
      </c>
    </row>
    <row r="2739" spans="1:9" ht="14.25" customHeight="1" x14ac:dyDescent="0.25">
      <c r="A2739" s="7" t="s">
        <v>11156</v>
      </c>
      <c r="B2739" s="8" t="s">
        <v>602</v>
      </c>
      <c r="C2739" s="8" t="s">
        <v>3709</v>
      </c>
      <c r="D2739" s="8" t="s">
        <v>3163</v>
      </c>
      <c r="E2739" s="8" t="s">
        <v>3890</v>
      </c>
      <c r="F2739" s="12" t="s">
        <v>11157</v>
      </c>
      <c r="G2739" s="24" t="s">
        <v>11158</v>
      </c>
      <c r="H2739" s="8" t="s">
        <v>2212</v>
      </c>
      <c r="I2739" s="8" t="s">
        <v>4371</v>
      </c>
    </row>
    <row r="2740" spans="1:9" ht="14.25" customHeight="1" x14ac:dyDescent="0.25">
      <c r="A2740" s="7" t="s">
        <v>11159</v>
      </c>
      <c r="B2740" s="8" t="s">
        <v>9560</v>
      </c>
      <c r="C2740" s="8" t="s">
        <v>11160</v>
      </c>
      <c r="D2740" s="8" t="s">
        <v>411</v>
      </c>
      <c r="E2740" s="8" t="s">
        <v>3890</v>
      </c>
      <c r="F2740" s="12"/>
      <c r="G2740" s="24" t="s">
        <v>11158</v>
      </c>
      <c r="H2740" s="8" t="s">
        <v>2212</v>
      </c>
      <c r="I2740" s="8" t="s">
        <v>4371</v>
      </c>
    </row>
    <row r="2741" spans="1:9" ht="14.25" customHeight="1" x14ac:dyDescent="0.25">
      <c r="A2741" s="7" t="s">
        <v>11161</v>
      </c>
      <c r="B2741" s="8" t="s">
        <v>11162</v>
      </c>
      <c r="C2741" s="8" t="s">
        <v>11163</v>
      </c>
      <c r="D2741" s="8" t="s">
        <v>3163</v>
      </c>
      <c r="E2741" s="8" t="s">
        <v>412</v>
      </c>
      <c r="F2741" s="12" t="s">
        <v>11164</v>
      </c>
      <c r="G2741" s="35" t="s">
        <v>11165</v>
      </c>
      <c r="H2741" s="8" t="s">
        <v>72</v>
      </c>
      <c r="I2741" s="8" t="s">
        <v>4039</v>
      </c>
    </row>
    <row r="2742" spans="1:9" ht="14.25" customHeight="1" x14ac:dyDescent="0.25">
      <c r="A2742" s="7" t="s">
        <v>11166</v>
      </c>
      <c r="B2742" s="8" t="s">
        <v>11167</v>
      </c>
      <c r="C2742" s="8" t="s">
        <v>11168</v>
      </c>
      <c r="D2742" s="8" t="s">
        <v>3163</v>
      </c>
      <c r="E2742" s="8" t="s">
        <v>412</v>
      </c>
      <c r="F2742" s="12" t="s">
        <v>11169</v>
      </c>
      <c r="G2742" s="35" t="s">
        <v>10568</v>
      </c>
      <c r="H2742" s="8" t="s">
        <v>92</v>
      </c>
      <c r="I2742" s="8" t="s">
        <v>4371</v>
      </c>
    </row>
    <row r="2743" spans="1:9" ht="14.25" customHeight="1" x14ac:dyDescent="0.25">
      <c r="A2743" s="7" t="s">
        <v>11170</v>
      </c>
      <c r="B2743" s="8" t="s">
        <v>11171</v>
      </c>
      <c r="C2743" s="8" t="s">
        <v>11172</v>
      </c>
      <c r="D2743" s="8" t="s">
        <v>411</v>
      </c>
      <c r="E2743" s="8" t="s">
        <v>412</v>
      </c>
      <c r="F2743" s="12" t="s">
        <v>11173</v>
      </c>
      <c r="G2743" s="35" t="s">
        <v>11174</v>
      </c>
      <c r="H2743" s="8" t="s">
        <v>8864</v>
      </c>
      <c r="I2743" s="8" t="s">
        <v>4039</v>
      </c>
    </row>
    <row r="2744" spans="1:9" ht="14.25" customHeight="1" x14ac:dyDescent="0.25">
      <c r="A2744" s="7" t="s">
        <v>11175</v>
      </c>
      <c r="B2744" s="8" t="s">
        <v>3361</v>
      </c>
      <c r="C2744" s="8" t="s">
        <v>410</v>
      </c>
      <c r="D2744" s="8" t="s">
        <v>3163</v>
      </c>
      <c r="E2744" s="8" t="s">
        <v>412</v>
      </c>
      <c r="F2744" s="12" t="s">
        <v>11176</v>
      </c>
      <c r="G2744" s="35" t="s">
        <v>11177</v>
      </c>
      <c r="H2744" s="8" t="s">
        <v>15</v>
      </c>
      <c r="I2744" s="8" t="s">
        <v>3756</v>
      </c>
    </row>
    <row r="2745" spans="1:9" ht="14.25" customHeight="1" x14ac:dyDescent="0.25">
      <c r="A2745" s="7" t="s">
        <v>11178</v>
      </c>
      <c r="B2745" s="8" t="s">
        <v>2601</v>
      </c>
      <c r="C2745" s="8" t="s">
        <v>911</v>
      </c>
      <c r="D2745" s="8" t="s">
        <v>3163</v>
      </c>
      <c r="E2745" s="8" t="s">
        <v>412</v>
      </c>
      <c r="F2745" s="12" t="s">
        <v>11179</v>
      </c>
      <c r="G2745" s="35" t="s">
        <v>11180</v>
      </c>
      <c r="H2745" s="8" t="s">
        <v>49</v>
      </c>
      <c r="I2745" s="8" t="s">
        <v>4039</v>
      </c>
    </row>
    <row r="2746" spans="1:9" ht="14.25" customHeight="1" x14ac:dyDescent="0.25">
      <c r="A2746" s="7" t="s">
        <v>11181</v>
      </c>
      <c r="B2746" s="8" t="s">
        <v>3351</v>
      </c>
      <c r="C2746" s="8" t="s">
        <v>11182</v>
      </c>
      <c r="D2746" s="8" t="s">
        <v>3163</v>
      </c>
      <c r="E2746" s="8" t="s">
        <v>412</v>
      </c>
      <c r="F2746" s="12" t="s">
        <v>11183</v>
      </c>
      <c r="G2746" s="35" t="s">
        <v>11184</v>
      </c>
      <c r="H2746" s="8" t="s">
        <v>49</v>
      </c>
      <c r="I2746" s="8" t="s">
        <v>3756</v>
      </c>
    </row>
    <row r="2747" spans="1:9" ht="14.25" customHeight="1" x14ac:dyDescent="0.25">
      <c r="A2747" s="7" t="s">
        <v>11185</v>
      </c>
      <c r="B2747" s="8" t="s">
        <v>4364</v>
      </c>
      <c r="C2747" s="8" t="s">
        <v>11186</v>
      </c>
      <c r="D2747" s="8" t="s">
        <v>3163</v>
      </c>
      <c r="E2747" s="8" t="s">
        <v>3890</v>
      </c>
      <c r="F2747" s="12" t="s">
        <v>11187</v>
      </c>
      <c r="G2747" s="24" t="s">
        <v>11188</v>
      </c>
      <c r="H2747" s="8" t="s">
        <v>11189</v>
      </c>
      <c r="I2747" s="8" t="s">
        <v>4039</v>
      </c>
    </row>
    <row r="2748" spans="1:9" ht="14.25" customHeight="1" x14ac:dyDescent="0.25">
      <c r="A2748" s="7" t="s">
        <v>11190</v>
      </c>
      <c r="B2748" s="8" t="s">
        <v>417</v>
      </c>
      <c r="C2748" s="8" t="s">
        <v>7775</v>
      </c>
      <c r="D2748" s="8" t="s">
        <v>411</v>
      </c>
      <c r="E2748" s="8" t="s">
        <v>3890</v>
      </c>
      <c r="F2748" s="12" t="s">
        <v>11191</v>
      </c>
      <c r="G2748" s="24" t="s">
        <v>11188</v>
      </c>
      <c r="H2748" s="8" t="s">
        <v>11189</v>
      </c>
      <c r="I2748" s="8" t="s">
        <v>4039</v>
      </c>
    </row>
    <row r="2749" spans="1:9" ht="14.25" customHeight="1" x14ac:dyDescent="0.25">
      <c r="A2749" s="34" t="s">
        <v>11192</v>
      </c>
      <c r="B2749" s="8" t="s">
        <v>8566</v>
      </c>
      <c r="C2749" s="8" t="s">
        <v>11193</v>
      </c>
      <c r="D2749" s="8" t="s">
        <v>3163</v>
      </c>
      <c r="E2749" s="8" t="s">
        <v>3890</v>
      </c>
      <c r="F2749" s="12" t="s">
        <v>10436</v>
      </c>
      <c r="G2749" s="35" t="s">
        <v>10437</v>
      </c>
      <c r="H2749" s="8" t="s">
        <v>5186</v>
      </c>
      <c r="I2749" s="8" t="s">
        <v>4039</v>
      </c>
    </row>
    <row r="2750" spans="1:9" ht="14.25" customHeight="1" x14ac:dyDescent="0.25">
      <c r="A2750" s="7" t="s">
        <v>11194</v>
      </c>
      <c r="B2750" s="8" t="s">
        <v>11195</v>
      </c>
      <c r="C2750" s="8" t="s">
        <v>11196</v>
      </c>
      <c r="D2750" s="8" t="s">
        <v>411</v>
      </c>
      <c r="E2750" s="8" t="s">
        <v>412</v>
      </c>
      <c r="F2750" s="12" t="s">
        <v>11197</v>
      </c>
      <c r="G2750" s="8" t="s">
        <v>11198</v>
      </c>
      <c r="H2750" s="8" t="s">
        <v>6128</v>
      </c>
      <c r="I2750" s="8" t="s">
        <v>4039</v>
      </c>
    </row>
    <row r="2751" spans="1:9" ht="14.25" customHeight="1" x14ac:dyDescent="0.25">
      <c r="A2751" s="7" t="s">
        <v>11199</v>
      </c>
      <c r="B2751" s="8" t="s">
        <v>5204</v>
      </c>
      <c r="C2751" s="8" t="s">
        <v>3064</v>
      </c>
      <c r="D2751" s="8" t="s">
        <v>3163</v>
      </c>
      <c r="E2751" s="8" t="s">
        <v>412</v>
      </c>
      <c r="F2751" s="12" t="s">
        <v>11200</v>
      </c>
      <c r="G2751" s="35" t="s">
        <v>11201</v>
      </c>
      <c r="H2751" s="8" t="s">
        <v>49</v>
      </c>
      <c r="I2751" s="8" t="s">
        <v>4371</v>
      </c>
    </row>
    <row r="2752" spans="1:9" ht="14.25" customHeight="1" x14ac:dyDescent="0.25">
      <c r="A2752" s="7" t="s">
        <v>11202</v>
      </c>
      <c r="B2752" s="8" t="s">
        <v>7220</v>
      </c>
      <c r="C2752" s="8" t="s">
        <v>11203</v>
      </c>
      <c r="D2752" s="8" t="s">
        <v>411</v>
      </c>
      <c r="E2752" s="8" t="s">
        <v>3890</v>
      </c>
      <c r="F2752" s="12" t="s">
        <v>11204</v>
      </c>
      <c r="G2752" s="35" t="s">
        <v>11205</v>
      </c>
      <c r="H2752" s="8" t="s">
        <v>11206</v>
      </c>
      <c r="I2752" s="8" t="s">
        <v>3756</v>
      </c>
    </row>
    <row r="2753" spans="1:9" ht="14.25" customHeight="1" x14ac:dyDescent="0.25">
      <c r="A2753" s="7" t="s">
        <v>11207</v>
      </c>
      <c r="B2753" s="8" t="s">
        <v>7290</v>
      </c>
      <c r="C2753" s="8" t="s">
        <v>11208</v>
      </c>
      <c r="D2753" s="8" t="s">
        <v>3163</v>
      </c>
      <c r="E2753" s="8" t="s">
        <v>3890</v>
      </c>
      <c r="F2753" s="12"/>
      <c r="G2753" s="35" t="s">
        <v>11205</v>
      </c>
      <c r="H2753" s="8" t="s">
        <v>11206</v>
      </c>
      <c r="I2753" s="8" t="s">
        <v>3756</v>
      </c>
    </row>
    <row r="2754" spans="1:9" ht="14.25" customHeight="1" x14ac:dyDescent="0.25">
      <c r="A2754" s="7" t="s">
        <v>11209</v>
      </c>
      <c r="B2754" s="8" t="s">
        <v>11210</v>
      </c>
      <c r="C2754" s="8" t="s">
        <v>11211</v>
      </c>
      <c r="D2754" s="8" t="s">
        <v>3163</v>
      </c>
      <c r="E2754" s="8" t="s">
        <v>3890</v>
      </c>
      <c r="F2754" s="12" t="s">
        <v>11212</v>
      </c>
      <c r="G2754" s="35" t="s">
        <v>11213</v>
      </c>
      <c r="H2754" s="8" t="s">
        <v>92</v>
      </c>
      <c r="I2754" s="8" t="s">
        <v>4039</v>
      </c>
    </row>
    <row r="2755" spans="1:9" ht="14.25" customHeight="1" x14ac:dyDescent="0.25">
      <c r="A2755" s="7" t="s">
        <v>11214</v>
      </c>
      <c r="B2755" s="8" t="s">
        <v>11215</v>
      </c>
      <c r="C2755" s="8" t="s">
        <v>11216</v>
      </c>
      <c r="D2755" s="8" t="s">
        <v>411</v>
      </c>
      <c r="E2755" s="8" t="s">
        <v>3890</v>
      </c>
      <c r="F2755" s="12" t="s">
        <v>11217</v>
      </c>
      <c r="G2755" s="35" t="s">
        <v>11213</v>
      </c>
      <c r="H2755" s="8" t="s">
        <v>92</v>
      </c>
      <c r="I2755" s="8" t="s">
        <v>4039</v>
      </c>
    </row>
    <row r="2756" spans="1:9" ht="14.25" customHeight="1" x14ac:dyDescent="0.25">
      <c r="A2756" s="19" t="s">
        <v>11218</v>
      </c>
      <c r="B2756" s="8" t="s">
        <v>11219</v>
      </c>
      <c r="C2756" s="8" t="s">
        <v>11220</v>
      </c>
      <c r="D2756" s="8" t="s">
        <v>411</v>
      </c>
      <c r="E2756" s="8" t="s">
        <v>412</v>
      </c>
      <c r="F2756" s="11" t="s">
        <v>11221</v>
      </c>
      <c r="G2756" s="8" t="s">
        <v>11222</v>
      </c>
      <c r="H2756" s="8" t="s">
        <v>11223</v>
      </c>
      <c r="I2756" s="8" t="s">
        <v>3756</v>
      </c>
    </row>
    <row r="2757" spans="1:9" ht="14.25" customHeight="1" x14ac:dyDescent="0.25">
      <c r="A2757" s="30" t="s">
        <v>11224</v>
      </c>
      <c r="B2757" s="8" t="s">
        <v>1381</v>
      </c>
      <c r="C2757" s="8" t="s">
        <v>11225</v>
      </c>
      <c r="D2757" s="8" t="s">
        <v>411</v>
      </c>
      <c r="E2757" s="8" t="s">
        <v>412</v>
      </c>
      <c r="F2757" s="11" t="s">
        <v>11226</v>
      </c>
      <c r="G2757" s="8" t="s">
        <v>11227</v>
      </c>
      <c r="H2757" s="8" t="s">
        <v>25</v>
      </c>
      <c r="I2757" s="8" t="s">
        <v>4039</v>
      </c>
    </row>
    <row r="2758" spans="1:9" ht="14.25" customHeight="1" x14ac:dyDescent="0.25">
      <c r="A2758" s="30" t="s">
        <v>12039</v>
      </c>
      <c r="B2758" s="8" t="s">
        <v>2502</v>
      </c>
      <c r="C2758" s="8" t="s">
        <v>625</v>
      </c>
      <c r="D2758" s="8" t="s">
        <v>3163</v>
      </c>
      <c r="E2758" s="8" t="s">
        <v>3890</v>
      </c>
      <c r="F2758" s="12"/>
      <c r="H2758" s="8"/>
      <c r="I2758" s="8"/>
    </row>
    <row r="2759" spans="1:9" ht="14.25" customHeight="1" x14ac:dyDescent="0.25">
      <c r="A2759" s="7" t="s">
        <v>11228</v>
      </c>
      <c r="B2759" s="8" t="s">
        <v>4615</v>
      </c>
      <c r="C2759" s="8" t="s">
        <v>11229</v>
      </c>
      <c r="D2759" s="8" t="s">
        <v>411</v>
      </c>
      <c r="E2759" s="8" t="s">
        <v>412</v>
      </c>
      <c r="F2759" s="11" t="s">
        <v>11230</v>
      </c>
      <c r="G2759" s="35" t="s">
        <v>11231</v>
      </c>
      <c r="H2759" s="8" t="s">
        <v>92</v>
      </c>
      <c r="I2759" s="8" t="s">
        <v>3756</v>
      </c>
    </row>
    <row r="2760" spans="1:9" ht="14.25" customHeight="1" x14ac:dyDescent="0.25">
      <c r="A2760" s="7" t="s">
        <v>11232</v>
      </c>
      <c r="B2760" s="8" t="s">
        <v>11233</v>
      </c>
      <c r="C2760" s="8" t="s">
        <v>11234</v>
      </c>
      <c r="D2760" s="8" t="s">
        <v>411</v>
      </c>
      <c r="E2760" s="8" t="s">
        <v>412</v>
      </c>
      <c r="F2760" s="12" t="s">
        <v>11235</v>
      </c>
      <c r="G2760" s="35" t="s">
        <v>11236</v>
      </c>
      <c r="H2760" s="8" t="s">
        <v>11237</v>
      </c>
      <c r="I2760" s="8" t="s">
        <v>5347</v>
      </c>
    </row>
    <row r="2761" spans="1:9" ht="14.25" customHeight="1" x14ac:dyDescent="0.25">
      <c r="A2761" s="7" t="s">
        <v>10909</v>
      </c>
      <c r="B2761" s="8" t="s">
        <v>3109</v>
      </c>
      <c r="C2761" s="8" t="s">
        <v>10910</v>
      </c>
      <c r="D2761" s="8" t="s">
        <v>411</v>
      </c>
      <c r="E2761" s="8" t="s">
        <v>412</v>
      </c>
      <c r="F2761" s="12" t="s">
        <v>10911</v>
      </c>
      <c r="G2761" s="35" t="s">
        <v>10912</v>
      </c>
      <c r="H2761" s="8" t="s">
        <v>72</v>
      </c>
      <c r="I2761" s="8" t="s">
        <v>4039</v>
      </c>
    </row>
    <row r="2762" spans="1:9" ht="14.25" customHeight="1" x14ac:dyDescent="0.25">
      <c r="A2762" s="7" t="s">
        <v>11238</v>
      </c>
      <c r="B2762" s="8" t="s">
        <v>11239</v>
      </c>
      <c r="C2762" s="8" t="s">
        <v>11240</v>
      </c>
      <c r="D2762" s="8" t="s">
        <v>411</v>
      </c>
      <c r="E2762" s="8" t="s">
        <v>412</v>
      </c>
      <c r="F2762" s="12" t="s">
        <v>11241</v>
      </c>
      <c r="G2762" s="35" t="s">
        <v>11242</v>
      </c>
      <c r="H2762" s="8" t="s">
        <v>82</v>
      </c>
      <c r="I2762" s="8" t="s">
        <v>5347</v>
      </c>
    </row>
    <row r="2763" spans="1:9" ht="14.25" customHeight="1" x14ac:dyDescent="0.25">
      <c r="A2763" s="7" t="s">
        <v>11243</v>
      </c>
      <c r="B2763" s="8" t="s">
        <v>11244</v>
      </c>
      <c r="C2763" s="8" t="s">
        <v>11245</v>
      </c>
      <c r="D2763" s="8" t="s">
        <v>411</v>
      </c>
      <c r="E2763" s="8" t="s">
        <v>412</v>
      </c>
      <c r="F2763" s="12" t="s">
        <v>11246</v>
      </c>
      <c r="G2763" s="35" t="s">
        <v>11247</v>
      </c>
      <c r="H2763" s="8" t="s">
        <v>20</v>
      </c>
      <c r="I2763" s="8" t="s">
        <v>5347</v>
      </c>
    </row>
    <row r="2764" spans="1:9" ht="14.25" customHeight="1" x14ac:dyDescent="0.25">
      <c r="A2764" s="7" t="s">
        <v>11248</v>
      </c>
      <c r="B2764" s="8" t="s">
        <v>1717</v>
      </c>
      <c r="C2764" s="8" t="s">
        <v>10078</v>
      </c>
      <c r="D2764" s="8" t="s">
        <v>411</v>
      </c>
      <c r="E2764" s="8" t="s">
        <v>3890</v>
      </c>
      <c r="F2764" s="12" t="s">
        <v>11249</v>
      </c>
      <c r="G2764" s="35" t="s">
        <v>11250</v>
      </c>
      <c r="H2764" s="8" t="s">
        <v>25</v>
      </c>
      <c r="I2764" s="8" t="s">
        <v>3756</v>
      </c>
    </row>
    <row r="2765" spans="1:9" ht="14.25" customHeight="1" x14ac:dyDescent="0.25">
      <c r="A2765" s="7" t="s">
        <v>11251</v>
      </c>
      <c r="B2765" s="8" t="s">
        <v>590</v>
      </c>
      <c r="C2765" s="8" t="s">
        <v>11252</v>
      </c>
      <c r="D2765" s="8" t="s">
        <v>3163</v>
      </c>
      <c r="E2765" s="8" t="s">
        <v>3890</v>
      </c>
      <c r="F2765" s="12" t="s">
        <v>11253</v>
      </c>
      <c r="G2765" s="35" t="s">
        <v>11250</v>
      </c>
      <c r="H2765" s="8" t="s">
        <v>25</v>
      </c>
      <c r="I2765" s="8" t="s">
        <v>3756</v>
      </c>
    </row>
    <row r="2766" spans="1:9" ht="14.25" customHeight="1" x14ac:dyDescent="0.25">
      <c r="A2766" s="7" t="s">
        <v>11254</v>
      </c>
      <c r="B2766" s="8" t="s">
        <v>9348</v>
      </c>
      <c r="C2766" s="8" t="s">
        <v>11255</v>
      </c>
      <c r="D2766" s="8" t="s">
        <v>411</v>
      </c>
      <c r="E2766" s="8" t="s">
        <v>3890</v>
      </c>
      <c r="F2766" s="11" t="s">
        <v>11256</v>
      </c>
      <c r="G2766" s="8" t="s">
        <v>11257</v>
      </c>
      <c r="H2766" s="8" t="s">
        <v>2212</v>
      </c>
      <c r="I2766" s="8"/>
    </row>
    <row r="2767" spans="1:9" ht="14.25" customHeight="1" x14ac:dyDescent="0.25">
      <c r="A2767" s="7" t="s">
        <v>11258</v>
      </c>
      <c r="B2767" s="8" t="s">
        <v>659</v>
      </c>
      <c r="C2767" s="8" t="s">
        <v>11259</v>
      </c>
      <c r="D2767" s="8" t="s">
        <v>3163</v>
      </c>
      <c r="E2767" s="8" t="s">
        <v>3890</v>
      </c>
      <c r="F2767" s="11" t="s">
        <v>11260</v>
      </c>
      <c r="H2767" s="8"/>
      <c r="I2767" s="8"/>
    </row>
    <row r="2768" spans="1:9" ht="14.25" customHeight="1" x14ac:dyDescent="0.25">
      <c r="A2768" s="30" t="s">
        <v>11261</v>
      </c>
      <c r="B2768" s="8" t="s">
        <v>7816</v>
      </c>
      <c r="C2768" s="8" t="s">
        <v>6184</v>
      </c>
      <c r="D2768" s="8"/>
      <c r="E2768" s="8"/>
      <c r="F2768" s="12"/>
      <c r="H2768" s="8"/>
      <c r="I2768" s="8"/>
    </row>
    <row r="2769" spans="1:9" ht="14.25" customHeight="1" x14ac:dyDescent="0.25">
      <c r="A2769" s="30" t="s">
        <v>11262</v>
      </c>
      <c r="B2769" s="8" t="s">
        <v>659</v>
      </c>
      <c r="C2769" s="8"/>
      <c r="D2769" s="8"/>
      <c r="E2769" s="8"/>
      <c r="F2769" s="12"/>
      <c r="H2769" s="8"/>
      <c r="I2769" s="8"/>
    </row>
    <row r="2770" spans="1:9" ht="14.25" customHeight="1" x14ac:dyDescent="0.25">
      <c r="A2770" s="30" t="s">
        <v>11263</v>
      </c>
      <c r="B2770" s="8" t="s">
        <v>11264</v>
      </c>
      <c r="C2770" s="8" t="s">
        <v>11265</v>
      </c>
      <c r="D2770" s="8" t="s">
        <v>411</v>
      </c>
      <c r="E2770" s="8" t="s">
        <v>412</v>
      </c>
      <c r="F2770" s="11" t="s">
        <v>11266</v>
      </c>
      <c r="G2770" s="8" t="s">
        <v>11267</v>
      </c>
      <c r="H2770" s="8" t="s">
        <v>11268</v>
      </c>
      <c r="I2770" s="8" t="s">
        <v>3756</v>
      </c>
    </row>
    <row r="2771" spans="1:9" ht="14.25" customHeight="1" x14ac:dyDescent="0.25">
      <c r="A2771" s="7" t="s">
        <v>11269</v>
      </c>
      <c r="B2771" s="8" t="s">
        <v>11270</v>
      </c>
      <c r="C2771" s="8" t="s">
        <v>11271</v>
      </c>
      <c r="D2771" s="8" t="s">
        <v>3163</v>
      </c>
      <c r="E2771" s="8" t="s">
        <v>412</v>
      </c>
      <c r="F2771" s="12" t="s">
        <v>11272</v>
      </c>
      <c r="G2771" s="35" t="s">
        <v>11273</v>
      </c>
      <c r="H2771" s="8" t="s">
        <v>92</v>
      </c>
      <c r="I2771" s="8" t="s">
        <v>3756</v>
      </c>
    </row>
    <row r="2772" spans="1:9" ht="14.25" customHeight="1" x14ac:dyDescent="0.25">
      <c r="A2772" s="7" t="s">
        <v>11347</v>
      </c>
      <c r="B2772" s="8" t="s">
        <v>11348</v>
      </c>
      <c r="C2772" s="8" t="s">
        <v>11349</v>
      </c>
      <c r="D2772" s="8" t="s">
        <v>3163</v>
      </c>
      <c r="E2772" s="8" t="s">
        <v>412</v>
      </c>
      <c r="F2772" s="92" t="s">
        <v>11350</v>
      </c>
      <c r="G2772" t="s">
        <v>11351</v>
      </c>
      <c r="H2772" s="8" t="s">
        <v>10128</v>
      </c>
      <c r="I2772" s="8" t="s">
        <v>4039</v>
      </c>
    </row>
    <row r="2773" spans="1:9" ht="14.25" customHeight="1" x14ac:dyDescent="0.25">
      <c r="A2773" s="7" t="s">
        <v>11352</v>
      </c>
      <c r="B2773" s="8" t="s">
        <v>4201</v>
      </c>
      <c r="C2773" s="8" t="s">
        <v>11353</v>
      </c>
      <c r="D2773" s="8" t="s">
        <v>411</v>
      </c>
      <c r="E2773" s="8" t="s">
        <v>412</v>
      </c>
      <c r="F2773" s="92" t="s">
        <v>11354</v>
      </c>
      <c r="G2773" s="8" t="s">
        <v>11355</v>
      </c>
      <c r="H2773" s="8" t="s">
        <v>92</v>
      </c>
      <c r="I2773" s="8" t="s">
        <v>3756</v>
      </c>
    </row>
    <row r="2774" spans="1:9" ht="14.25" customHeight="1" x14ac:dyDescent="0.25">
      <c r="A2774" s="7" t="s">
        <v>11356</v>
      </c>
      <c r="B2774" s="8" t="s">
        <v>11314</v>
      </c>
      <c r="C2774" s="8" t="s">
        <v>11357</v>
      </c>
      <c r="D2774" s="8" t="s">
        <v>411</v>
      </c>
      <c r="E2774" s="8" t="s">
        <v>412</v>
      </c>
      <c r="F2774" s="92" t="s">
        <v>11358</v>
      </c>
      <c r="G2774" t="s">
        <v>11359</v>
      </c>
      <c r="H2774" s="8" t="s">
        <v>11360</v>
      </c>
      <c r="I2774" s="8" t="s">
        <v>4039</v>
      </c>
    </row>
    <row r="2775" spans="1:9" ht="14.25" customHeight="1" x14ac:dyDescent="0.25">
      <c r="A2775" s="7" t="s">
        <v>11361</v>
      </c>
      <c r="B2775" s="8" t="s">
        <v>10648</v>
      </c>
      <c r="C2775" s="8" t="s">
        <v>11362</v>
      </c>
      <c r="D2775" s="8" t="s">
        <v>3163</v>
      </c>
      <c r="E2775" s="8" t="s">
        <v>412</v>
      </c>
      <c r="F2775" s="92" t="s">
        <v>11363</v>
      </c>
      <c r="G2775" s="8" t="s">
        <v>11364</v>
      </c>
      <c r="H2775" s="8" t="s">
        <v>15</v>
      </c>
      <c r="I2775" s="8" t="s">
        <v>4039</v>
      </c>
    </row>
    <row r="2776" spans="1:9" ht="14.25" customHeight="1" x14ac:dyDescent="0.25">
      <c r="A2776" s="7" t="s">
        <v>11368</v>
      </c>
      <c r="B2776" s="8" t="s">
        <v>659</v>
      </c>
      <c r="C2776" s="8" t="s">
        <v>11369</v>
      </c>
      <c r="D2776" s="8" t="s">
        <v>3163</v>
      </c>
      <c r="E2776" s="8" t="s">
        <v>412</v>
      </c>
      <c r="F2776" s="92" t="s">
        <v>11370</v>
      </c>
      <c r="G2776" t="s">
        <v>11371</v>
      </c>
      <c r="H2776" s="8" t="s">
        <v>61</v>
      </c>
      <c r="I2776" s="8" t="s">
        <v>3756</v>
      </c>
    </row>
    <row r="2777" spans="1:9" ht="14.25" customHeight="1" x14ac:dyDescent="0.25">
      <c r="A2777" s="7" t="s">
        <v>11365</v>
      </c>
      <c r="B2777" s="8" t="s">
        <v>11366</v>
      </c>
      <c r="C2777" s="8" t="s">
        <v>11367</v>
      </c>
      <c r="D2777" s="8" t="s">
        <v>411</v>
      </c>
      <c r="E2777" s="8" t="s">
        <v>412</v>
      </c>
      <c r="F2777" s="12"/>
      <c r="H2777" s="8"/>
      <c r="I2777" s="8" t="s">
        <v>3756</v>
      </c>
    </row>
    <row r="2778" spans="1:9" ht="14.25" customHeight="1" x14ac:dyDescent="0.25">
      <c r="A2778" s="7" t="s">
        <v>11372</v>
      </c>
      <c r="B2778" s="8" t="s">
        <v>715</v>
      </c>
      <c r="C2778" s="8" t="s">
        <v>5032</v>
      </c>
      <c r="D2778" s="8" t="s">
        <v>3163</v>
      </c>
      <c r="E2778" s="8" t="s">
        <v>412</v>
      </c>
      <c r="F2778" s="92" t="s">
        <v>11373</v>
      </c>
      <c r="G2778" s="93" t="s">
        <v>11374</v>
      </c>
      <c r="H2778" s="8" t="s">
        <v>11375</v>
      </c>
      <c r="I2778" s="8" t="s">
        <v>4039</v>
      </c>
    </row>
    <row r="2779" spans="1:9" ht="14.25" customHeight="1" x14ac:dyDescent="0.25">
      <c r="A2779" s="7" t="s">
        <v>11376</v>
      </c>
      <c r="B2779" s="8" t="s">
        <v>11377</v>
      </c>
      <c r="C2779" s="8" t="s">
        <v>11378</v>
      </c>
      <c r="D2779" s="8" t="s">
        <v>411</v>
      </c>
      <c r="E2779" s="8" t="s">
        <v>412</v>
      </c>
      <c r="F2779" s="92" t="s">
        <v>11379</v>
      </c>
      <c r="H2779" s="8" t="s">
        <v>3820</v>
      </c>
      <c r="I2779" s="8" t="s">
        <v>4039</v>
      </c>
    </row>
    <row r="2780" spans="1:9" ht="14.25" customHeight="1" x14ac:dyDescent="0.25">
      <c r="A2780" s="7" t="s">
        <v>6749</v>
      </c>
      <c r="B2780" s="8" t="s">
        <v>6750</v>
      </c>
      <c r="C2780" s="8" t="s">
        <v>11380</v>
      </c>
      <c r="D2780" s="8" t="s">
        <v>411</v>
      </c>
      <c r="E2780" s="8" t="s">
        <v>412</v>
      </c>
      <c r="F2780" s="12"/>
      <c r="H2780" s="8"/>
      <c r="I2780" s="8" t="s">
        <v>3756</v>
      </c>
    </row>
    <row r="2781" spans="1:9" ht="14.25" customHeight="1" x14ac:dyDescent="0.25">
      <c r="A2781" s="7" t="s">
        <v>11381</v>
      </c>
      <c r="B2781" s="8" t="s">
        <v>7446</v>
      </c>
      <c r="C2781" s="8" t="s">
        <v>11382</v>
      </c>
      <c r="D2781" s="8" t="s">
        <v>3163</v>
      </c>
      <c r="E2781" s="8" t="s">
        <v>412</v>
      </c>
      <c r="F2781" s="12"/>
      <c r="H2781" s="8"/>
      <c r="I2781" s="8" t="s">
        <v>3756</v>
      </c>
    </row>
    <row r="2782" spans="1:9" ht="14.25" customHeight="1" x14ac:dyDescent="0.25">
      <c r="A2782" s="7" t="s">
        <v>11383</v>
      </c>
      <c r="B2782" s="8" t="s">
        <v>11384</v>
      </c>
      <c r="C2782" s="8" t="s">
        <v>11385</v>
      </c>
      <c r="D2782" s="8" t="s">
        <v>411</v>
      </c>
      <c r="E2782" s="8" t="s">
        <v>412</v>
      </c>
      <c r="F2782" s="92" t="s">
        <v>11386</v>
      </c>
      <c r="G2782" s="8" t="s">
        <v>11387</v>
      </c>
      <c r="H2782" s="8" t="s">
        <v>4059</v>
      </c>
      <c r="I2782" s="8" t="s">
        <v>3756</v>
      </c>
    </row>
    <row r="2783" spans="1:9" ht="14.25" customHeight="1" x14ac:dyDescent="0.25">
      <c r="A2783" s="7" t="s">
        <v>11388</v>
      </c>
      <c r="B2783" s="8" t="s">
        <v>11389</v>
      </c>
      <c r="C2783" s="8" t="s">
        <v>1027</v>
      </c>
      <c r="D2783" s="8" t="s">
        <v>3163</v>
      </c>
      <c r="E2783" s="8" t="s">
        <v>412</v>
      </c>
      <c r="F2783" s="92" t="s">
        <v>11390</v>
      </c>
      <c r="G2783" s="8" t="s">
        <v>11391</v>
      </c>
      <c r="H2783" s="8" t="s">
        <v>37</v>
      </c>
      <c r="I2783" s="8" t="s">
        <v>3756</v>
      </c>
    </row>
    <row r="2784" spans="1:9" ht="14.25" customHeight="1" x14ac:dyDescent="0.25">
      <c r="A2784" s="7" t="s">
        <v>11392</v>
      </c>
      <c r="B2784" s="8" t="s">
        <v>11393</v>
      </c>
      <c r="C2784" s="8" t="s">
        <v>3583</v>
      </c>
      <c r="D2784" s="8" t="s">
        <v>411</v>
      </c>
      <c r="E2784" s="8" t="s">
        <v>412</v>
      </c>
      <c r="F2784" s="8" t="s">
        <v>11394</v>
      </c>
      <c r="G2784" s="8" t="s">
        <v>11395</v>
      </c>
      <c r="H2784" s="8" t="s">
        <v>15</v>
      </c>
      <c r="I2784" s="8" t="s">
        <v>4039</v>
      </c>
    </row>
    <row r="2785" spans="1:9" ht="14.25" customHeight="1" x14ac:dyDescent="0.25">
      <c r="A2785" s="7" t="s">
        <v>11404</v>
      </c>
      <c r="B2785" s="8" t="s">
        <v>302</v>
      </c>
      <c r="C2785" s="8" t="s">
        <v>9327</v>
      </c>
      <c r="D2785" s="8" t="s">
        <v>3163</v>
      </c>
      <c r="E2785" s="8" t="s">
        <v>412</v>
      </c>
      <c r="F2785" s="92" t="s">
        <v>9328</v>
      </c>
      <c r="G2785" s="8" t="s">
        <v>9329</v>
      </c>
      <c r="H2785" s="8" t="s">
        <v>20</v>
      </c>
      <c r="I2785" s="8" t="s">
        <v>4371</v>
      </c>
    </row>
    <row r="2786" spans="1:9" ht="14.25" customHeight="1" x14ac:dyDescent="0.25">
      <c r="A2786" s="7" t="s">
        <v>11405</v>
      </c>
      <c r="B2786" s="8" t="s">
        <v>349</v>
      </c>
      <c r="C2786" s="8" t="s">
        <v>11406</v>
      </c>
      <c r="D2786" s="8" t="s">
        <v>411</v>
      </c>
      <c r="E2786" s="8" t="s">
        <v>412</v>
      </c>
      <c r="F2786" s="92" t="s">
        <v>11407</v>
      </c>
      <c r="G2786" t="s">
        <v>11408</v>
      </c>
      <c r="H2786" s="8" t="s">
        <v>5915</v>
      </c>
      <c r="I2786" s="8" t="s">
        <v>4039</v>
      </c>
    </row>
    <row r="2787" spans="1:9" ht="14.25" customHeight="1" x14ac:dyDescent="0.25">
      <c r="A2787" s="7" t="s">
        <v>11409</v>
      </c>
      <c r="B2787" s="8" t="s">
        <v>11410</v>
      </c>
      <c r="C2787" s="8" t="s">
        <v>11240</v>
      </c>
      <c r="D2787" s="8" t="s">
        <v>411</v>
      </c>
      <c r="E2787" s="8" t="s">
        <v>412</v>
      </c>
      <c r="F2787" s="92" t="s">
        <v>11411</v>
      </c>
      <c r="G2787" t="s">
        <v>11412</v>
      </c>
      <c r="H2787" s="8" t="s">
        <v>92</v>
      </c>
      <c r="I2787" s="8" t="s">
        <v>3756</v>
      </c>
    </row>
    <row r="2788" spans="1:9" ht="14.25" customHeight="1" x14ac:dyDescent="0.25">
      <c r="A2788" s="7" t="s">
        <v>11413</v>
      </c>
      <c r="B2788" s="8" t="s">
        <v>11414</v>
      </c>
      <c r="C2788" s="8" t="s">
        <v>11415</v>
      </c>
      <c r="D2788" s="8" t="s">
        <v>3163</v>
      </c>
      <c r="E2788" s="8" t="s">
        <v>3890</v>
      </c>
      <c r="F2788" s="92" t="s">
        <v>11416</v>
      </c>
      <c r="G2788" s="8" t="s">
        <v>11417</v>
      </c>
      <c r="H2788" s="8" t="s">
        <v>37</v>
      </c>
      <c r="I2788" s="8" t="s">
        <v>4039</v>
      </c>
    </row>
    <row r="2789" spans="1:9" ht="14.25" customHeight="1" x14ac:dyDescent="0.25">
      <c r="A2789" s="7" t="s">
        <v>11418</v>
      </c>
      <c r="B2789" s="8" t="s">
        <v>1458</v>
      </c>
      <c r="C2789" s="8" t="s">
        <v>11419</v>
      </c>
      <c r="D2789" s="8" t="s">
        <v>411</v>
      </c>
      <c r="E2789" s="8" t="s">
        <v>3890</v>
      </c>
      <c r="F2789" s="92" t="s">
        <v>11420</v>
      </c>
      <c r="H2789" s="8"/>
      <c r="I2789" s="8" t="s">
        <v>4039</v>
      </c>
    </row>
    <row r="2790" spans="1:9" ht="14.25" customHeight="1" x14ac:dyDescent="0.25">
      <c r="A2790" s="7" t="s">
        <v>11421</v>
      </c>
      <c r="B2790" s="8" t="s">
        <v>10879</v>
      </c>
      <c r="C2790" s="8" t="s">
        <v>11422</v>
      </c>
      <c r="D2790" s="8" t="s">
        <v>411</v>
      </c>
      <c r="E2790" s="8" t="s">
        <v>412</v>
      </c>
      <c r="F2790" s="92" t="s">
        <v>11423</v>
      </c>
      <c r="G2790" s="94" t="s">
        <v>11424</v>
      </c>
      <c r="H2790" s="8" t="s">
        <v>2212</v>
      </c>
      <c r="I2790" s="8" t="s">
        <v>4039</v>
      </c>
    </row>
    <row r="2791" spans="1:9" ht="14.25" customHeight="1" x14ac:dyDescent="0.25">
      <c r="A2791" s="7" t="s">
        <v>11425</v>
      </c>
      <c r="B2791" s="8" t="s">
        <v>2668</v>
      </c>
      <c r="C2791" s="8" t="s">
        <v>4223</v>
      </c>
      <c r="D2791" s="8" t="s">
        <v>411</v>
      </c>
      <c r="E2791" s="8" t="s">
        <v>412</v>
      </c>
      <c r="F2791" s="92" t="s">
        <v>11426</v>
      </c>
      <c r="G2791" t="s">
        <v>11427</v>
      </c>
      <c r="H2791" s="8" t="s">
        <v>3618</v>
      </c>
      <c r="I2791" s="8" t="s">
        <v>4039</v>
      </c>
    </row>
    <row r="2792" spans="1:9" ht="14.25" customHeight="1" x14ac:dyDescent="0.25">
      <c r="A2792" s="7" t="s">
        <v>11428</v>
      </c>
      <c r="B2792" s="8" t="s">
        <v>11429</v>
      </c>
      <c r="C2792" s="8" t="s">
        <v>11430</v>
      </c>
      <c r="D2792" s="8" t="s">
        <v>411</v>
      </c>
      <c r="E2792" s="8" t="s">
        <v>412</v>
      </c>
      <c r="F2792" s="92" t="s">
        <v>11431</v>
      </c>
      <c r="G2792" s="93" t="s">
        <v>11432</v>
      </c>
      <c r="H2792" s="8" t="s">
        <v>11189</v>
      </c>
      <c r="I2792" s="8" t="s">
        <v>4039</v>
      </c>
    </row>
    <row r="2793" spans="1:9" ht="14.25" customHeight="1" x14ac:dyDescent="0.25">
      <c r="A2793" s="7" t="s">
        <v>11433</v>
      </c>
      <c r="B2793" s="8" t="s">
        <v>2507</v>
      </c>
      <c r="C2793" s="8" t="s">
        <v>11434</v>
      </c>
      <c r="D2793" s="8" t="s">
        <v>411</v>
      </c>
      <c r="E2793" s="8" t="s">
        <v>412</v>
      </c>
      <c r="F2793" s="92" t="s">
        <v>11435</v>
      </c>
      <c r="G2793" t="s">
        <v>9118</v>
      </c>
      <c r="H2793" s="8" t="s">
        <v>92</v>
      </c>
      <c r="I2793" s="8" t="s">
        <v>4039</v>
      </c>
    </row>
    <row r="2794" spans="1:9" ht="14.25" customHeight="1" x14ac:dyDescent="0.25">
      <c r="A2794" s="7" t="s">
        <v>11436</v>
      </c>
      <c r="B2794" s="8" t="s">
        <v>2847</v>
      </c>
      <c r="C2794" s="8" t="s">
        <v>11437</v>
      </c>
      <c r="D2794" s="8" t="s">
        <v>411</v>
      </c>
      <c r="E2794" s="8" t="s">
        <v>412</v>
      </c>
      <c r="F2794" s="92" t="s">
        <v>11438</v>
      </c>
      <c r="G2794" t="s">
        <v>11439</v>
      </c>
      <c r="H2794" s="8" t="s">
        <v>20</v>
      </c>
      <c r="I2794" s="8" t="s">
        <v>4039</v>
      </c>
    </row>
    <row r="2795" spans="1:9" ht="14.25" customHeight="1" x14ac:dyDescent="0.25">
      <c r="A2795" s="7" t="s">
        <v>11440</v>
      </c>
      <c r="B2795" s="8" t="s">
        <v>659</v>
      </c>
      <c r="C2795" s="8" t="s">
        <v>11441</v>
      </c>
      <c r="D2795" s="8" t="s">
        <v>3163</v>
      </c>
      <c r="E2795" s="8" t="s">
        <v>412</v>
      </c>
      <c r="F2795" s="92" t="s">
        <v>11442</v>
      </c>
      <c r="G2795" t="s">
        <v>11443</v>
      </c>
      <c r="H2795" s="8" t="s">
        <v>61</v>
      </c>
      <c r="I2795" s="8" t="s">
        <v>3756</v>
      </c>
    </row>
    <row r="2796" spans="1:9" ht="14.25" customHeight="1" x14ac:dyDescent="0.25">
      <c r="A2796" s="7" t="s">
        <v>11444</v>
      </c>
      <c r="B2796" s="8" t="s">
        <v>6894</v>
      </c>
      <c r="C2796" s="8" t="s">
        <v>11445</v>
      </c>
      <c r="D2796" s="8" t="s">
        <v>3163</v>
      </c>
      <c r="E2796" s="8" t="s">
        <v>412</v>
      </c>
      <c r="F2796" s="92" t="s">
        <v>11446</v>
      </c>
      <c r="G2796" t="s">
        <v>8531</v>
      </c>
      <c r="H2796" s="8" t="s">
        <v>4951</v>
      </c>
      <c r="I2796" s="8" t="s">
        <v>3756</v>
      </c>
    </row>
    <row r="2797" spans="1:9" ht="14.25" customHeight="1" x14ac:dyDescent="0.25">
      <c r="A2797" s="7" t="s">
        <v>11447</v>
      </c>
      <c r="B2797" s="8" t="s">
        <v>11448</v>
      </c>
      <c r="C2797" s="8" t="s">
        <v>11449</v>
      </c>
      <c r="D2797" s="8" t="s">
        <v>411</v>
      </c>
      <c r="E2797" s="8" t="s">
        <v>412</v>
      </c>
      <c r="F2797" s="92" t="s">
        <v>11450</v>
      </c>
      <c r="G2797" t="s">
        <v>11451</v>
      </c>
      <c r="H2797" s="8" t="s">
        <v>6255</v>
      </c>
      <c r="I2797" s="8" t="s">
        <v>4039</v>
      </c>
    </row>
    <row r="2798" spans="1:9" ht="14.25" customHeight="1" x14ac:dyDescent="0.25">
      <c r="A2798" s="7" t="s">
        <v>11452</v>
      </c>
      <c r="B2798" s="8" t="s">
        <v>319</v>
      </c>
      <c r="C2798" s="8" t="s">
        <v>2709</v>
      </c>
      <c r="D2798" s="8" t="s">
        <v>411</v>
      </c>
      <c r="E2798" s="8" t="s">
        <v>412</v>
      </c>
      <c r="F2798" s="92" t="s">
        <v>11453</v>
      </c>
      <c r="G2798" t="s">
        <v>11454</v>
      </c>
      <c r="H2798" s="8" t="s">
        <v>2212</v>
      </c>
      <c r="I2798" s="8" t="s">
        <v>3756</v>
      </c>
    </row>
    <row r="2799" spans="1:9" ht="14.25" customHeight="1" x14ac:dyDescent="0.25">
      <c r="A2799" s="7" t="s">
        <v>11455</v>
      </c>
      <c r="B2799" s="8" t="s">
        <v>7244</v>
      </c>
      <c r="C2799" s="8" t="s">
        <v>11456</v>
      </c>
      <c r="D2799" s="8" t="s">
        <v>411</v>
      </c>
      <c r="E2799" s="8" t="s">
        <v>412</v>
      </c>
      <c r="F2799" s="92" t="s">
        <v>11457</v>
      </c>
      <c r="G2799" t="s">
        <v>11458</v>
      </c>
      <c r="H2799" s="8" t="s">
        <v>92</v>
      </c>
      <c r="I2799" s="8" t="s">
        <v>4039</v>
      </c>
    </row>
    <row r="2800" spans="1:9" ht="14.25" customHeight="1" x14ac:dyDescent="0.25">
      <c r="A2800" s="7" t="s">
        <v>11459</v>
      </c>
      <c r="B2800" s="8" t="s">
        <v>9912</v>
      </c>
      <c r="C2800" s="8" t="s">
        <v>11460</v>
      </c>
      <c r="D2800" s="8" t="s">
        <v>3163</v>
      </c>
      <c r="E2800" s="8" t="s">
        <v>412</v>
      </c>
      <c r="F2800" s="92" t="s">
        <v>11461</v>
      </c>
      <c r="G2800" t="s">
        <v>11462</v>
      </c>
      <c r="H2800" s="8" t="s">
        <v>82</v>
      </c>
      <c r="I2800" s="8" t="s">
        <v>2212</v>
      </c>
    </row>
    <row r="2801" spans="1:9" ht="14.25" customHeight="1" x14ac:dyDescent="0.25">
      <c r="A2801" s="7" t="s">
        <v>11463</v>
      </c>
      <c r="B2801" s="8" t="s">
        <v>11464</v>
      </c>
      <c r="C2801" s="8" t="s">
        <v>11465</v>
      </c>
      <c r="D2801" s="8" t="s">
        <v>411</v>
      </c>
      <c r="E2801" s="8" t="s">
        <v>412</v>
      </c>
      <c r="F2801" s="92" t="s">
        <v>11466</v>
      </c>
      <c r="G2801" t="s">
        <v>6332</v>
      </c>
      <c r="H2801" s="8" t="s">
        <v>61</v>
      </c>
      <c r="I2801" s="8" t="s">
        <v>4039</v>
      </c>
    </row>
    <row r="2802" spans="1:9" ht="14.25" customHeight="1" x14ac:dyDescent="0.25">
      <c r="A2802" s="7" t="s">
        <v>11467</v>
      </c>
      <c r="B2802" s="8" t="s">
        <v>349</v>
      </c>
      <c r="C2802" s="8" t="s">
        <v>11468</v>
      </c>
      <c r="D2802" s="8" t="s">
        <v>411</v>
      </c>
      <c r="E2802" s="8" t="s">
        <v>412</v>
      </c>
      <c r="F2802" s="92" t="s">
        <v>11469</v>
      </c>
      <c r="G2802" t="s">
        <v>11470</v>
      </c>
      <c r="H2802" s="8" t="s">
        <v>82</v>
      </c>
      <c r="I2802" s="8" t="s">
        <v>3756</v>
      </c>
    </row>
    <row r="2803" spans="1:9" ht="14.25" customHeight="1" x14ac:dyDescent="0.25">
      <c r="A2803" s="7" t="s">
        <v>11471</v>
      </c>
      <c r="B2803" s="8" t="s">
        <v>11472</v>
      </c>
      <c r="C2803" s="8" t="s">
        <v>11473</v>
      </c>
      <c r="D2803" s="8" t="s">
        <v>3163</v>
      </c>
      <c r="E2803" s="8" t="s">
        <v>412</v>
      </c>
      <c r="F2803" s="92" t="s">
        <v>11474</v>
      </c>
      <c r="G2803" s="93" t="s">
        <v>11475</v>
      </c>
      <c r="H2803" s="8" t="s">
        <v>92</v>
      </c>
      <c r="I2803" s="8" t="s">
        <v>4039</v>
      </c>
    </row>
    <row r="2804" spans="1:9" ht="14.25" customHeight="1" x14ac:dyDescent="0.25">
      <c r="A2804" s="7" t="s">
        <v>11476</v>
      </c>
      <c r="B2804" s="8" t="s">
        <v>2150</v>
      </c>
      <c r="C2804" s="8" t="s">
        <v>11477</v>
      </c>
      <c r="D2804" s="8" t="s">
        <v>411</v>
      </c>
      <c r="E2804" s="8" t="s">
        <v>412</v>
      </c>
      <c r="F2804" s="92" t="s">
        <v>11478</v>
      </c>
      <c r="G2804" t="s">
        <v>11479</v>
      </c>
      <c r="H2804" s="8" t="s">
        <v>11480</v>
      </c>
      <c r="I2804" s="8" t="s">
        <v>3756</v>
      </c>
    </row>
    <row r="2805" spans="1:9" ht="14.25" customHeight="1" x14ac:dyDescent="0.25">
      <c r="A2805" s="7" t="s">
        <v>11481</v>
      </c>
      <c r="B2805" s="8" t="s">
        <v>11482</v>
      </c>
      <c r="C2805" s="8" t="s">
        <v>11483</v>
      </c>
      <c r="D2805" s="8" t="s">
        <v>411</v>
      </c>
      <c r="E2805" s="8" t="s">
        <v>412</v>
      </c>
      <c r="F2805" s="92" t="s">
        <v>11484</v>
      </c>
      <c r="G2805" t="s">
        <v>11485</v>
      </c>
      <c r="H2805" s="8" t="s">
        <v>7784</v>
      </c>
      <c r="I2805" s="8" t="s">
        <v>3756</v>
      </c>
    </row>
    <row r="2806" spans="1:9" ht="14.25" customHeight="1" x14ac:dyDescent="0.25">
      <c r="A2806" s="7" t="s">
        <v>11486</v>
      </c>
      <c r="B2806" s="8" t="s">
        <v>11487</v>
      </c>
      <c r="C2806" s="8" t="s">
        <v>7937</v>
      </c>
      <c r="D2806" s="8" t="s">
        <v>411</v>
      </c>
      <c r="E2806" s="8" t="s">
        <v>412</v>
      </c>
      <c r="F2806" s="92" t="s">
        <v>11488</v>
      </c>
      <c r="G2806" t="s">
        <v>11489</v>
      </c>
      <c r="H2806" s="8" t="s">
        <v>61</v>
      </c>
      <c r="I2806" s="8" t="s">
        <v>4371</v>
      </c>
    </row>
    <row r="2807" spans="1:9" ht="14.25" customHeight="1" x14ac:dyDescent="0.25">
      <c r="A2807" s="7" t="s">
        <v>11490</v>
      </c>
      <c r="B2807" s="8" t="s">
        <v>1970</v>
      </c>
      <c r="C2807" s="8" t="s">
        <v>11491</v>
      </c>
      <c r="D2807" s="8" t="s">
        <v>411</v>
      </c>
      <c r="E2807" s="8" t="s">
        <v>412</v>
      </c>
      <c r="F2807" s="92" t="s">
        <v>11492</v>
      </c>
      <c r="G2807" s="93" t="s">
        <v>7399</v>
      </c>
      <c r="H2807" s="8" t="s">
        <v>92</v>
      </c>
      <c r="I2807" s="8" t="s">
        <v>3756</v>
      </c>
    </row>
    <row r="2808" spans="1:9" ht="14.25" customHeight="1" x14ac:dyDescent="0.25">
      <c r="A2808" s="7" t="s">
        <v>11493</v>
      </c>
      <c r="B2808" s="8" t="s">
        <v>1773</v>
      </c>
      <c r="C2808" s="8" t="s">
        <v>11494</v>
      </c>
      <c r="D2808" s="8" t="s">
        <v>411</v>
      </c>
      <c r="E2808" s="8" t="s">
        <v>412</v>
      </c>
      <c r="F2808" s="92" t="s">
        <v>11495</v>
      </c>
      <c r="G2808" t="s">
        <v>11496</v>
      </c>
      <c r="H2808" s="8" t="s">
        <v>11496</v>
      </c>
      <c r="I2808" s="8" t="s">
        <v>4039</v>
      </c>
    </row>
    <row r="2809" spans="1:9" ht="14.25" customHeight="1" x14ac:dyDescent="0.25">
      <c r="A2809" s="7" t="s">
        <v>11497</v>
      </c>
      <c r="B2809" s="8" t="s">
        <v>109</v>
      </c>
      <c r="C2809" s="8" t="s">
        <v>11498</v>
      </c>
      <c r="D2809" s="8" t="s">
        <v>411</v>
      </c>
      <c r="E2809" s="8" t="s">
        <v>412</v>
      </c>
      <c r="F2809" s="92" t="s">
        <v>11499</v>
      </c>
      <c r="G2809" t="s">
        <v>11500</v>
      </c>
      <c r="H2809" s="10" t="s">
        <v>3820</v>
      </c>
      <c r="I2809" s="8" t="s">
        <v>3756</v>
      </c>
    </row>
    <row r="2810" spans="1:9" ht="14.25" customHeight="1" x14ac:dyDescent="0.25">
      <c r="A2810" s="7" t="s">
        <v>11501</v>
      </c>
      <c r="B2810" s="8" t="s">
        <v>3874</v>
      </c>
      <c r="C2810" s="8" t="s">
        <v>462</v>
      </c>
      <c r="D2810" s="8" t="s">
        <v>3163</v>
      </c>
      <c r="E2810" s="8" t="s">
        <v>3890</v>
      </c>
      <c r="F2810" s="92" t="s">
        <v>11503</v>
      </c>
      <c r="G2810" t="s">
        <v>11504</v>
      </c>
      <c r="H2810" s="8" t="s">
        <v>5196</v>
      </c>
      <c r="I2810" s="8" t="s">
        <v>3756</v>
      </c>
    </row>
    <row r="2811" spans="1:9" ht="14.25" customHeight="1" x14ac:dyDescent="0.25">
      <c r="A2811" s="7" t="s">
        <v>11502</v>
      </c>
      <c r="B2811" s="8" t="s">
        <v>3127</v>
      </c>
      <c r="C2811" s="8" t="s">
        <v>11505</v>
      </c>
      <c r="D2811" s="8" t="s">
        <v>411</v>
      </c>
      <c r="E2811" s="8" t="s">
        <v>3890</v>
      </c>
      <c r="F2811" s="92" t="s">
        <v>11506</v>
      </c>
      <c r="G2811" t="s">
        <v>11504</v>
      </c>
      <c r="H2811" s="8" t="s">
        <v>5196</v>
      </c>
      <c r="I2811" s="8" t="s">
        <v>3756</v>
      </c>
    </row>
    <row r="2812" spans="1:9" ht="14.25" customHeight="1" x14ac:dyDescent="0.25">
      <c r="A2812" s="7" t="s">
        <v>11507</v>
      </c>
      <c r="B2812" s="8" t="s">
        <v>1021</v>
      </c>
      <c r="C2812" s="8" t="s">
        <v>11508</v>
      </c>
      <c r="D2812" s="8" t="s">
        <v>411</v>
      </c>
      <c r="E2812" s="8" t="s">
        <v>412</v>
      </c>
      <c r="F2812" s="92" t="s">
        <v>11509</v>
      </c>
      <c r="G2812" t="s">
        <v>11510</v>
      </c>
      <c r="H2812" s="8" t="s">
        <v>8903</v>
      </c>
      <c r="I2812" s="8" t="s">
        <v>3756</v>
      </c>
    </row>
    <row r="2813" spans="1:9" ht="14.25" customHeight="1" x14ac:dyDescent="0.25">
      <c r="A2813" s="7" t="s">
        <v>11511</v>
      </c>
      <c r="B2813" s="8" t="s">
        <v>11512</v>
      </c>
      <c r="C2813" s="8" t="s">
        <v>11513</v>
      </c>
      <c r="D2813" s="8" t="s">
        <v>411</v>
      </c>
      <c r="E2813" s="8" t="s">
        <v>412</v>
      </c>
      <c r="F2813" s="92" t="s">
        <v>11514</v>
      </c>
      <c r="G2813" t="s">
        <v>11515</v>
      </c>
      <c r="H2813" s="8" t="s">
        <v>61</v>
      </c>
      <c r="I2813" s="8" t="s">
        <v>3756</v>
      </c>
    </row>
    <row r="2814" spans="1:9" ht="14.25" customHeight="1" x14ac:dyDescent="0.25">
      <c r="A2814" s="7" t="s">
        <v>11516</v>
      </c>
      <c r="B2814" s="8" t="s">
        <v>2382</v>
      </c>
      <c r="C2814" s="8" t="s">
        <v>11517</v>
      </c>
      <c r="D2814" s="8" t="s">
        <v>411</v>
      </c>
      <c r="E2814" s="8" t="s">
        <v>412</v>
      </c>
      <c r="F2814" s="92" t="s">
        <v>11518</v>
      </c>
      <c r="G2814" t="s">
        <v>11519</v>
      </c>
      <c r="H2814" s="8" t="s">
        <v>2212</v>
      </c>
      <c r="I2814" s="8" t="s">
        <v>3756</v>
      </c>
    </row>
    <row r="2815" spans="1:9" ht="14.25" customHeight="1" x14ac:dyDescent="0.25">
      <c r="A2815" s="7" t="s">
        <v>11520</v>
      </c>
      <c r="B2815" s="8" t="s">
        <v>11521</v>
      </c>
      <c r="C2815" s="8" t="s">
        <v>7719</v>
      </c>
      <c r="D2815" s="8" t="s">
        <v>411</v>
      </c>
      <c r="E2815" s="8" t="s">
        <v>412</v>
      </c>
      <c r="F2815" s="92" t="s">
        <v>11522</v>
      </c>
      <c r="G2815" t="s">
        <v>11523</v>
      </c>
      <c r="H2815" s="8" t="s">
        <v>82</v>
      </c>
      <c r="I2815" s="8" t="s">
        <v>3756</v>
      </c>
    </row>
    <row r="2816" spans="1:9" ht="14.25" customHeight="1" x14ac:dyDescent="0.25">
      <c r="A2816" s="7" t="s">
        <v>11524</v>
      </c>
      <c r="B2816" s="8" t="s">
        <v>11525</v>
      </c>
      <c r="C2816" s="8" t="s">
        <v>11526</v>
      </c>
      <c r="D2816" s="8" t="s">
        <v>411</v>
      </c>
      <c r="E2816" s="8" t="s">
        <v>412</v>
      </c>
      <c r="F2816" s="92" t="s">
        <v>11527</v>
      </c>
      <c r="G2816" t="s">
        <v>11528</v>
      </c>
      <c r="H2816" s="8" t="s">
        <v>11529</v>
      </c>
      <c r="I2816" s="8" t="s">
        <v>4039</v>
      </c>
    </row>
    <row r="2817" spans="1:9" ht="14.25" customHeight="1" x14ac:dyDescent="0.25">
      <c r="A2817" s="7" t="s">
        <v>11530</v>
      </c>
      <c r="B2817" s="8" t="s">
        <v>1717</v>
      </c>
      <c r="C2817" s="8" t="s">
        <v>11532</v>
      </c>
      <c r="D2817" s="8" t="s">
        <v>411</v>
      </c>
      <c r="E2817" s="8" t="s">
        <v>3890</v>
      </c>
      <c r="F2817" s="92" t="s">
        <v>11534</v>
      </c>
      <c r="G2817" t="s">
        <v>11535</v>
      </c>
      <c r="H2817" s="8" t="s">
        <v>131</v>
      </c>
      <c r="I2817" s="8" t="s">
        <v>4039</v>
      </c>
    </row>
    <row r="2818" spans="1:9" ht="14.25" customHeight="1" x14ac:dyDescent="0.25">
      <c r="A2818" s="7" t="s">
        <v>11531</v>
      </c>
      <c r="B2818" s="8" t="s">
        <v>11533</v>
      </c>
      <c r="C2818" s="8" t="s">
        <v>276</v>
      </c>
      <c r="D2818" s="8" t="s">
        <v>3163</v>
      </c>
      <c r="E2818" s="8" t="s">
        <v>3890</v>
      </c>
      <c r="F2818" s="12"/>
      <c r="G2818" t="s">
        <v>11535</v>
      </c>
      <c r="H2818" s="8" t="s">
        <v>131</v>
      </c>
      <c r="I2818" s="8" t="s">
        <v>4039</v>
      </c>
    </row>
    <row r="2819" spans="1:9" ht="14.25" customHeight="1" x14ac:dyDescent="0.25">
      <c r="A2819" s="7" t="s">
        <v>11536</v>
      </c>
      <c r="B2819" s="8" t="s">
        <v>1402</v>
      </c>
      <c r="C2819" s="8" t="s">
        <v>11537</v>
      </c>
      <c r="D2819" s="8" t="s">
        <v>411</v>
      </c>
      <c r="E2819" s="8" t="s">
        <v>412</v>
      </c>
      <c r="F2819" s="92" t="s">
        <v>11538</v>
      </c>
      <c r="G2819" t="s">
        <v>11539</v>
      </c>
      <c r="H2819" s="8" t="s">
        <v>2212</v>
      </c>
      <c r="I2819" s="8" t="s">
        <v>3756</v>
      </c>
    </row>
    <row r="2820" spans="1:9" ht="14.25" customHeight="1" x14ac:dyDescent="0.25">
      <c r="A2820" s="7" t="s">
        <v>11540</v>
      </c>
      <c r="B2820" s="8" t="s">
        <v>10228</v>
      </c>
      <c r="C2820" s="8" t="s">
        <v>11541</v>
      </c>
      <c r="D2820" s="8" t="s">
        <v>3163</v>
      </c>
      <c r="E2820" s="8" t="s">
        <v>412</v>
      </c>
      <c r="F2820" s="92" t="s">
        <v>11542</v>
      </c>
      <c r="G2820" t="s">
        <v>11543</v>
      </c>
      <c r="H2820" s="8" t="s">
        <v>2212</v>
      </c>
      <c r="I2820" s="8" t="s">
        <v>5347</v>
      </c>
    </row>
    <row r="2821" spans="1:9" ht="14.25" customHeight="1" x14ac:dyDescent="0.25">
      <c r="A2821" s="7" t="s">
        <v>11544</v>
      </c>
      <c r="B2821" s="8" t="s">
        <v>2543</v>
      </c>
      <c r="C2821" s="8" t="s">
        <v>11546</v>
      </c>
      <c r="D2821" s="8" t="s">
        <v>3163</v>
      </c>
      <c r="E2821" s="8" t="s">
        <v>3890</v>
      </c>
      <c r="F2821" s="92" t="s">
        <v>11547</v>
      </c>
      <c r="G2821" t="s">
        <v>11548</v>
      </c>
      <c r="H2821" s="8" t="s">
        <v>82</v>
      </c>
      <c r="I2821" s="8" t="s">
        <v>3756</v>
      </c>
    </row>
    <row r="2822" spans="1:9" ht="14.25" customHeight="1" x14ac:dyDescent="0.25">
      <c r="A2822" s="7" t="s">
        <v>11545</v>
      </c>
      <c r="B2822" s="8" t="s">
        <v>3914</v>
      </c>
      <c r="C2822" s="8" t="s">
        <v>7528</v>
      </c>
      <c r="D2822" s="8" t="s">
        <v>411</v>
      </c>
      <c r="E2822" s="8" t="s">
        <v>3890</v>
      </c>
      <c r="F2822" s="92" t="s">
        <v>11549</v>
      </c>
      <c r="G2822" t="s">
        <v>11548</v>
      </c>
      <c r="H2822" s="8" t="s">
        <v>82</v>
      </c>
      <c r="I2822" s="8" t="s">
        <v>3756</v>
      </c>
    </row>
    <row r="2823" spans="1:9" ht="14.25" customHeight="1" x14ac:dyDescent="0.25">
      <c r="A2823" s="7" t="s">
        <v>11550</v>
      </c>
      <c r="B2823" s="8" t="s">
        <v>10652</v>
      </c>
      <c r="C2823" s="8" t="s">
        <v>11551</v>
      </c>
      <c r="D2823" s="8" t="s">
        <v>411</v>
      </c>
      <c r="E2823" s="8" t="s">
        <v>3890</v>
      </c>
      <c r="F2823" s="92" t="s">
        <v>11552</v>
      </c>
      <c r="G2823" s="94" t="s">
        <v>11553</v>
      </c>
      <c r="H2823" s="8" t="s">
        <v>2212</v>
      </c>
      <c r="I2823" s="8" t="s">
        <v>4039</v>
      </c>
    </row>
    <row r="2824" spans="1:9" ht="14.25" customHeight="1" x14ac:dyDescent="0.25">
      <c r="A2824" s="7" t="s">
        <v>11554</v>
      </c>
      <c r="B2824" s="8" t="s">
        <v>11555</v>
      </c>
      <c r="C2824" s="8" t="s">
        <v>1728</v>
      </c>
      <c r="D2824" s="8" t="s">
        <v>3163</v>
      </c>
      <c r="E2824" s="8" t="s">
        <v>3890</v>
      </c>
      <c r="F2824" s="92" t="s">
        <v>11556</v>
      </c>
      <c r="H2824" s="8"/>
      <c r="I2824" s="8" t="s">
        <v>4039</v>
      </c>
    </row>
    <row r="2825" spans="1:9" ht="14.25" customHeight="1" x14ac:dyDescent="0.25">
      <c r="A2825" s="7" t="s">
        <v>11557</v>
      </c>
      <c r="B2825" s="8" t="s">
        <v>3078</v>
      </c>
      <c r="C2825" s="8" t="s">
        <v>11558</v>
      </c>
      <c r="D2825" s="8" t="s">
        <v>3163</v>
      </c>
      <c r="E2825" s="8" t="s">
        <v>412</v>
      </c>
      <c r="F2825" s="92" t="s">
        <v>11559</v>
      </c>
      <c r="G2825" t="s">
        <v>11560</v>
      </c>
      <c r="H2825" s="8" t="s">
        <v>6104</v>
      </c>
      <c r="I2825" s="8" t="s">
        <v>4039</v>
      </c>
    </row>
    <row r="2826" spans="1:9" ht="14.25" customHeight="1" x14ac:dyDescent="0.25">
      <c r="A2826" s="7" t="s">
        <v>11561</v>
      </c>
      <c r="B2826" s="8" t="s">
        <v>944</v>
      </c>
      <c r="C2826" s="8" t="s">
        <v>8996</v>
      </c>
      <c r="D2826" s="8" t="s">
        <v>411</v>
      </c>
      <c r="E2826" s="8" t="s">
        <v>412</v>
      </c>
      <c r="F2826" s="92" t="s">
        <v>11562</v>
      </c>
      <c r="G2826" t="s">
        <v>11563</v>
      </c>
      <c r="H2826" s="8" t="s">
        <v>6754</v>
      </c>
      <c r="I2826" s="8" t="s">
        <v>3756</v>
      </c>
    </row>
    <row r="2827" spans="1:9" ht="14.25" customHeight="1" x14ac:dyDescent="0.25">
      <c r="A2827" s="7" t="s">
        <v>11564</v>
      </c>
      <c r="B2827" s="8" t="s">
        <v>853</v>
      </c>
      <c r="C2827" s="8" t="s">
        <v>2957</v>
      </c>
      <c r="D2827" s="8" t="s">
        <v>3163</v>
      </c>
      <c r="E2827" s="8" t="s">
        <v>412</v>
      </c>
      <c r="F2827" s="92" t="s">
        <v>11565</v>
      </c>
      <c r="G2827" s="8" t="s">
        <v>11566</v>
      </c>
      <c r="H2827" s="8" t="s">
        <v>72</v>
      </c>
      <c r="I2827" s="8" t="s">
        <v>4039</v>
      </c>
    </row>
    <row r="2828" spans="1:9" ht="14.25" customHeight="1" x14ac:dyDescent="0.25">
      <c r="A2828" s="7" t="s">
        <v>11567</v>
      </c>
      <c r="B2828" s="8" t="s">
        <v>10648</v>
      </c>
      <c r="C2828" s="8" t="s">
        <v>11568</v>
      </c>
      <c r="D2828" s="8" t="s">
        <v>3163</v>
      </c>
      <c r="E2828" s="8" t="s">
        <v>412</v>
      </c>
      <c r="F2828" s="92" t="s">
        <v>11569</v>
      </c>
      <c r="G2828" s="8" t="s">
        <v>11570</v>
      </c>
      <c r="H2828" s="8" t="s">
        <v>2212</v>
      </c>
      <c r="I2828" s="8" t="s">
        <v>3756</v>
      </c>
    </row>
    <row r="2829" spans="1:9" ht="14.25" customHeight="1" x14ac:dyDescent="0.25">
      <c r="A2829" s="7" t="s">
        <v>11571</v>
      </c>
      <c r="B2829" s="8" t="s">
        <v>2956</v>
      </c>
      <c r="C2829" s="8" t="s">
        <v>10277</v>
      </c>
      <c r="D2829" s="8" t="s">
        <v>411</v>
      </c>
      <c r="E2829" s="8" t="s">
        <v>412</v>
      </c>
      <c r="F2829" s="92" t="s">
        <v>11572</v>
      </c>
      <c r="G2829" t="s">
        <v>11573</v>
      </c>
      <c r="H2829" s="8" t="s">
        <v>6950</v>
      </c>
      <c r="I2829" s="8" t="s">
        <v>3756</v>
      </c>
    </row>
    <row r="2830" spans="1:9" ht="14.25" customHeight="1" x14ac:dyDescent="0.25">
      <c r="A2830" s="7" t="s">
        <v>11574</v>
      </c>
      <c r="B2830" s="8" t="s">
        <v>349</v>
      </c>
      <c r="C2830" s="8" t="s">
        <v>4223</v>
      </c>
      <c r="D2830" s="8" t="s">
        <v>411</v>
      </c>
      <c r="E2830" s="8" t="s">
        <v>412</v>
      </c>
      <c r="F2830" s="12"/>
      <c r="H2830" s="8"/>
      <c r="I2830" s="8"/>
    </row>
    <row r="2831" spans="1:9" ht="14.25" customHeight="1" x14ac:dyDescent="0.25">
      <c r="A2831" s="7" t="s">
        <v>11575</v>
      </c>
      <c r="B2831" s="8" t="s">
        <v>11577</v>
      </c>
      <c r="C2831" s="8" t="s">
        <v>4709</v>
      </c>
      <c r="D2831" s="8" t="s">
        <v>411</v>
      </c>
      <c r="E2831" s="8" t="s">
        <v>3890</v>
      </c>
      <c r="F2831" s="92" t="s">
        <v>11578</v>
      </c>
      <c r="G2831" t="s">
        <v>11579</v>
      </c>
      <c r="H2831" s="8" t="s">
        <v>4199</v>
      </c>
      <c r="I2831" s="8" t="s">
        <v>3756</v>
      </c>
    </row>
    <row r="2832" spans="1:9" ht="14.25" customHeight="1" x14ac:dyDescent="0.25">
      <c r="A2832" s="7" t="s">
        <v>11576</v>
      </c>
      <c r="B2832" s="8" t="s">
        <v>5204</v>
      </c>
      <c r="C2832" s="8" t="s">
        <v>4709</v>
      </c>
      <c r="D2832" s="8" t="s">
        <v>3163</v>
      </c>
      <c r="E2832" s="8" t="s">
        <v>3890</v>
      </c>
      <c r="F2832" s="92" t="s">
        <v>11580</v>
      </c>
      <c r="G2832" t="s">
        <v>11579</v>
      </c>
      <c r="H2832" s="8" t="s">
        <v>4199</v>
      </c>
      <c r="I2832" s="8" t="s">
        <v>3756</v>
      </c>
    </row>
    <row r="2833" spans="1:9" ht="14.25" customHeight="1" x14ac:dyDescent="0.25">
      <c r="A2833" s="7" t="s">
        <v>11581</v>
      </c>
      <c r="B2833" s="8" t="s">
        <v>4382</v>
      </c>
      <c r="C2833" s="8" t="s">
        <v>537</v>
      </c>
      <c r="D2833" s="8" t="s">
        <v>3163</v>
      </c>
      <c r="E2833" s="8" t="s">
        <v>3890</v>
      </c>
      <c r="F2833" s="92" t="s">
        <v>11583</v>
      </c>
      <c r="G2833" t="s">
        <v>11584</v>
      </c>
      <c r="H2833" s="8" t="s">
        <v>11585</v>
      </c>
      <c r="I2833" s="8" t="s">
        <v>4039</v>
      </c>
    </row>
    <row r="2834" spans="1:9" ht="14.25" customHeight="1" x14ac:dyDescent="0.25">
      <c r="A2834" s="7" t="s">
        <v>11582</v>
      </c>
      <c r="B2834" s="8" t="s">
        <v>11586</v>
      </c>
      <c r="C2834" s="8" t="s">
        <v>537</v>
      </c>
      <c r="D2834" s="8" t="s">
        <v>411</v>
      </c>
      <c r="E2834" s="8" t="s">
        <v>3890</v>
      </c>
      <c r="F2834" s="12"/>
      <c r="G2834" t="s">
        <v>11584</v>
      </c>
      <c r="H2834" s="8" t="s">
        <v>11585</v>
      </c>
      <c r="I2834" s="8" t="s">
        <v>4039</v>
      </c>
    </row>
    <row r="2835" spans="1:9" ht="14.25" customHeight="1" x14ac:dyDescent="0.25">
      <c r="A2835" s="7" t="s">
        <v>11587</v>
      </c>
      <c r="B2835" s="8" t="s">
        <v>1861</v>
      </c>
      <c r="C2835" s="8" t="s">
        <v>11050</v>
      </c>
      <c r="D2835" s="8" t="s">
        <v>3163</v>
      </c>
      <c r="E2835" s="8" t="s">
        <v>412</v>
      </c>
      <c r="F2835" s="92" t="s">
        <v>11588</v>
      </c>
      <c r="G2835" t="s">
        <v>11589</v>
      </c>
      <c r="H2835" s="8" t="s">
        <v>82</v>
      </c>
      <c r="I2835" s="8" t="s">
        <v>4039</v>
      </c>
    </row>
    <row r="2836" spans="1:9" ht="14.25" customHeight="1" x14ac:dyDescent="0.25">
      <c r="A2836" s="7" t="s">
        <v>11590</v>
      </c>
      <c r="B2836" s="8" t="s">
        <v>2165</v>
      </c>
      <c r="C2836" s="8" t="s">
        <v>410</v>
      </c>
      <c r="D2836" s="8" t="s">
        <v>3163</v>
      </c>
      <c r="E2836" s="8" t="s">
        <v>412</v>
      </c>
      <c r="F2836" s="92" t="s">
        <v>11591</v>
      </c>
      <c r="G2836" t="s">
        <v>10585</v>
      </c>
      <c r="H2836" s="8" t="s">
        <v>11592</v>
      </c>
      <c r="I2836" s="8" t="s">
        <v>3756</v>
      </c>
    </row>
    <row r="2837" spans="1:9" ht="14.25" customHeight="1" x14ac:dyDescent="0.25">
      <c r="A2837" s="7" t="s">
        <v>11593</v>
      </c>
      <c r="B2837" s="8" t="s">
        <v>4215</v>
      </c>
      <c r="C2837" s="8" t="s">
        <v>1530</v>
      </c>
      <c r="D2837" s="8" t="s">
        <v>411</v>
      </c>
      <c r="E2837" s="8" t="s">
        <v>3890</v>
      </c>
      <c r="F2837" s="92" t="s">
        <v>11594</v>
      </c>
      <c r="G2837" s="94" t="s">
        <v>11595</v>
      </c>
      <c r="H2837" s="8" t="s">
        <v>6255</v>
      </c>
      <c r="I2837" s="8" t="s">
        <v>4039</v>
      </c>
    </row>
    <row r="2838" spans="1:9" ht="14.25" customHeight="1" x14ac:dyDescent="0.25">
      <c r="A2838" s="7" t="s">
        <v>11596</v>
      </c>
      <c r="B2838" s="8" t="s">
        <v>10447</v>
      </c>
      <c r="C2838" s="8" t="s">
        <v>11597</v>
      </c>
      <c r="D2838" s="8" t="s">
        <v>3163</v>
      </c>
      <c r="E2838" s="8" t="s">
        <v>3890</v>
      </c>
      <c r="F2838" s="92" t="s">
        <v>11598</v>
      </c>
      <c r="G2838" s="94" t="s">
        <v>11595</v>
      </c>
      <c r="H2838" s="8" t="s">
        <v>6255</v>
      </c>
      <c r="I2838" s="8" t="s">
        <v>4039</v>
      </c>
    </row>
    <row r="2839" spans="1:9" ht="14.25" customHeight="1" x14ac:dyDescent="0.25">
      <c r="A2839" s="7" t="s">
        <v>11599</v>
      </c>
      <c r="B2839" s="8" t="s">
        <v>2889</v>
      </c>
      <c r="C2839" s="8" t="s">
        <v>11600</v>
      </c>
      <c r="D2839" s="8" t="s">
        <v>3163</v>
      </c>
      <c r="E2839" s="8" t="s">
        <v>412</v>
      </c>
      <c r="F2839" s="92" t="s">
        <v>11601</v>
      </c>
      <c r="G2839" t="s">
        <v>11602</v>
      </c>
      <c r="H2839" s="8" t="s">
        <v>61</v>
      </c>
      <c r="I2839" s="8" t="s">
        <v>3756</v>
      </c>
    </row>
    <row r="2840" spans="1:9" ht="14.25" customHeight="1" x14ac:dyDescent="0.25">
      <c r="A2840" s="7" t="s">
        <v>11604</v>
      </c>
      <c r="B2840" s="8" t="s">
        <v>602</v>
      </c>
      <c r="C2840" s="8" t="s">
        <v>2106</v>
      </c>
      <c r="D2840" s="8" t="s">
        <v>3163</v>
      </c>
      <c r="E2840" s="8" t="s">
        <v>412</v>
      </c>
      <c r="F2840" s="92" t="s">
        <v>11605</v>
      </c>
      <c r="G2840" s="94" t="s">
        <v>11606</v>
      </c>
      <c r="H2840" s="8" t="s">
        <v>7205</v>
      </c>
      <c r="I2840" s="8" t="s">
        <v>4371</v>
      </c>
    </row>
    <row r="2841" spans="1:9" ht="14.25" customHeight="1" x14ac:dyDescent="0.25">
      <c r="A2841" s="7" t="s">
        <v>11607</v>
      </c>
      <c r="B2841" s="8" t="s">
        <v>3078</v>
      </c>
      <c r="C2841" s="8" t="s">
        <v>11609</v>
      </c>
      <c r="D2841" s="8" t="s">
        <v>3163</v>
      </c>
      <c r="E2841" s="8" t="s">
        <v>3890</v>
      </c>
      <c r="F2841" s="92" t="s">
        <v>11610</v>
      </c>
      <c r="G2841" t="s">
        <v>8068</v>
      </c>
      <c r="H2841" s="8" t="s">
        <v>25</v>
      </c>
      <c r="I2841" s="8" t="s">
        <v>3756</v>
      </c>
    </row>
    <row r="2842" spans="1:9" ht="14.25" customHeight="1" x14ac:dyDescent="0.25">
      <c r="A2842" s="7" t="s">
        <v>11608</v>
      </c>
      <c r="B2842" s="8" t="s">
        <v>11611</v>
      </c>
      <c r="C2842" s="8" t="s">
        <v>11612</v>
      </c>
      <c r="D2842" s="8" t="s">
        <v>411</v>
      </c>
      <c r="E2842" s="8" t="s">
        <v>3890</v>
      </c>
      <c r="F2842" s="92" t="s">
        <v>11613</v>
      </c>
      <c r="G2842" t="s">
        <v>8068</v>
      </c>
      <c r="H2842" s="8" t="s">
        <v>25</v>
      </c>
      <c r="I2842" s="8" t="s">
        <v>3756</v>
      </c>
    </row>
    <row r="2843" spans="1:9" ht="14.25" customHeight="1" x14ac:dyDescent="0.25">
      <c r="A2843" s="7" t="s">
        <v>11365</v>
      </c>
      <c r="B2843" s="8" t="s">
        <v>11366</v>
      </c>
      <c r="C2843" s="8" t="s">
        <v>11367</v>
      </c>
      <c r="D2843" s="8" t="s">
        <v>411</v>
      </c>
      <c r="E2843" s="8" t="s">
        <v>412</v>
      </c>
      <c r="F2843" s="12"/>
      <c r="H2843" s="8"/>
      <c r="I2843" s="8" t="s">
        <v>3756</v>
      </c>
    </row>
    <row r="2844" spans="1:9" ht="14.25" customHeight="1" x14ac:dyDescent="0.25">
      <c r="A2844" s="7" t="s">
        <v>11615</v>
      </c>
      <c r="B2844" s="8" t="s">
        <v>6561</v>
      </c>
      <c r="C2844" s="8" t="s">
        <v>11617</v>
      </c>
      <c r="D2844" s="8" t="s">
        <v>411</v>
      </c>
      <c r="E2844" s="8" t="s">
        <v>3890</v>
      </c>
      <c r="F2844" s="92" t="s">
        <v>11618</v>
      </c>
      <c r="G2844" t="s">
        <v>11620</v>
      </c>
      <c r="H2844" s="8" t="s">
        <v>49</v>
      </c>
      <c r="I2844" s="8" t="s">
        <v>4039</v>
      </c>
    </row>
    <row r="2845" spans="1:9" ht="14.25" customHeight="1" x14ac:dyDescent="0.25">
      <c r="A2845" s="7" t="s">
        <v>11616</v>
      </c>
      <c r="B2845" s="8" t="s">
        <v>11621</v>
      </c>
      <c r="C2845" s="8" t="s">
        <v>11622</v>
      </c>
      <c r="D2845" s="8" t="s">
        <v>3163</v>
      </c>
      <c r="E2845" s="8" t="s">
        <v>3890</v>
      </c>
      <c r="F2845" s="92" t="s">
        <v>11619</v>
      </c>
      <c r="G2845" t="s">
        <v>11620</v>
      </c>
      <c r="H2845" s="8" t="s">
        <v>49</v>
      </c>
      <c r="I2845" s="8" t="s">
        <v>4039</v>
      </c>
    </row>
    <row r="2846" spans="1:9" ht="14.25" customHeight="1" x14ac:dyDescent="0.25">
      <c r="A2846" s="7" t="s">
        <v>11623</v>
      </c>
      <c r="B2846" s="8" t="s">
        <v>11627</v>
      </c>
      <c r="C2846" s="8" t="s">
        <v>11624</v>
      </c>
      <c r="D2846" s="8" t="s">
        <v>3163</v>
      </c>
      <c r="E2846" s="8" t="s">
        <v>412</v>
      </c>
      <c r="F2846" s="92" t="s">
        <v>11625</v>
      </c>
      <c r="G2846" t="s">
        <v>11626</v>
      </c>
      <c r="H2846" s="8" t="s">
        <v>49</v>
      </c>
      <c r="I2846" s="8" t="s">
        <v>3756</v>
      </c>
    </row>
    <row r="2847" spans="1:9" ht="14.25" customHeight="1" x14ac:dyDescent="0.25">
      <c r="A2847" s="7" t="s">
        <v>11628</v>
      </c>
      <c r="B2847" s="8" t="s">
        <v>11629</v>
      </c>
      <c r="C2847" s="8" t="s">
        <v>11630</v>
      </c>
      <c r="D2847" s="8" t="s">
        <v>411</v>
      </c>
      <c r="E2847" s="8" t="s">
        <v>412</v>
      </c>
      <c r="F2847" s="92" t="s">
        <v>11632</v>
      </c>
      <c r="G2847" t="s">
        <v>11631</v>
      </c>
      <c r="H2847" s="8" t="s">
        <v>92</v>
      </c>
      <c r="I2847" s="8" t="s">
        <v>3756</v>
      </c>
    </row>
    <row r="2848" spans="1:9" ht="14.25" customHeight="1" x14ac:dyDescent="0.25">
      <c r="A2848" s="7" t="s">
        <v>11614</v>
      </c>
      <c r="B2848" s="8" t="s">
        <v>11633</v>
      </c>
      <c r="C2848" s="8" t="s">
        <v>11634</v>
      </c>
      <c r="D2848" s="8" t="s">
        <v>3163</v>
      </c>
      <c r="E2848" s="8" t="s">
        <v>412</v>
      </c>
      <c r="F2848" s="92" t="s">
        <v>11635</v>
      </c>
      <c r="G2848" t="s">
        <v>11636</v>
      </c>
      <c r="H2848" s="8" t="s">
        <v>72</v>
      </c>
      <c r="I2848" s="8" t="s">
        <v>4039</v>
      </c>
    </row>
    <row r="2849" spans="1:9" ht="14.25" customHeight="1" x14ac:dyDescent="0.25">
      <c r="A2849" s="7" t="s">
        <v>11656</v>
      </c>
      <c r="B2849" s="8" t="s">
        <v>11658</v>
      </c>
      <c r="C2849" s="8" t="s">
        <v>11659</v>
      </c>
      <c r="D2849" s="8" t="s">
        <v>3163</v>
      </c>
      <c r="E2849" s="8" t="s">
        <v>412</v>
      </c>
      <c r="F2849" s="92" t="s">
        <v>11660</v>
      </c>
      <c r="G2849" t="s">
        <v>11661</v>
      </c>
      <c r="H2849" s="8" t="s">
        <v>11662</v>
      </c>
      <c r="I2849" s="8" t="s">
        <v>4039</v>
      </c>
    </row>
    <row r="2850" spans="1:9" ht="14.25" customHeight="1" x14ac:dyDescent="0.25">
      <c r="A2850" s="7" t="s">
        <v>11666</v>
      </c>
      <c r="B2850" s="8" t="s">
        <v>1693</v>
      </c>
      <c r="C2850" s="8" t="s">
        <v>11667</v>
      </c>
      <c r="D2850" s="8" t="s">
        <v>411</v>
      </c>
      <c r="E2850" s="8" t="s">
        <v>3890</v>
      </c>
      <c r="F2850" s="92" t="s">
        <v>11668</v>
      </c>
      <c r="G2850" t="s">
        <v>11669</v>
      </c>
      <c r="H2850" s="8" t="s">
        <v>37</v>
      </c>
      <c r="I2850" s="8" t="s">
        <v>4039</v>
      </c>
    </row>
    <row r="2851" spans="1:9" ht="14.25" customHeight="1" x14ac:dyDescent="0.25">
      <c r="A2851" s="7" t="s">
        <v>11725</v>
      </c>
      <c r="B2851" s="8" t="s">
        <v>11726</v>
      </c>
      <c r="C2851" s="8" t="s">
        <v>11727</v>
      </c>
      <c r="D2851" s="8" t="s">
        <v>3163</v>
      </c>
      <c r="E2851" s="8" t="s">
        <v>3890</v>
      </c>
      <c r="F2851" s="92" t="s">
        <v>11728</v>
      </c>
      <c r="G2851" s="105" t="s">
        <v>11729</v>
      </c>
      <c r="H2851" s="8" t="s">
        <v>2212</v>
      </c>
      <c r="I2851" s="8" t="s">
        <v>3756</v>
      </c>
    </row>
    <row r="2852" spans="1:9" ht="14.25" customHeight="1" x14ac:dyDescent="0.25">
      <c r="A2852" s="7" t="s">
        <v>11670</v>
      </c>
      <c r="B2852" s="8" t="s">
        <v>109</v>
      </c>
      <c r="C2852" s="8" t="s">
        <v>11671</v>
      </c>
      <c r="D2852" s="8" t="s">
        <v>411</v>
      </c>
      <c r="E2852" s="8" t="s">
        <v>412</v>
      </c>
      <c r="F2852" s="92" t="s">
        <v>11672</v>
      </c>
      <c r="G2852" t="s">
        <v>11673</v>
      </c>
      <c r="H2852" s="8" t="s">
        <v>2212</v>
      </c>
      <c r="I2852" s="8" t="s">
        <v>4371</v>
      </c>
    </row>
    <row r="2853" spans="1:9" ht="14.25" customHeight="1" x14ac:dyDescent="0.25">
      <c r="A2853" s="7" t="s">
        <v>11674</v>
      </c>
      <c r="B2853" s="8" t="s">
        <v>2847</v>
      </c>
      <c r="C2853" s="8" t="s">
        <v>11675</v>
      </c>
      <c r="D2853" s="8" t="s">
        <v>411</v>
      </c>
      <c r="E2853" s="8" t="s">
        <v>412</v>
      </c>
      <c r="F2853" s="92" t="s">
        <v>11676</v>
      </c>
      <c r="G2853" t="s">
        <v>11677</v>
      </c>
      <c r="H2853" s="8" t="s">
        <v>4317</v>
      </c>
      <c r="I2853" s="8" t="s">
        <v>4039</v>
      </c>
    </row>
    <row r="2854" spans="1:9" ht="14.25" customHeight="1" x14ac:dyDescent="0.25">
      <c r="A2854" s="7" t="s">
        <v>11678</v>
      </c>
      <c r="B2854" s="8" t="s">
        <v>3791</v>
      </c>
      <c r="C2854" s="8" t="s">
        <v>11680</v>
      </c>
      <c r="D2854" s="8" t="s">
        <v>3163</v>
      </c>
      <c r="E2854" s="8" t="s">
        <v>3890</v>
      </c>
      <c r="F2854" s="92" t="s">
        <v>11681</v>
      </c>
      <c r="G2854" t="s">
        <v>11682</v>
      </c>
      <c r="H2854" s="8" t="s">
        <v>9413</v>
      </c>
      <c r="I2854" s="8" t="s">
        <v>4371</v>
      </c>
    </row>
    <row r="2855" spans="1:9" ht="14.25" customHeight="1" x14ac:dyDescent="0.25">
      <c r="A2855" s="7" t="s">
        <v>11679</v>
      </c>
      <c r="B2855" s="8" t="s">
        <v>4687</v>
      </c>
      <c r="C2855" s="8" t="s">
        <v>11680</v>
      </c>
      <c r="D2855" s="8" t="s">
        <v>411</v>
      </c>
      <c r="E2855" s="8" t="s">
        <v>3890</v>
      </c>
      <c r="F2855" s="12"/>
      <c r="G2855" t="s">
        <v>11682</v>
      </c>
      <c r="H2855" s="8" t="s">
        <v>9413</v>
      </c>
      <c r="I2855" s="8" t="s">
        <v>4371</v>
      </c>
    </row>
    <row r="2856" spans="1:9" ht="14.25" customHeight="1" x14ac:dyDescent="0.25">
      <c r="A2856" s="7" t="s">
        <v>11683</v>
      </c>
      <c r="B2856" s="8" t="s">
        <v>4397</v>
      </c>
      <c r="C2856" s="8" t="s">
        <v>11684</v>
      </c>
      <c r="D2856" s="8" t="s">
        <v>411</v>
      </c>
      <c r="E2856" s="8" t="s">
        <v>412</v>
      </c>
      <c r="F2856" s="92" t="s">
        <v>11685</v>
      </c>
      <c r="G2856" s="8" t="s">
        <v>11686</v>
      </c>
      <c r="H2856" s="8" t="s">
        <v>11687</v>
      </c>
      <c r="I2856" s="8" t="s">
        <v>5347</v>
      </c>
    </row>
    <row r="2857" spans="1:9" ht="14.25" customHeight="1" x14ac:dyDescent="0.25">
      <c r="A2857" s="7" t="s">
        <v>11688</v>
      </c>
      <c r="B2857" s="8" t="s">
        <v>966</v>
      </c>
      <c r="C2857" s="8" t="s">
        <v>2106</v>
      </c>
      <c r="D2857" s="8" t="s">
        <v>3163</v>
      </c>
      <c r="E2857" s="8" t="s">
        <v>3890</v>
      </c>
      <c r="F2857" s="92" t="s">
        <v>11690</v>
      </c>
      <c r="G2857" t="s">
        <v>11691</v>
      </c>
      <c r="H2857" s="8" t="s">
        <v>11692</v>
      </c>
      <c r="I2857" s="8" t="s">
        <v>3756</v>
      </c>
    </row>
    <row r="2858" spans="1:9" ht="14.25" customHeight="1" x14ac:dyDescent="0.25">
      <c r="A2858" s="7" t="s">
        <v>11689</v>
      </c>
      <c r="B2858" s="8" t="s">
        <v>10290</v>
      </c>
      <c r="C2858" s="8" t="s">
        <v>10291</v>
      </c>
      <c r="D2858" s="8" t="s">
        <v>411</v>
      </c>
      <c r="E2858" s="8" t="s">
        <v>3890</v>
      </c>
      <c r="F2858" s="92" t="s">
        <v>11693</v>
      </c>
      <c r="G2858" t="s">
        <v>11691</v>
      </c>
      <c r="H2858" s="8" t="s">
        <v>11692</v>
      </c>
      <c r="I2858" s="8" t="s">
        <v>3756</v>
      </c>
    </row>
    <row r="2859" spans="1:9" ht="14.25" customHeight="1" x14ac:dyDescent="0.25">
      <c r="A2859" s="7" t="s">
        <v>11694</v>
      </c>
      <c r="B2859" s="8" t="s">
        <v>11696</v>
      </c>
      <c r="C2859" s="8" t="s">
        <v>11697</v>
      </c>
      <c r="D2859" s="8" t="s">
        <v>3163</v>
      </c>
      <c r="E2859" s="8" t="s">
        <v>3890</v>
      </c>
      <c r="F2859" s="92" t="s">
        <v>11698</v>
      </c>
      <c r="G2859" t="s">
        <v>11699</v>
      </c>
      <c r="H2859" s="8" t="s">
        <v>4651</v>
      </c>
      <c r="I2859" s="8" t="s">
        <v>3756</v>
      </c>
    </row>
    <row r="2860" spans="1:9" ht="14.25" customHeight="1" x14ac:dyDescent="0.25">
      <c r="A2860" s="7" t="s">
        <v>11695</v>
      </c>
      <c r="B2860" s="8" t="s">
        <v>11700</v>
      </c>
      <c r="C2860" s="8" t="s">
        <v>11701</v>
      </c>
      <c r="D2860" s="8" t="s">
        <v>411</v>
      </c>
      <c r="E2860" s="8" t="s">
        <v>3890</v>
      </c>
      <c r="F2860" s="92" t="s">
        <v>11698</v>
      </c>
      <c r="G2860" t="s">
        <v>11699</v>
      </c>
      <c r="H2860" s="8" t="s">
        <v>4651</v>
      </c>
      <c r="I2860" s="8" t="s">
        <v>3756</v>
      </c>
    </row>
    <row r="2861" spans="1:9" ht="14.25" customHeight="1" x14ac:dyDescent="0.25">
      <c r="A2861" s="7" t="s">
        <v>11702</v>
      </c>
      <c r="B2861" s="8" t="s">
        <v>11703</v>
      </c>
      <c r="C2861" s="8" t="s">
        <v>11704</v>
      </c>
      <c r="D2861" s="8" t="s">
        <v>411</v>
      </c>
      <c r="E2861" s="8" t="s">
        <v>412</v>
      </c>
      <c r="F2861" s="92" t="s">
        <v>11705</v>
      </c>
      <c r="G2861" t="s">
        <v>11706</v>
      </c>
      <c r="H2861" s="8" t="s">
        <v>2212</v>
      </c>
      <c r="I2861" s="8" t="s">
        <v>4371</v>
      </c>
    </row>
    <row r="2862" spans="1:9" ht="14.25" customHeight="1" x14ac:dyDescent="0.25">
      <c r="A2862" s="7" t="s">
        <v>11707</v>
      </c>
      <c r="B2862" s="8" t="s">
        <v>5909</v>
      </c>
      <c r="C2862" s="8" t="s">
        <v>4247</v>
      </c>
      <c r="D2862" s="8" t="s">
        <v>3163</v>
      </c>
      <c r="E2862" s="8" t="s">
        <v>3890</v>
      </c>
      <c r="F2862" s="92" t="s">
        <v>11711</v>
      </c>
      <c r="G2862" t="s">
        <v>11713</v>
      </c>
      <c r="H2862" s="8" t="s">
        <v>5613</v>
      </c>
      <c r="I2862" s="8" t="s">
        <v>4371</v>
      </c>
    </row>
    <row r="2863" spans="1:9" ht="14.25" customHeight="1" x14ac:dyDescent="0.25">
      <c r="A2863" s="7" t="s">
        <v>11708</v>
      </c>
      <c r="B2863" s="8" t="s">
        <v>11709</v>
      </c>
      <c r="C2863" s="8" t="s">
        <v>11710</v>
      </c>
      <c r="D2863" s="8" t="s">
        <v>411</v>
      </c>
      <c r="E2863" s="8" t="s">
        <v>3890</v>
      </c>
      <c r="F2863" s="92" t="s">
        <v>11712</v>
      </c>
      <c r="G2863" t="s">
        <v>11713</v>
      </c>
      <c r="H2863" s="8" t="s">
        <v>5613</v>
      </c>
      <c r="I2863" s="8" t="s">
        <v>4371</v>
      </c>
    </row>
    <row r="2864" spans="1:9" ht="14.25" customHeight="1" x14ac:dyDescent="0.25">
      <c r="A2864" s="7" t="s">
        <v>11714</v>
      </c>
      <c r="B2864" s="8" t="s">
        <v>57</v>
      </c>
      <c r="C2864" s="8" t="s">
        <v>11716</v>
      </c>
      <c r="D2864" s="8" t="s">
        <v>3163</v>
      </c>
      <c r="E2864" s="8" t="s">
        <v>3890</v>
      </c>
      <c r="F2864" s="12"/>
      <c r="G2864" s="8" t="s">
        <v>11718</v>
      </c>
      <c r="H2864" s="8" t="s">
        <v>2212</v>
      </c>
      <c r="I2864" s="8" t="s">
        <v>4039</v>
      </c>
    </row>
    <row r="2865" spans="1:9" ht="14.25" customHeight="1" x14ac:dyDescent="0.25">
      <c r="A2865" s="7" t="s">
        <v>11715</v>
      </c>
      <c r="B2865" s="8" t="s">
        <v>685</v>
      </c>
      <c r="C2865" s="8" t="s">
        <v>11716</v>
      </c>
      <c r="D2865" s="8" t="s">
        <v>411</v>
      </c>
      <c r="E2865" s="8" t="s">
        <v>3890</v>
      </c>
      <c r="F2865" s="92" t="s">
        <v>11717</v>
      </c>
      <c r="G2865" s="8" t="s">
        <v>11718</v>
      </c>
      <c r="H2865" s="8" t="s">
        <v>2212</v>
      </c>
      <c r="I2865" s="8" t="s">
        <v>4039</v>
      </c>
    </row>
    <row r="2866" spans="1:9" ht="14.25" customHeight="1" x14ac:dyDescent="0.25">
      <c r="A2866" s="7" t="s">
        <v>11719</v>
      </c>
      <c r="B2866" s="8" t="s">
        <v>11720</v>
      </c>
      <c r="C2866" s="8" t="s">
        <v>11721</v>
      </c>
      <c r="D2866" s="8" t="s">
        <v>3163</v>
      </c>
      <c r="E2866" s="8" t="s">
        <v>412</v>
      </c>
      <c r="F2866" s="92" t="s">
        <v>11723</v>
      </c>
      <c r="G2866" t="s">
        <v>11722</v>
      </c>
      <c r="H2866" s="8" t="s">
        <v>11724</v>
      </c>
      <c r="I2866" s="8" t="s">
        <v>3756</v>
      </c>
    </row>
    <row r="2867" spans="1:9" ht="14.25" customHeight="1" x14ac:dyDescent="0.25">
      <c r="A2867" s="7" t="s">
        <v>11731</v>
      </c>
      <c r="B2867" s="8" t="s">
        <v>3109</v>
      </c>
      <c r="C2867" s="8" t="s">
        <v>5500</v>
      </c>
      <c r="D2867" s="8" t="s">
        <v>411</v>
      </c>
      <c r="E2867" s="8" t="s">
        <v>3890</v>
      </c>
      <c r="F2867" s="92" t="s">
        <v>11732</v>
      </c>
      <c r="G2867" t="s">
        <v>11733</v>
      </c>
      <c r="H2867" s="8" t="s">
        <v>10091</v>
      </c>
      <c r="I2867" s="8" t="s">
        <v>4039</v>
      </c>
    </row>
    <row r="2868" spans="1:9" ht="14.25" customHeight="1" x14ac:dyDescent="0.25">
      <c r="A2868" s="7" t="s">
        <v>11730</v>
      </c>
      <c r="B2868" s="8" t="s">
        <v>10503</v>
      </c>
      <c r="C2868" s="8" t="s">
        <v>11734</v>
      </c>
      <c r="D2868" s="8" t="s">
        <v>3163</v>
      </c>
      <c r="E2868" s="8" t="s">
        <v>3890</v>
      </c>
      <c r="F2868" s="92" t="s">
        <v>11735</v>
      </c>
      <c r="G2868" t="s">
        <v>11733</v>
      </c>
      <c r="H2868" s="8" t="s">
        <v>10091</v>
      </c>
      <c r="I2868" s="8" t="s">
        <v>4039</v>
      </c>
    </row>
    <row r="2869" spans="1:9" ht="14.25" customHeight="1" x14ac:dyDescent="0.25">
      <c r="A2869" s="7" t="s">
        <v>11736</v>
      </c>
      <c r="B2869" s="8" t="s">
        <v>3109</v>
      </c>
      <c r="C2869" s="8" t="s">
        <v>11737</v>
      </c>
      <c r="D2869" s="8" t="s">
        <v>411</v>
      </c>
      <c r="E2869" s="8" t="s">
        <v>412</v>
      </c>
      <c r="F2869" s="92" t="s">
        <v>11738</v>
      </c>
      <c r="G2869" t="s">
        <v>11739</v>
      </c>
      <c r="H2869" s="8" t="s">
        <v>7403</v>
      </c>
      <c r="I2869" s="8" t="s">
        <v>3756</v>
      </c>
    </row>
    <row r="2870" spans="1:9" ht="14.25" customHeight="1" x14ac:dyDescent="0.25">
      <c r="A2870" s="7" t="s">
        <v>11740</v>
      </c>
      <c r="B2870" s="8" t="s">
        <v>6711</v>
      </c>
      <c r="C2870" s="8" t="s">
        <v>11741</v>
      </c>
      <c r="D2870" s="8" t="s">
        <v>411</v>
      </c>
      <c r="E2870" s="8" t="s">
        <v>412</v>
      </c>
      <c r="F2870" s="92" t="s">
        <v>11742</v>
      </c>
      <c r="G2870" t="s">
        <v>11743</v>
      </c>
      <c r="H2870" s="8" t="s">
        <v>3918</v>
      </c>
      <c r="I2870" s="8" t="s">
        <v>4039</v>
      </c>
    </row>
    <row r="2871" spans="1:9" ht="14.25" customHeight="1" x14ac:dyDescent="0.25">
      <c r="A2871" s="7" t="s">
        <v>11744</v>
      </c>
      <c r="B2871" s="8" t="s">
        <v>3835</v>
      </c>
      <c r="C2871" s="8" t="s">
        <v>276</v>
      </c>
      <c r="D2871" s="8" t="s">
        <v>3163</v>
      </c>
      <c r="E2871" s="8" t="s">
        <v>3890</v>
      </c>
      <c r="F2871" s="92" t="s">
        <v>11746</v>
      </c>
      <c r="G2871" t="s">
        <v>11747</v>
      </c>
      <c r="H2871" s="8" t="s">
        <v>37</v>
      </c>
      <c r="I2871" s="8" t="s">
        <v>4039</v>
      </c>
    </row>
    <row r="2872" spans="1:9" ht="14.25" customHeight="1" x14ac:dyDescent="0.25">
      <c r="A2872" s="7" t="s">
        <v>11745</v>
      </c>
      <c r="B2872" s="8" t="s">
        <v>1651</v>
      </c>
      <c r="C2872" s="8" t="s">
        <v>11748</v>
      </c>
      <c r="D2872" s="8" t="s">
        <v>411</v>
      </c>
      <c r="E2872" s="8" t="s">
        <v>3890</v>
      </c>
      <c r="F2872" s="12"/>
      <c r="G2872" t="s">
        <v>11747</v>
      </c>
      <c r="H2872" s="8" t="s">
        <v>37</v>
      </c>
      <c r="I2872" s="8" t="s">
        <v>4039</v>
      </c>
    </row>
    <row r="2873" spans="1:9" ht="14.25" customHeight="1" x14ac:dyDescent="0.25">
      <c r="A2873" s="7" t="s">
        <v>11749</v>
      </c>
      <c r="B2873" s="8" t="s">
        <v>11750</v>
      </c>
      <c r="C2873" s="8" t="s">
        <v>2255</v>
      </c>
      <c r="D2873" s="8" t="s">
        <v>3163</v>
      </c>
      <c r="E2873" s="8" t="s">
        <v>412</v>
      </c>
      <c r="F2873" s="92" t="s">
        <v>11751</v>
      </c>
      <c r="G2873" t="s">
        <v>11752</v>
      </c>
      <c r="H2873" s="8" t="s">
        <v>7403</v>
      </c>
      <c r="I2873" s="8" t="s">
        <v>4039</v>
      </c>
    </row>
    <row r="2874" spans="1:9" ht="14.25" customHeight="1" x14ac:dyDescent="0.25">
      <c r="A2874" s="7" t="s">
        <v>11753</v>
      </c>
      <c r="B2874" s="8" t="s">
        <v>11755</v>
      </c>
      <c r="C2874" s="8" t="s">
        <v>11756</v>
      </c>
      <c r="D2874" s="8" t="s">
        <v>3163</v>
      </c>
      <c r="E2874" s="8" t="s">
        <v>412</v>
      </c>
      <c r="F2874" s="92" t="s">
        <v>11757</v>
      </c>
      <c r="G2874" t="s">
        <v>11758</v>
      </c>
      <c r="H2874" s="8" t="s">
        <v>72</v>
      </c>
      <c r="I2874" s="8" t="s">
        <v>4039</v>
      </c>
    </row>
    <row r="2875" spans="1:9" ht="14.25" customHeight="1" x14ac:dyDescent="0.25">
      <c r="A2875" s="7" t="s">
        <v>11761</v>
      </c>
      <c r="B2875" s="8" t="s">
        <v>7491</v>
      </c>
      <c r="C2875" s="8" t="s">
        <v>11762</v>
      </c>
      <c r="D2875" s="8" t="s">
        <v>3163</v>
      </c>
      <c r="E2875" s="8" t="s">
        <v>412</v>
      </c>
      <c r="F2875" s="92" t="s">
        <v>11763</v>
      </c>
      <c r="G2875" t="s">
        <v>11764</v>
      </c>
      <c r="H2875" s="8" t="s">
        <v>11765</v>
      </c>
      <c r="I2875" s="8" t="s">
        <v>3756</v>
      </c>
    </row>
    <row r="2876" spans="1:9" ht="14.25" customHeight="1" x14ac:dyDescent="0.25">
      <c r="A2876" s="7" t="s">
        <v>11766</v>
      </c>
      <c r="B2876" s="8" t="s">
        <v>4840</v>
      </c>
      <c r="C2876" s="8" t="s">
        <v>11767</v>
      </c>
      <c r="D2876" s="8" t="s">
        <v>411</v>
      </c>
      <c r="E2876" s="8" t="s">
        <v>412</v>
      </c>
      <c r="F2876" s="92" t="s">
        <v>11768</v>
      </c>
      <c r="G2876" t="s">
        <v>11769</v>
      </c>
      <c r="H2876" s="8" t="s">
        <v>37</v>
      </c>
      <c r="I2876" s="8" t="s">
        <v>3756</v>
      </c>
    </row>
    <row r="2877" spans="1:9" ht="14.25" customHeight="1" x14ac:dyDescent="0.25">
      <c r="A2877" s="7" t="s">
        <v>11770</v>
      </c>
      <c r="B2877" s="8" t="s">
        <v>7921</v>
      </c>
      <c r="C2877" s="8" t="s">
        <v>519</v>
      </c>
      <c r="D2877" s="8" t="s">
        <v>411</v>
      </c>
      <c r="E2877" s="8" t="s">
        <v>412</v>
      </c>
      <c r="F2877" s="92" t="s">
        <v>11771</v>
      </c>
      <c r="G2877" t="s">
        <v>11772</v>
      </c>
      <c r="H2877" s="8" t="s">
        <v>3815</v>
      </c>
      <c r="I2877" s="8" t="s">
        <v>4039</v>
      </c>
    </row>
    <row r="2878" spans="1:9" ht="14.25" customHeight="1" x14ac:dyDescent="0.25">
      <c r="A2878" s="7" t="s">
        <v>11773</v>
      </c>
      <c r="B2878" s="8" t="s">
        <v>68</v>
      </c>
      <c r="C2878" s="8" t="s">
        <v>11774</v>
      </c>
      <c r="D2878" s="8" t="s">
        <v>411</v>
      </c>
      <c r="E2878" s="8" t="s">
        <v>412</v>
      </c>
      <c r="F2878" s="92" t="s">
        <v>11775</v>
      </c>
      <c r="G2878" s="8" t="s">
        <v>11631</v>
      </c>
      <c r="H2878" s="8" t="s">
        <v>92</v>
      </c>
      <c r="I2878" s="8" t="s">
        <v>3756</v>
      </c>
    </row>
    <row r="2879" spans="1:9" ht="14.25" customHeight="1" x14ac:dyDescent="0.25">
      <c r="A2879" s="7" t="s">
        <v>11776</v>
      </c>
      <c r="B2879" s="8" t="s">
        <v>2382</v>
      </c>
      <c r="C2879" s="8" t="s">
        <v>11777</v>
      </c>
      <c r="D2879" s="8" t="s">
        <v>411</v>
      </c>
      <c r="E2879" s="8" t="s">
        <v>412</v>
      </c>
      <c r="F2879" s="92" t="s">
        <v>11778</v>
      </c>
      <c r="H2879" s="8" t="s">
        <v>20</v>
      </c>
      <c r="I2879" s="8" t="s">
        <v>3756</v>
      </c>
    </row>
    <row r="2880" spans="1:9" ht="14.25" customHeight="1" x14ac:dyDescent="0.25">
      <c r="A2880" s="7" t="s">
        <v>11779</v>
      </c>
      <c r="B2880" s="8" t="s">
        <v>2502</v>
      </c>
      <c r="C2880" s="8" t="s">
        <v>11780</v>
      </c>
      <c r="D2880" s="8" t="s">
        <v>3163</v>
      </c>
      <c r="E2880" s="8" t="s">
        <v>412</v>
      </c>
      <c r="F2880" s="92" t="s">
        <v>11781</v>
      </c>
      <c r="H2880" s="8" t="s">
        <v>20</v>
      </c>
      <c r="I2880" s="8" t="s">
        <v>3756</v>
      </c>
    </row>
    <row r="2881" spans="1:9" ht="14.25" customHeight="1" x14ac:dyDescent="0.25">
      <c r="A2881" s="7" t="s">
        <v>11782</v>
      </c>
      <c r="B2881" s="8" t="s">
        <v>6303</v>
      </c>
      <c r="C2881" s="8" t="s">
        <v>11783</v>
      </c>
      <c r="D2881" s="8" t="s">
        <v>3163</v>
      </c>
      <c r="E2881" s="8" t="s">
        <v>3890</v>
      </c>
      <c r="F2881" s="92" t="s">
        <v>11784</v>
      </c>
      <c r="G2881" s="8" t="s">
        <v>10433</v>
      </c>
      <c r="H2881" s="8" t="s">
        <v>82</v>
      </c>
      <c r="I2881" s="8" t="s">
        <v>3756</v>
      </c>
    </row>
    <row r="2882" spans="1:9" ht="14.25" customHeight="1" x14ac:dyDescent="0.25">
      <c r="A2882" s="7" t="s">
        <v>11785</v>
      </c>
      <c r="B2882" s="8" t="s">
        <v>3762</v>
      </c>
      <c r="C2882" s="8" t="s">
        <v>12040</v>
      </c>
      <c r="D2882" s="8" t="s">
        <v>411</v>
      </c>
      <c r="E2882" s="8" t="s">
        <v>412</v>
      </c>
      <c r="F2882" s="92" t="s">
        <v>11786</v>
      </c>
      <c r="G2882" t="s">
        <v>11787</v>
      </c>
      <c r="H2882" s="8" t="s">
        <v>11788</v>
      </c>
      <c r="I2882" s="8" t="s">
        <v>4039</v>
      </c>
    </row>
    <row r="2883" spans="1:9" ht="14.25" customHeight="1" x14ac:dyDescent="0.25">
      <c r="A2883" s="7" t="s">
        <v>11789</v>
      </c>
      <c r="B2883" s="8" t="s">
        <v>11791</v>
      </c>
      <c r="C2883" s="8" t="s">
        <v>5725</v>
      </c>
      <c r="D2883" s="8" t="s">
        <v>411</v>
      </c>
      <c r="E2883" s="8" t="s">
        <v>3890</v>
      </c>
      <c r="F2883" s="92" t="s">
        <v>11792</v>
      </c>
      <c r="G2883" t="s">
        <v>11793</v>
      </c>
      <c r="H2883" s="8" t="s">
        <v>61</v>
      </c>
      <c r="I2883" s="8" t="s">
        <v>4039</v>
      </c>
    </row>
    <row r="2884" spans="1:9" ht="14.25" customHeight="1" x14ac:dyDescent="0.25">
      <c r="A2884" s="7" t="s">
        <v>11790</v>
      </c>
      <c r="B2884" s="8" t="s">
        <v>2502</v>
      </c>
      <c r="C2884" s="8" t="s">
        <v>11794</v>
      </c>
      <c r="D2884" s="8" t="s">
        <v>3163</v>
      </c>
      <c r="E2884" s="8" t="s">
        <v>3890</v>
      </c>
      <c r="F2884" s="92" t="s">
        <v>11795</v>
      </c>
      <c r="G2884" t="s">
        <v>11793</v>
      </c>
      <c r="H2884" s="8" t="s">
        <v>61</v>
      </c>
      <c r="I2884" s="8" t="s">
        <v>4039</v>
      </c>
    </row>
    <row r="2885" spans="1:9" ht="14.25" customHeight="1" x14ac:dyDescent="0.25">
      <c r="A2885" s="7" t="s">
        <v>11797</v>
      </c>
      <c r="B2885" s="8" t="s">
        <v>3718</v>
      </c>
      <c r="C2885" s="8" t="s">
        <v>11798</v>
      </c>
      <c r="D2885" s="8" t="s">
        <v>411</v>
      </c>
      <c r="E2885" s="8" t="s">
        <v>412</v>
      </c>
      <c r="F2885" s="92" t="s">
        <v>11799</v>
      </c>
      <c r="G2885" t="s">
        <v>11800</v>
      </c>
      <c r="H2885" s="8" t="s">
        <v>2212</v>
      </c>
      <c r="I2885" s="8" t="s">
        <v>4039</v>
      </c>
    </row>
    <row r="2886" spans="1:9" ht="14.25" customHeight="1" x14ac:dyDescent="0.25">
      <c r="A2886" s="7" t="s">
        <v>11801</v>
      </c>
      <c r="B2886" s="8" t="s">
        <v>11802</v>
      </c>
      <c r="C2886" s="8" t="s">
        <v>11803</v>
      </c>
      <c r="D2886" s="8" t="s">
        <v>411</v>
      </c>
      <c r="E2886" s="8" t="s">
        <v>412</v>
      </c>
      <c r="F2886" s="92" t="s">
        <v>11804</v>
      </c>
      <c r="G2886" t="s">
        <v>11805</v>
      </c>
      <c r="H2886" s="8" t="s">
        <v>92</v>
      </c>
      <c r="I2886" s="8" t="s">
        <v>4039</v>
      </c>
    </row>
    <row r="2887" spans="1:9" ht="14.25" customHeight="1" x14ac:dyDescent="0.25">
      <c r="A2887" s="7" t="s">
        <v>11806</v>
      </c>
      <c r="B2887" s="8" t="s">
        <v>4239</v>
      </c>
      <c r="C2887" s="8" t="s">
        <v>11807</v>
      </c>
      <c r="D2887" s="8" t="s">
        <v>3163</v>
      </c>
      <c r="E2887" s="8" t="s">
        <v>412</v>
      </c>
      <c r="F2887" s="92" t="s">
        <v>11808</v>
      </c>
      <c r="G2887" t="s">
        <v>11809</v>
      </c>
      <c r="H2887" s="8" t="s">
        <v>4059</v>
      </c>
      <c r="I2887" s="8" t="s">
        <v>4039</v>
      </c>
    </row>
    <row r="2888" spans="1:9" ht="14.25" customHeight="1" x14ac:dyDescent="0.25">
      <c r="A2888" s="7" t="s">
        <v>11810</v>
      </c>
      <c r="B2888" s="8" t="s">
        <v>11811</v>
      </c>
      <c r="C2888" s="8" t="s">
        <v>11812</v>
      </c>
      <c r="D2888" s="8" t="s">
        <v>411</v>
      </c>
      <c r="E2888" s="8" t="s">
        <v>412</v>
      </c>
      <c r="F2888" s="92" t="s">
        <v>11813</v>
      </c>
      <c r="G2888" t="s">
        <v>11814</v>
      </c>
      <c r="H2888" s="8" t="s">
        <v>25</v>
      </c>
      <c r="I2888" s="8" t="s">
        <v>3756</v>
      </c>
    </row>
    <row r="2889" spans="1:9" ht="14.25" customHeight="1" x14ac:dyDescent="0.25">
      <c r="A2889" s="7" t="s">
        <v>11816</v>
      </c>
      <c r="B2889" s="8" t="s">
        <v>11818</v>
      </c>
      <c r="C2889" s="8" t="s">
        <v>11819</v>
      </c>
      <c r="D2889" s="8" t="s">
        <v>411</v>
      </c>
      <c r="E2889" s="8" t="s">
        <v>3890</v>
      </c>
      <c r="F2889" s="92" t="s">
        <v>11822</v>
      </c>
      <c r="G2889" t="s">
        <v>8250</v>
      </c>
      <c r="H2889" s="8" t="s">
        <v>61</v>
      </c>
      <c r="I2889" s="8" t="s">
        <v>3756</v>
      </c>
    </row>
    <row r="2890" spans="1:9" ht="14.25" customHeight="1" x14ac:dyDescent="0.25">
      <c r="A2890" s="7" t="s">
        <v>11817</v>
      </c>
      <c r="B2890" s="8" t="s">
        <v>3874</v>
      </c>
      <c r="C2890" s="8" t="s">
        <v>11820</v>
      </c>
      <c r="D2890" s="8" t="s">
        <v>3163</v>
      </c>
      <c r="E2890" s="8" t="s">
        <v>3890</v>
      </c>
      <c r="F2890" s="92" t="s">
        <v>11821</v>
      </c>
      <c r="G2890" t="s">
        <v>8250</v>
      </c>
      <c r="H2890" s="8" t="s">
        <v>61</v>
      </c>
      <c r="I2890" s="8" t="s">
        <v>3756</v>
      </c>
    </row>
    <row r="2891" spans="1:9" ht="14.25" customHeight="1" x14ac:dyDescent="0.25">
      <c r="A2891" s="7" t="s">
        <v>11823</v>
      </c>
      <c r="B2891" s="8" t="s">
        <v>11825</v>
      </c>
      <c r="C2891" s="8" t="s">
        <v>11826</v>
      </c>
      <c r="D2891" s="8" t="s">
        <v>3163</v>
      </c>
      <c r="E2891" s="8" t="s">
        <v>3890</v>
      </c>
      <c r="F2891" s="92" t="s">
        <v>11827</v>
      </c>
      <c r="G2891" t="s">
        <v>11828</v>
      </c>
      <c r="H2891" s="8" t="s">
        <v>72</v>
      </c>
      <c r="I2891" s="8" t="s">
        <v>4039</v>
      </c>
    </row>
    <row r="2892" spans="1:9" ht="14.25" customHeight="1" x14ac:dyDescent="0.25">
      <c r="A2892" s="7" t="s">
        <v>11824</v>
      </c>
      <c r="B2892" s="8" t="s">
        <v>11830</v>
      </c>
      <c r="C2892" s="8" t="s">
        <v>11831</v>
      </c>
      <c r="D2892" s="8" t="s">
        <v>411</v>
      </c>
      <c r="E2892" s="8" t="s">
        <v>3890</v>
      </c>
      <c r="F2892" s="92" t="s">
        <v>11829</v>
      </c>
      <c r="G2892" t="s">
        <v>11828</v>
      </c>
      <c r="H2892" s="8" t="s">
        <v>72</v>
      </c>
      <c r="I2892" s="8" t="s">
        <v>4039</v>
      </c>
    </row>
    <row r="2893" spans="1:9" ht="14.25" customHeight="1" x14ac:dyDescent="0.25">
      <c r="A2893" s="7" t="s">
        <v>11832</v>
      </c>
      <c r="B2893" s="8" t="s">
        <v>4881</v>
      </c>
      <c r="C2893" s="8" t="s">
        <v>2832</v>
      </c>
      <c r="D2893" s="8" t="s">
        <v>411</v>
      </c>
      <c r="E2893" s="8" t="s">
        <v>412</v>
      </c>
      <c r="F2893" s="92" t="s">
        <v>11833</v>
      </c>
      <c r="G2893" t="s">
        <v>11834</v>
      </c>
      <c r="H2893" s="8" t="s">
        <v>3918</v>
      </c>
      <c r="I2893" s="8" t="s">
        <v>4039</v>
      </c>
    </row>
    <row r="2894" spans="1:9" ht="14.25" customHeight="1" x14ac:dyDescent="0.25">
      <c r="A2894" s="21" t="s">
        <v>11939</v>
      </c>
      <c r="B2894" s="8" t="s">
        <v>532</v>
      </c>
      <c r="C2894" s="8" t="s">
        <v>2832</v>
      </c>
      <c r="D2894" s="8" t="s">
        <v>3163</v>
      </c>
      <c r="E2894" s="8" t="s">
        <v>412</v>
      </c>
      <c r="F2894" s="92" t="s">
        <v>11837</v>
      </c>
      <c r="G2894" t="s">
        <v>11835</v>
      </c>
      <c r="H2894" s="8" t="s">
        <v>11836</v>
      </c>
      <c r="I2894" s="8" t="s">
        <v>4039</v>
      </c>
    </row>
    <row r="2895" spans="1:9" ht="14.25" customHeight="1" x14ac:dyDescent="0.25">
      <c r="A2895" s="7" t="s">
        <v>11838</v>
      </c>
      <c r="B2895" s="8" t="s">
        <v>3121</v>
      </c>
      <c r="C2895" s="8" t="s">
        <v>11839</v>
      </c>
      <c r="D2895" s="8" t="s">
        <v>411</v>
      </c>
      <c r="E2895" s="8" t="s">
        <v>412</v>
      </c>
      <c r="F2895" s="92" t="s">
        <v>11840</v>
      </c>
      <c r="G2895" t="s">
        <v>11841</v>
      </c>
      <c r="H2895" s="8" t="s">
        <v>15</v>
      </c>
      <c r="I2895" s="8" t="s">
        <v>4039</v>
      </c>
    </row>
    <row r="2896" spans="1:9" ht="14.25" customHeight="1" x14ac:dyDescent="0.25">
      <c r="A2896" s="7" t="s">
        <v>11842</v>
      </c>
      <c r="B2896" s="8" t="s">
        <v>1279</v>
      </c>
      <c r="C2896" s="8" t="s">
        <v>11845</v>
      </c>
      <c r="D2896" s="8" t="s">
        <v>411</v>
      </c>
      <c r="E2896" s="8" t="s">
        <v>3890</v>
      </c>
      <c r="F2896" s="92" t="s">
        <v>11846</v>
      </c>
      <c r="G2896" t="s">
        <v>11848</v>
      </c>
      <c r="H2896" s="8" t="s">
        <v>5772</v>
      </c>
      <c r="I2896" s="8" t="s">
        <v>4371</v>
      </c>
    </row>
    <row r="2897" spans="1:9" ht="14.25" customHeight="1" x14ac:dyDescent="0.25">
      <c r="A2897" s="7" t="s">
        <v>11843</v>
      </c>
      <c r="B2897" s="8" t="s">
        <v>11844</v>
      </c>
      <c r="C2897" s="8" t="s">
        <v>5866</v>
      </c>
      <c r="D2897" s="8" t="s">
        <v>3163</v>
      </c>
      <c r="E2897" s="8" t="s">
        <v>3890</v>
      </c>
      <c r="F2897" s="92" t="s">
        <v>11847</v>
      </c>
      <c r="G2897" t="s">
        <v>11848</v>
      </c>
      <c r="H2897" s="8" t="s">
        <v>5772</v>
      </c>
      <c r="I2897" s="8" t="s">
        <v>4371</v>
      </c>
    </row>
    <row r="2898" spans="1:9" ht="14.25" customHeight="1" x14ac:dyDescent="0.25">
      <c r="A2898" s="7" t="s">
        <v>11849</v>
      </c>
      <c r="B2898" s="8" t="s">
        <v>3361</v>
      </c>
      <c r="C2898" s="8" t="s">
        <v>5866</v>
      </c>
      <c r="D2898" s="8" t="s">
        <v>3163</v>
      </c>
      <c r="E2898" s="8" t="s">
        <v>412</v>
      </c>
      <c r="F2898" s="92" t="s">
        <v>11846</v>
      </c>
      <c r="G2898" t="s">
        <v>11850</v>
      </c>
      <c r="H2898" s="8" t="s">
        <v>5013</v>
      </c>
      <c r="I2898" s="8" t="s">
        <v>4371</v>
      </c>
    </row>
    <row r="2899" spans="1:9" ht="14.25" customHeight="1" x14ac:dyDescent="0.25">
      <c r="A2899" s="7" t="s">
        <v>11851</v>
      </c>
      <c r="B2899" s="8" t="s">
        <v>11852</v>
      </c>
      <c r="C2899" s="8" t="s">
        <v>2919</v>
      </c>
      <c r="D2899" s="8" t="s">
        <v>3163</v>
      </c>
      <c r="E2899" s="8" t="s">
        <v>412</v>
      </c>
      <c r="F2899" s="92" t="s">
        <v>11854</v>
      </c>
      <c r="G2899" t="s">
        <v>11853</v>
      </c>
      <c r="H2899" s="8" t="s">
        <v>11855</v>
      </c>
      <c r="I2899" s="8" t="s">
        <v>4039</v>
      </c>
    </row>
    <row r="2900" spans="1:9" ht="14.25" customHeight="1" x14ac:dyDescent="0.25">
      <c r="A2900" s="7" t="s">
        <v>11856</v>
      </c>
      <c r="B2900" s="8" t="s">
        <v>2543</v>
      </c>
      <c r="C2900" s="8" t="s">
        <v>11857</v>
      </c>
      <c r="D2900" s="8" t="s">
        <v>3163</v>
      </c>
      <c r="E2900" s="8" t="s">
        <v>412</v>
      </c>
      <c r="F2900" s="92" t="s">
        <v>11858</v>
      </c>
      <c r="G2900" t="s">
        <v>11859</v>
      </c>
      <c r="H2900" s="8" t="s">
        <v>61</v>
      </c>
      <c r="I2900" s="8" t="s">
        <v>4039</v>
      </c>
    </row>
    <row r="2901" spans="1:9" ht="14.25" customHeight="1" x14ac:dyDescent="0.25">
      <c r="A2901" s="19" t="s">
        <v>12090</v>
      </c>
      <c r="B2901" s="8" t="s">
        <v>11860</v>
      </c>
      <c r="C2901" s="8" t="s">
        <v>11861</v>
      </c>
      <c r="D2901" s="8" t="s">
        <v>3163</v>
      </c>
      <c r="E2901" s="8" t="s">
        <v>412</v>
      </c>
      <c r="F2901" s="92" t="s">
        <v>11862</v>
      </c>
      <c r="G2901" t="s">
        <v>11863</v>
      </c>
      <c r="H2901" s="8" t="s">
        <v>5613</v>
      </c>
      <c r="I2901" s="8" t="s">
        <v>3756</v>
      </c>
    </row>
    <row r="2902" spans="1:9" ht="14.25" customHeight="1" x14ac:dyDescent="0.25">
      <c r="A2902" s="7" t="s">
        <v>11864</v>
      </c>
      <c r="B2902" s="8" t="s">
        <v>2070</v>
      </c>
      <c r="C2902" s="8" t="s">
        <v>11865</v>
      </c>
      <c r="D2902" s="8" t="s">
        <v>411</v>
      </c>
      <c r="E2902" s="8" t="s">
        <v>412</v>
      </c>
      <c r="F2902" s="92" t="s">
        <v>11866</v>
      </c>
      <c r="G2902" t="s">
        <v>11867</v>
      </c>
      <c r="H2902" s="8" t="s">
        <v>102</v>
      </c>
      <c r="I2902" s="8" t="s">
        <v>3756</v>
      </c>
    </row>
    <row r="2903" spans="1:9" ht="14.25" customHeight="1" x14ac:dyDescent="0.25">
      <c r="A2903" s="7" t="s">
        <v>11868</v>
      </c>
      <c r="B2903" s="8" t="s">
        <v>11869</v>
      </c>
      <c r="C2903" s="8" t="s">
        <v>11870</v>
      </c>
      <c r="D2903" s="8" t="s">
        <v>3163</v>
      </c>
      <c r="E2903" s="8" t="s">
        <v>412</v>
      </c>
      <c r="F2903" s="92" t="s">
        <v>11871</v>
      </c>
      <c r="G2903" t="s">
        <v>11872</v>
      </c>
      <c r="H2903" s="8" t="s">
        <v>82</v>
      </c>
      <c r="I2903" s="8" t="s">
        <v>3756</v>
      </c>
    </row>
    <row r="2904" spans="1:9" ht="14.25" customHeight="1" x14ac:dyDescent="0.25">
      <c r="A2904" s="7" t="s">
        <v>11873</v>
      </c>
      <c r="B2904" s="8" t="s">
        <v>3321</v>
      </c>
      <c r="C2904" s="8" t="s">
        <v>4085</v>
      </c>
      <c r="D2904" s="8" t="s">
        <v>3163</v>
      </c>
      <c r="E2904" s="8" t="s">
        <v>412</v>
      </c>
      <c r="F2904" s="92" t="s">
        <v>11874</v>
      </c>
      <c r="G2904" t="s">
        <v>11875</v>
      </c>
      <c r="H2904" s="8" t="s">
        <v>25</v>
      </c>
      <c r="I2904" s="8" t="s">
        <v>3756</v>
      </c>
    </row>
    <row r="2905" spans="1:9" ht="14.25" customHeight="1" x14ac:dyDescent="0.25">
      <c r="A2905" s="7" t="s">
        <v>11876</v>
      </c>
      <c r="B2905" s="8" t="s">
        <v>11878</v>
      </c>
      <c r="C2905" s="8" t="s">
        <v>11879</v>
      </c>
      <c r="D2905" s="8" t="s">
        <v>3163</v>
      </c>
      <c r="E2905" s="8" t="s">
        <v>3890</v>
      </c>
      <c r="F2905" s="92" t="s">
        <v>11882</v>
      </c>
      <c r="G2905" t="s">
        <v>11883</v>
      </c>
      <c r="H2905" s="8" t="s">
        <v>25</v>
      </c>
      <c r="I2905" s="8" t="s">
        <v>4039</v>
      </c>
    </row>
    <row r="2906" spans="1:9" ht="14.25" customHeight="1" x14ac:dyDescent="0.25">
      <c r="A2906" s="7" t="s">
        <v>11877</v>
      </c>
      <c r="B2906" s="8" t="s">
        <v>11880</v>
      </c>
      <c r="C2906" s="8" t="s">
        <v>8586</v>
      </c>
      <c r="D2906" s="8" t="s">
        <v>411</v>
      </c>
      <c r="E2906" s="8" t="s">
        <v>3890</v>
      </c>
      <c r="F2906" s="92" t="s">
        <v>11881</v>
      </c>
      <c r="G2906" t="s">
        <v>11883</v>
      </c>
      <c r="H2906" s="8" t="s">
        <v>25</v>
      </c>
      <c r="I2906" s="8" t="s">
        <v>4039</v>
      </c>
    </row>
    <row r="2907" spans="1:9" ht="14.25" customHeight="1" x14ac:dyDescent="0.25">
      <c r="A2907" s="7" t="s">
        <v>11885</v>
      </c>
      <c r="B2907" s="8" t="s">
        <v>7446</v>
      </c>
      <c r="C2907" s="8" t="s">
        <v>8093</v>
      </c>
      <c r="D2907" s="8" t="s">
        <v>3163</v>
      </c>
      <c r="E2907" s="8" t="s">
        <v>412</v>
      </c>
      <c r="F2907" s="92" t="s">
        <v>11886</v>
      </c>
      <c r="G2907" t="s">
        <v>11887</v>
      </c>
      <c r="H2907" s="8" t="s">
        <v>5613</v>
      </c>
      <c r="I2907" s="8" t="s">
        <v>3756</v>
      </c>
    </row>
    <row r="2908" spans="1:9" ht="14.25" customHeight="1" x14ac:dyDescent="0.25">
      <c r="A2908" s="7" t="s">
        <v>11888</v>
      </c>
      <c r="B2908" s="8" t="s">
        <v>11889</v>
      </c>
      <c r="C2908" s="8" t="s">
        <v>11890</v>
      </c>
      <c r="D2908" s="8" t="s">
        <v>411</v>
      </c>
      <c r="E2908" s="8" t="s">
        <v>412</v>
      </c>
      <c r="F2908" s="92" t="s">
        <v>11891</v>
      </c>
      <c r="G2908" t="s">
        <v>10284</v>
      </c>
      <c r="H2908" s="8" t="s">
        <v>4199</v>
      </c>
      <c r="I2908" s="8" t="s">
        <v>3756</v>
      </c>
    </row>
    <row r="2909" spans="1:9" ht="14.25" customHeight="1" x14ac:dyDescent="0.25">
      <c r="A2909" s="7" t="s">
        <v>11892</v>
      </c>
      <c r="B2909" s="8" t="s">
        <v>11893</v>
      </c>
      <c r="C2909" s="8" t="s">
        <v>11894</v>
      </c>
      <c r="D2909" s="8" t="s">
        <v>3163</v>
      </c>
      <c r="E2909" s="8" t="s">
        <v>412</v>
      </c>
      <c r="F2909" s="92" t="s">
        <v>11895</v>
      </c>
      <c r="H2909" s="8"/>
      <c r="I2909" s="8" t="s">
        <v>4371</v>
      </c>
    </row>
    <row r="2910" spans="1:9" ht="14.25" customHeight="1" x14ac:dyDescent="0.25">
      <c r="A2910" s="7" t="s">
        <v>11896</v>
      </c>
      <c r="B2910" s="8" t="s">
        <v>1861</v>
      </c>
      <c r="C2910" s="8" t="s">
        <v>11897</v>
      </c>
      <c r="D2910" s="8" t="s">
        <v>3163</v>
      </c>
      <c r="E2910" s="8" t="s">
        <v>412</v>
      </c>
      <c r="F2910" s="92" t="s">
        <v>11898</v>
      </c>
      <c r="G2910" t="s">
        <v>11899</v>
      </c>
      <c r="H2910" s="8" t="s">
        <v>4619</v>
      </c>
      <c r="I2910" s="8" t="s">
        <v>4371</v>
      </c>
    </row>
    <row r="2911" spans="1:9" ht="14.25" customHeight="1" x14ac:dyDescent="0.25">
      <c r="A2911" s="7" t="s">
        <v>11900</v>
      </c>
      <c r="B2911" s="8" t="s">
        <v>2522</v>
      </c>
      <c r="C2911" s="8" t="s">
        <v>11901</v>
      </c>
      <c r="D2911" s="8" t="s">
        <v>3163</v>
      </c>
      <c r="E2911" s="8" t="s">
        <v>412</v>
      </c>
      <c r="F2911" s="92" t="s">
        <v>11902</v>
      </c>
      <c r="G2911" s="93" t="s">
        <v>11903</v>
      </c>
      <c r="H2911" s="8" t="s">
        <v>82</v>
      </c>
      <c r="I2911" s="8" t="s">
        <v>4039</v>
      </c>
    </row>
    <row r="2912" spans="1:9" ht="14.25" customHeight="1" x14ac:dyDescent="0.25">
      <c r="A2912" s="7" t="s">
        <v>11904</v>
      </c>
      <c r="B2912" s="8" t="s">
        <v>4712</v>
      </c>
      <c r="C2912" s="8" t="s">
        <v>11905</v>
      </c>
      <c r="D2912" s="8" t="s">
        <v>411</v>
      </c>
      <c r="E2912" s="8" t="s">
        <v>412</v>
      </c>
      <c r="F2912" s="92" t="s">
        <v>11906</v>
      </c>
      <c r="G2912" t="s">
        <v>11907</v>
      </c>
      <c r="H2912" s="8" t="s">
        <v>3618</v>
      </c>
      <c r="I2912" s="8" t="s">
        <v>4371</v>
      </c>
    </row>
    <row r="2913" spans="1:9" ht="14.25" customHeight="1" x14ac:dyDescent="0.25">
      <c r="A2913" s="7" t="s">
        <v>11908</v>
      </c>
      <c r="B2913" s="8" t="s">
        <v>11909</v>
      </c>
      <c r="C2913" s="8" t="s">
        <v>11910</v>
      </c>
      <c r="D2913" s="8" t="s">
        <v>411</v>
      </c>
      <c r="E2913" s="8" t="s">
        <v>412</v>
      </c>
      <c r="F2913" s="92" t="s">
        <v>11911</v>
      </c>
      <c r="G2913" s="93" t="s">
        <v>11912</v>
      </c>
      <c r="H2913" s="8" t="s">
        <v>37</v>
      </c>
      <c r="I2913" s="8" t="s">
        <v>3756</v>
      </c>
    </row>
    <row r="2914" spans="1:9" ht="14.25" customHeight="1" x14ac:dyDescent="0.25">
      <c r="A2914" s="7" t="s">
        <v>11913</v>
      </c>
      <c r="B2914" s="8" t="s">
        <v>11914</v>
      </c>
      <c r="C2914" s="8" t="s">
        <v>11915</v>
      </c>
      <c r="D2914" s="8" t="s">
        <v>3163</v>
      </c>
      <c r="E2914" s="8" t="s">
        <v>412</v>
      </c>
      <c r="F2914" s="92" t="s">
        <v>11916</v>
      </c>
      <c r="G2914" t="s">
        <v>11917</v>
      </c>
      <c r="H2914" s="8" t="s">
        <v>2212</v>
      </c>
      <c r="I2914" s="8" t="s">
        <v>4039</v>
      </c>
    </row>
    <row r="2915" spans="1:9" ht="14.25" customHeight="1" x14ac:dyDescent="0.25">
      <c r="A2915" s="7" t="s">
        <v>11920</v>
      </c>
      <c r="B2915" s="8" t="s">
        <v>2165</v>
      </c>
      <c r="C2915" s="8" t="s">
        <v>11921</v>
      </c>
      <c r="D2915" s="8" t="s">
        <v>3163</v>
      </c>
      <c r="E2915" s="8" t="s">
        <v>412</v>
      </c>
      <c r="F2915" s="92" t="s">
        <v>11922</v>
      </c>
      <c r="G2915" t="s">
        <v>11923</v>
      </c>
      <c r="H2915" s="8" t="s">
        <v>8753</v>
      </c>
      <c r="I2915" s="8" t="s">
        <v>4039</v>
      </c>
    </row>
    <row r="2916" spans="1:9" ht="14.25" customHeight="1" x14ac:dyDescent="0.25">
      <c r="A2916" s="7" t="s">
        <v>11924</v>
      </c>
      <c r="B2916" s="8" t="s">
        <v>1375</v>
      </c>
      <c r="C2916" s="8" t="s">
        <v>11925</v>
      </c>
      <c r="D2916" s="8" t="s">
        <v>411</v>
      </c>
      <c r="E2916" s="8" t="s">
        <v>412</v>
      </c>
      <c r="F2916" s="92" t="s">
        <v>11926</v>
      </c>
      <c r="G2916" t="s">
        <v>11927</v>
      </c>
      <c r="H2916" s="8" t="s">
        <v>5213</v>
      </c>
      <c r="I2916" s="8" t="s">
        <v>3756</v>
      </c>
    </row>
    <row r="2917" spans="1:9" ht="14.25" customHeight="1" x14ac:dyDescent="0.25">
      <c r="A2917" s="7" t="s">
        <v>11928</v>
      </c>
      <c r="B2917" s="8" t="s">
        <v>11930</v>
      </c>
      <c r="C2917" s="8" t="s">
        <v>11931</v>
      </c>
      <c r="D2917" s="8" t="s">
        <v>411</v>
      </c>
      <c r="E2917" s="8" t="s">
        <v>3890</v>
      </c>
      <c r="F2917" s="92" t="s">
        <v>11933</v>
      </c>
      <c r="G2917" t="s">
        <v>11934</v>
      </c>
      <c r="H2917" s="8" t="s">
        <v>82</v>
      </c>
      <c r="I2917" s="8" t="s">
        <v>4039</v>
      </c>
    </row>
    <row r="2918" spans="1:9" ht="14.25" customHeight="1" x14ac:dyDescent="0.25">
      <c r="A2918" s="7" t="s">
        <v>11929</v>
      </c>
      <c r="B2918" s="8" t="s">
        <v>11932</v>
      </c>
      <c r="C2918" s="8" t="s">
        <v>11931</v>
      </c>
      <c r="D2918" s="8" t="s">
        <v>3163</v>
      </c>
      <c r="E2918" s="8" t="s">
        <v>3890</v>
      </c>
      <c r="F2918" s="12"/>
      <c r="G2918" t="s">
        <v>11934</v>
      </c>
      <c r="H2918" s="8" t="s">
        <v>82</v>
      </c>
      <c r="I2918" s="8" t="s">
        <v>4039</v>
      </c>
    </row>
    <row r="2919" spans="1:9" ht="14.25" customHeight="1" x14ac:dyDescent="0.25">
      <c r="A2919" s="7" t="s">
        <v>11935</v>
      </c>
      <c r="B2919" s="8" t="s">
        <v>4700</v>
      </c>
      <c r="C2919" s="8" t="s">
        <v>11936</v>
      </c>
      <c r="D2919" s="8" t="s">
        <v>411</v>
      </c>
      <c r="E2919" s="8" t="s">
        <v>412</v>
      </c>
      <c r="F2919" s="92" t="s">
        <v>11937</v>
      </c>
      <c r="G2919" s="93" t="s">
        <v>11938</v>
      </c>
      <c r="H2919" s="8" t="s">
        <v>49</v>
      </c>
      <c r="I2919" s="8" t="s">
        <v>4039</v>
      </c>
    </row>
    <row r="2920" spans="1:9" ht="14.25" customHeight="1" x14ac:dyDescent="0.25">
      <c r="A2920" s="7" t="s">
        <v>11943</v>
      </c>
      <c r="B2920" s="8" t="s">
        <v>7597</v>
      </c>
      <c r="C2920" s="8" t="s">
        <v>11944</v>
      </c>
      <c r="D2920" s="8" t="s">
        <v>3163</v>
      </c>
      <c r="E2920" s="8" t="s">
        <v>3890</v>
      </c>
      <c r="F2920" s="92" t="s">
        <v>11945</v>
      </c>
      <c r="G2920" t="s">
        <v>11946</v>
      </c>
      <c r="H2920" s="8" t="s">
        <v>6255</v>
      </c>
      <c r="I2920" s="8" t="s">
        <v>4039</v>
      </c>
    </row>
    <row r="2921" spans="1:9" ht="14.25" customHeight="1" x14ac:dyDescent="0.25">
      <c r="A2921" s="7" t="s">
        <v>12053</v>
      </c>
      <c r="B2921" s="8" t="s">
        <v>11219</v>
      </c>
      <c r="C2921" s="8" t="s">
        <v>4571</v>
      </c>
      <c r="D2921" s="8" t="s">
        <v>411</v>
      </c>
      <c r="E2921" s="8" t="s">
        <v>3890</v>
      </c>
      <c r="F2921" s="12"/>
      <c r="G2921" t="s">
        <v>11946</v>
      </c>
      <c r="H2921" s="8" t="s">
        <v>6255</v>
      </c>
      <c r="I2921" s="8" t="s">
        <v>4039</v>
      </c>
    </row>
    <row r="2922" spans="1:9" ht="14.25" customHeight="1" x14ac:dyDescent="0.25">
      <c r="A2922" s="7" t="s">
        <v>11947</v>
      </c>
      <c r="B2922" s="8" t="s">
        <v>5258</v>
      </c>
      <c r="C2922" s="8" t="s">
        <v>5630</v>
      </c>
      <c r="D2922" s="8" t="s">
        <v>411</v>
      </c>
      <c r="E2922" s="8" t="s">
        <v>412</v>
      </c>
      <c r="F2922" s="92" t="s">
        <v>11948</v>
      </c>
      <c r="G2922" t="s">
        <v>11949</v>
      </c>
      <c r="H2922" s="8" t="s">
        <v>72</v>
      </c>
      <c r="I2922" s="8" t="s">
        <v>4039</v>
      </c>
    </row>
    <row r="2923" spans="1:9" ht="14.25" customHeight="1" x14ac:dyDescent="0.25">
      <c r="A2923" s="7" t="s">
        <v>11951</v>
      </c>
      <c r="B2923" s="8" t="s">
        <v>296</v>
      </c>
      <c r="C2923" s="8" t="s">
        <v>11952</v>
      </c>
      <c r="D2923" s="8" t="s">
        <v>3163</v>
      </c>
      <c r="E2923" s="8" t="s">
        <v>412</v>
      </c>
      <c r="F2923" s="92" t="s">
        <v>11953</v>
      </c>
      <c r="G2923" t="s">
        <v>11954</v>
      </c>
      <c r="H2923" s="8" t="s">
        <v>6960</v>
      </c>
      <c r="I2923" s="8" t="s">
        <v>3756</v>
      </c>
    </row>
    <row r="2924" spans="1:9" ht="14.25" customHeight="1" x14ac:dyDescent="0.25">
      <c r="A2924" s="7" t="s">
        <v>11955</v>
      </c>
      <c r="B2924" s="8" t="s">
        <v>11956</v>
      </c>
      <c r="C2924" s="8" t="s">
        <v>11957</v>
      </c>
      <c r="D2924" s="8" t="s">
        <v>3163</v>
      </c>
      <c r="E2924" s="8" t="s">
        <v>412</v>
      </c>
      <c r="F2924" s="92" t="s">
        <v>11958</v>
      </c>
      <c r="G2924" t="s">
        <v>11959</v>
      </c>
      <c r="H2924" s="8" t="s">
        <v>5915</v>
      </c>
      <c r="I2924" s="8" t="s">
        <v>3756</v>
      </c>
    </row>
    <row r="2925" spans="1:9" ht="14.25" customHeight="1" x14ac:dyDescent="0.25">
      <c r="A2925" s="7" t="s">
        <v>11960</v>
      </c>
      <c r="B2925" s="8" t="s">
        <v>11525</v>
      </c>
      <c r="C2925" s="8" t="s">
        <v>8812</v>
      </c>
      <c r="D2925" s="8" t="s">
        <v>411</v>
      </c>
      <c r="E2925" s="8" t="s">
        <v>3890</v>
      </c>
      <c r="F2925" s="92" t="s">
        <v>11962</v>
      </c>
      <c r="G2925" t="s">
        <v>11963</v>
      </c>
      <c r="H2925" s="8" t="s">
        <v>11964</v>
      </c>
      <c r="I2925" s="8" t="s">
        <v>4371</v>
      </c>
    </row>
    <row r="2926" spans="1:9" ht="14.25" customHeight="1" x14ac:dyDescent="0.25">
      <c r="A2926" s="7" t="s">
        <v>11961</v>
      </c>
      <c r="B2926" s="8" t="s">
        <v>11966</v>
      </c>
      <c r="C2926" s="8" t="s">
        <v>11965</v>
      </c>
      <c r="D2926" s="8" t="s">
        <v>3163</v>
      </c>
      <c r="E2926" s="8" t="s">
        <v>3890</v>
      </c>
      <c r="F2926" s="12"/>
      <c r="G2926" t="s">
        <v>11963</v>
      </c>
      <c r="H2926" s="8" t="s">
        <v>11964</v>
      </c>
      <c r="I2926" s="8" t="s">
        <v>4371</v>
      </c>
    </row>
    <row r="2927" spans="1:9" ht="14.25" customHeight="1" x14ac:dyDescent="0.25">
      <c r="A2927" s="7" t="s">
        <v>12083</v>
      </c>
      <c r="B2927" s="8" t="s">
        <v>4491</v>
      </c>
      <c r="C2927" s="8" t="s">
        <v>11967</v>
      </c>
      <c r="D2927" s="8" t="s">
        <v>411</v>
      </c>
      <c r="E2927" s="8" t="s">
        <v>3890</v>
      </c>
      <c r="F2927" s="92" t="s">
        <v>11969</v>
      </c>
      <c r="G2927" t="s">
        <v>11970</v>
      </c>
      <c r="H2927" s="8" t="s">
        <v>37</v>
      </c>
      <c r="I2927" s="8" t="s">
        <v>3756</v>
      </c>
    </row>
    <row r="2928" spans="1:9" ht="14.25" customHeight="1" x14ac:dyDescent="0.25">
      <c r="A2928" s="7" t="s">
        <v>12082</v>
      </c>
      <c r="B2928" s="8" t="s">
        <v>933</v>
      </c>
      <c r="C2928" s="8" t="s">
        <v>11968</v>
      </c>
      <c r="D2928" s="8" t="s">
        <v>3163</v>
      </c>
      <c r="E2928" s="8" t="s">
        <v>3890</v>
      </c>
      <c r="F2928" s="12"/>
      <c r="G2928" t="s">
        <v>11970</v>
      </c>
      <c r="H2928" s="8" t="s">
        <v>37</v>
      </c>
      <c r="I2928" s="8" t="s">
        <v>3756</v>
      </c>
    </row>
    <row r="2929" spans="1:9" ht="14.25" customHeight="1" x14ac:dyDescent="0.25">
      <c r="A2929" s="7" t="s">
        <v>11971</v>
      </c>
      <c r="B2929" s="8" t="s">
        <v>319</v>
      </c>
      <c r="C2929" s="8" t="s">
        <v>11973</v>
      </c>
      <c r="D2929" s="8" t="s">
        <v>411</v>
      </c>
      <c r="E2929" s="8" t="s">
        <v>3890</v>
      </c>
      <c r="F2929" s="92" t="s">
        <v>11974</v>
      </c>
      <c r="G2929" t="s">
        <v>11975</v>
      </c>
      <c r="H2929" s="8" t="s">
        <v>37</v>
      </c>
      <c r="I2929" s="8" t="s">
        <v>4039</v>
      </c>
    </row>
    <row r="2930" spans="1:9" ht="14.25" customHeight="1" x14ac:dyDescent="0.25">
      <c r="A2930" s="7" t="s">
        <v>11972</v>
      </c>
      <c r="B2930" s="8" t="s">
        <v>11</v>
      </c>
      <c r="C2930" s="8" t="s">
        <v>11976</v>
      </c>
      <c r="D2930" s="8" t="s">
        <v>3163</v>
      </c>
      <c r="E2930" s="8" t="s">
        <v>3890</v>
      </c>
      <c r="F2930" s="92" t="s">
        <v>11977</v>
      </c>
      <c r="G2930" t="s">
        <v>11975</v>
      </c>
      <c r="H2930" s="8" t="s">
        <v>37</v>
      </c>
      <c r="I2930" s="8" t="s">
        <v>4039</v>
      </c>
    </row>
    <row r="2931" spans="1:9" ht="14.25" customHeight="1" x14ac:dyDescent="0.25">
      <c r="A2931" s="7" t="s">
        <v>11978</v>
      </c>
      <c r="B2931" s="8" t="s">
        <v>2877</v>
      </c>
      <c r="C2931" s="8" t="s">
        <v>11609</v>
      </c>
      <c r="D2931" s="8" t="s">
        <v>411</v>
      </c>
      <c r="E2931" s="8" t="s">
        <v>3890</v>
      </c>
      <c r="F2931" s="92" t="s">
        <v>11981</v>
      </c>
      <c r="G2931" t="s">
        <v>11982</v>
      </c>
      <c r="H2931" s="8" t="s">
        <v>3918</v>
      </c>
      <c r="I2931" s="8" t="s">
        <v>3756</v>
      </c>
    </row>
    <row r="2932" spans="1:9" ht="14.25" customHeight="1" x14ac:dyDescent="0.25">
      <c r="A2932" s="7" t="s">
        <v>11979</v>
      </c>
      <c r="B2932" s="8" t="s">
        <v>9170</v>
      </c>
      <c r="C2932" s="8" t="s">
        <v>4814</v>
      </c>
      <c r="D2932" s="8" t="s">
        <v>3163</v>
      </c>
      <c r="E2932" s="8" t="s">
        <v>3890</v>
      </c>
      <c r="F2932" s="92" t="s">
        <v>11980</v>
      </c>
      <c r="G2932" t="s">
        <v>11982</v>
      </c>
      <c r="H2932" s="8" t="s">
        <v>3918</v>
      </c>
      <c r="I2932" s="8" t="s">
        <v>3756</v>
      </c>
    </row>
    <row r="2933" spans="1:9" ht="14.25" customHeight="1" x14ac:dyDescent="0.25">
      <c r="A2933" s="7" t="s">
        <v>11983</v>
      </c>
      <c r="B2933" s="8" t="s">
        <v>11244</v>
      </c>
      <c r="C2933" s="8" t="s">
        <v>11245</v>
      </c>
      <c r="D2933" s="8" t="s">
        <v>411</v>
      </c>
      <c r="E2933" s="8" t="s">
        <v>412</v>
      </c>
      <c r="F2933" s="92" t="s">
        <v>11246</v>
      </c>
      <c r="G2933" t="s">
        <v>11247</v>
      </c>
      <c r="H2933" s="8" t="s">
        <v>20</v>
      </c>
      <c r="I2933" s="8" t="s">
        <v>5347</v>
      </c>
    </row>
    <row r="2934" spans="1:9" ht="14.25" customHeight="1" x14ac:dyDescent="0.25">
      <c r="A2934" s="7" t="s">
        <v>11987</v>
      </c>
      <c r="B2934" s="8" t="s">
        <v>11988</v>
      </c>
      <c r="C2934" s="8" t="s">
        <v>11989</v>
      </c>
      <c r="D2934" s="8" t="s">
        <v>411</v>
      </c>
      <c r="E2934" s="8" t="s">
        <v>412</v>
      </c>
      <c r="F2934" s="92" t="s">
        <v>11990</v>
      </c>
      <c r="G2934" t="s">
        <v>11991</v>
      </c>
      <c r="H2934" s="8" t="s">
        <v>6480</v>
      </c>
      <c r="I2934" s="8" t="s">
        <v>5347</v>
      </c>
    </row>
    <row r="2935" spans="1:9" ht="14.25" customHeight="1" x14ac:dyDescent="0.25">
      <c r="A2935" s="7" t="s">
        <v>11992</v>
      </c>
      <c r="B2935" s="8" t="s">
        <v>5782</v>
      </c>
      <c r="C2935" s="8" t="s">
        <v>11993</v>
      </c>
      <c r="D2935" s="8" t="s">
        <v>411</v>
      </c>
      <c r="E2935" s="8" t="s">
        <v>412</v>
      </c>
      <c r="F2935" s="92" t="s">
        <v>11994</v>
      </c>
      <c r="G2935" t="s">
        <v>11995</v>
      </c>
      <c r="H2935" s="8" t="s">
        <v>3618</v>
      </c>
      <c r="I2935" s="8" t="s">
        <v>4371</v>
      </c>
    </row>
    <row r="2936" spans="1:9" ht="14.25" customHeight="1" x14ac:dyDescent="0.25">
      <c r="A2936" s="7" t="s">
        <v>11996</v>
      </c>
      <c r="B2936" s="8" t="s">
        <v>11997</v>
      </c>
      <c r="C2936" s="8" t="s">
        <v>11998</v>
      </c>
      <c r="D2936" s="8" t="s">
        <v>411</v>
      </c>
      <c r="E2936" s="8" t="s">
        <v>412</v>
      </c>
      <c r="F2936" s="92" t="s">
        <v>11999</v>
      </c>
      <c r="G2936" t="s">
        <v>12000</v>
      </c>
      <c r="H2936" s="8" t="s">
        <v>25</v>
      </c>
      <c r="I2936" s="8" t="s">
        <v>4039</v>
      </c>
    </row>
    <row r="2937" spans="1:9" ht="14.25" customHeight="1" x14ac:dyDescent="0.25">
      <c r="A2937" s="7" t="s">
        <v>12001</v>
      </c>
      <c r="B2937" s="8" t="s">
        <v>12002</v>
      </c>
      <c r="C2937" s="8" t="s">
        <v>12003</v>
      </c>
      <c r="D2937" s="8" t="s">
        <v>411</v>
      </c>
      <c r="E2937" s="8" t="s">
        <v>412</v>
      </c>
      <c r="F2937" s="92" t="s">
        <v>12004</v>
      </c>
      <c r="G2937" t="s">
        <v>12005</v>
      </c>
      <c r="H2937" s="8" t="s">
        <v>37</v>
      </c>
      <c r="I2937" s="8" t="s">
        <v>3756</v>
      </c>
    </row>
    <row r="2938" spans="1:9" ht="14.25" customHeight="1" x14ac:dyDescent="0.25">
      <c r="A2938" s="7" t="s">
        <v>12006</v>
      </c>
      <c r="B2938" s="8" t="s">
        <v>12009</v>
      </c>
      <c r="C2938" s="8" t="s">
        <v>12010</v>
      </c>
      <c r="D2938" s="8" t="s">
        <v>411</v>
      </c>
      <c r="E2938" s="8" t="s">
        <v>3890</v>
      </c>
      <c r="F2938" s="92" t="s">
        <v>12011</v>
      </c>
      <c r="G2938" t="s">
        <v>4391</v>
      </c>
      <c r="H2938" s="8" t="s">
        <v>15</v>
      </c>
      <c r="I2938" s="8" t="s">
        <v>4039</v>
      </c>
    </row>
    <row r="2939" spans="1:9" ht="14.25" customHeight="1" x14ac:dyDescent="0.25">
      <c r="A2939" s="7" t="s">
        <v>12007</v>
      </c>
      <c r="B2939" s="8" t="s">
        <v>4382</v>
      </c>
      <c r="C2939" s="8" t="s">
        <v>12008</v>
      </c>
      <c r="D2939" s="8" t="s">
        <v>3163</v>
      </c>
      <c r="E2939" s="8" t="s">
        <v>3890</v>
      </c>
      <c r="F2939" s="12"/>
      <c r="G2939" t="s">
        <v>4391</v>
      </c>
      <c r="H2939" s="8" t="s">
        <v>15</v>
      </c>
      <c r="I2939" s="8" t="s">
        <v>4039</v>
      </c>
    </row>
    <row r="2940" spans="1:9" ht="14.25" customHeight="1" x14ac:dyDescent="0.25">
      <c r="A2940" s="7" t="s">
        <v>12013</v>
      </c>
      <c r="B2940" s="8" t="s">
        <v>1676</v>
      </c>
      <c r="C2940" s="8" t="s">
        <v>7669</v>
      </c>
      <c r="D2940" s="8" t="s">
        <v>411</v>
      </c>
      <c r="E2940" s="8" t="s">
        <v>412</v>
      </c>
      <c r="F2940" s="92" t="s">
        <v>12014</v>
      </c>
      <c r="H2940" s="8" t="s">
        <v>11268</v>
      </c>
      <c r="I2940" s="8" t="s">
        <v>5347</v>
      </c>
    </row>
    <row r="2941" spans="1:9" ht="14.25" customHeight="1" x14ac:dyDescent="0.25">
      <c r="A2941" s="7" t="s">
        <v>12015</v>
      </c>
      <c r="B2941" s="8" t="s">
        <v>12016</v>
      </c>
      <c r="C2941" s="8" t="s">
        <v>12017</v>
      </c>
      <c r="D2941" s="8" t="s">
        <v>411</v>
      </c>
      <c r="E2941" s="8" t="s">
        <v>412</v>
      </c>
      <c r="F2941" s="92" t="s">
        <v>12019</v>
      </c>
      <c r="G2941" s="93" t="s">
        <v>12018</v>
      </c>
      <c r="H2941" s="8" t="s">
        <v>5652</v>
      </c>
      <c r="I2941" s="8" t="s">
        <v>3756</v>
      </c>
    </row>
    <row r="2942" spans="1:9" ht="14.25" customHeight="1" x14ac:dyDescent="0.25">
      <c r="A2942" s="7" t="s">
        <v>12021</v>
      </c>
      <c r="B2942" s="8" t="s">
        <v>2674</v>
      </c>
      <c r="C2942" s="8" t="s">
        <v>12023</v>
      </c>
      <c r="D2942" s="8" t="s">
        <v>3163</v>
      </c>
      <c r="E2942" s="8" t="s">
        <v>3890</v>
      </c>
      <c r="F2942" s="92" t="s">
        <v>12025</v>
      </c>
      <c r="H2942" s="8" t="s">
        <v>7063</v>
      </c>
      <c r="I2942" s="8" t="s">
        <v>4371</v>
      </c>
    </row>
    <row r="2943" spans="1:9" ht="14.25" customHeight="1" x14ac:dyDescent="0.25">
      <c r="A2943" s="7" t="s">
        <v>12022</v>
      </c>
      <c r="B2943" s="8" t="s">
        <v>12024</v>
      </c>
      <c r="C2943" s="8" t="s">
        <v>12023</v>
      </c>
      <c r="D2943" s="8" t="s">
        <v>411</v>
      </c>
      <c r="E2943" s="8" t="s">
        <v>3890</v>
      </c>
      <c r="F2943" s="12"/>
      <c r="H2943" s="8" t="s">
        <v>7063</v>
      </c>
      <c r="I2943" s="8" t="s">
        <v>4371</v>
      </c>
    </row>
    <row r="2944" spans="1:9" ht="14.25" customHeight="1" x14ac:dyDescent="0.25">
      <c r="A2944" s="7" t="s">
        <v>12026</v>
      </c>
      <c r="B2944" s="8" t="s">
        <v>12027</v>
      </c>
      <c r="C2944" s="8" t="s">
        <v>12028</v>
      </c>
      <c r="D2944" s="8" t="s">
        <v>411</v>
      </c>
      <c r="E2944" s="8" t="s">
        <v>412</v>
      </c>
      <c r="F2944" s="12" t="s">
        <v>12029</v>
      </c>
      <c r="G2944" t="s">
        <v>12030</v>
      </c>
      <c r="H2944" s="8" t="s">
        <v>6754</v>
      </c>
      <c r="I2944" s="8" t="s">
        <v>3756</v>
      </c>
    </row>
    <row r="2945" spans="1:9" ht="14.25" customHeight="1" x14ac:dyDescent="0.25">
      <c r="A2945" s="7" t="s">
        <v>12032</v>
      </c>
      <c r="B2945" s="8" t="s">
        <v>10995</v>
      </c>
      <c r="C2945" s="8" t="s">
        <v>12033</v>
      </c>
      <c r="D2945" s="8" t="s">
        <v>411</v>
      </c>
      <c r="E2945" s="8" t="s">
        <v>412</v>
      </c>
      <c r="F2945" s="92" t="s">
        <v>12034</v>
      </c>
      <c r="H2945" s="8" t="s">
        <v>20</v>
      </c>
      <c r="I2945" s="8" t="s">
        <v>3756</v>
      </c>
    </row>
    <row r="2946" spans="1:9" ht="14.25" customHeight="1" x14ac:dyDescent="0.25">
      <c r="A2946" s="7" t="s">
        <v>12035</v>
      </c>
      <c r="B2946" s="8" t="s">
        <v>1808</v>
      </c>
      <c r="C2946" s="8" t="s">
        <v>6498</v>
      </c>
      <c r="D2946" s="8" t="s">
        <v>3163</v>
      </c>
      <c r="E2946" s="8" t="s">
        <v>412</v>
      </c>
      <c r="F2946" s="92" t="s">
        <v>12036</v>
      </c>
      <c r="H2946" s="8" t="s">
        <v>6804</v>
      </c>
      <c r="I2946" s="8" t="s">
        <v>3756</v>
      </c>
    </row>
    <row r="2947" spans="1:9" ht="14.25" customHeight="1" x14ac:dyDescent="0.25">
      <c r="A2947" s="7" t="s">
        <v>12038</v>
      </c>
      <c r="B2947" s="8" t="s">
        <v>2956</v>
      </c>
      <c r="C2947" s="8" t="s">
        <v>9972</v>
      </c>
      <c r="D2947" s="8" t="s">
        <v>411</v>
      </c>
      <c r="E2947" s="8" t="s">
        <v>412</v>
      </c>
      <c r="F2947" s="92" t="s">
        <v>9973</v>
      </c>
      <c r="G2947" t="s">
        <v>8436</v>
      </c>
      <c r="H2947" s="8" t="s">
        <v>4199</v>
      </c>
      <c r="I2947" s="8" t="s">
        <v>4039</v>
      </c>
    </row>
    <row r="2948" spans="1:9" ht="14.25" customHeight="1" x14ac:dyDescent="0.25">
      <c r="A2948" s="7" t="s">
        <v>12042</v>
      </c>
      <c r="B2948" s="8" t="s">
        <v>1629</v>
      </c>
      <c r="C2948" s="8" t="s">
        <v>12043</v>
      </c>
      <c r="D2948" s="8" t="s">
        <v>411</v>
      </c>
      <c r="E2948" s="8" t="s">
        <v>412</v>
      </c>
      <c r="F2948" s="12"/>
      <c r="H2948" s="8"/>
      <c r="I2948" s="8" t="s">
        <v>4371</v>
      </c>
    </row>
    <row r="2949" spans="1:9" ht="14.25" customHeight="1" x14ac:dyDescent="0.25">
      <c r="A2949" s="7" t="s">
        <v>12044</v>
      </c>
      <c r="B2949" s="8" t="s">
        <v>685</v>
      </c>
      <c r="C2949" s="8" t="s">
        <v>12045</v>
      </c>
      <c r="D2949" s="8" t="s">
        <v>411</v>
      </c>
      <c r="E2949" s="8" t="s">
        <v>412</v>
      </c>
      <c r="F2949" s="92" t="s">
        <v>12046</v>
      </c>
      <c r="G2949" s="93" t="s">
        <v>12047</v>
      </c>
      <c r="H2949" s="8" t="s">
        <v>2212</v>
      </c>
      <c r="I2949" s="8" t="s">
        <v>3756</v>
      </c>
    </row>
    <row r="2950" spans="1:9" ht="14.25" customHeight="1" x14ac:dyDescent="0.25">
      <c r="A2950" s="7" t="s">
        <v>12050</v>
      </c>
      <c r="B2950" s="8" t="s">
        <v>1808</v>
      </c>
      <c r="C2950" s="8" t="s">
        <v>462</v>
      </c>
      <c r="D2950" s="8" t="s">
        <v>3163</v>
      </c>
      <c r="E2950" s="8" t="s">
        <v>412</v>
      </c>
      <c r="F2950" s="92" t="s">
        <v>12051</v>
      </c>
      <c r="H2950" s="8" t="s">
        <v>12052</v>
      </c>
      <c r="I2950" s="8" t="s">
        <v>3756</v>
      </c>
    </row>
    <row r="2951" spans="1:9" ht="14.25" customHeight="1" x14ac:dyDescent="0.25">
      <c r="A2951" s="33" t="s">
        <v>12054</v>
      </c>
      <c r="B2951" s="46" t="s">
        <v>12055</v>
      </c>
      <c r="C2951" s="46" t="s">
        <v>12056</v>
      </c>
      <c r="D2951" s="8" t="s">
        <v>3163</v>
      </c>
      <c r="E2951" s="8" t="s">
        <v>412</v>
      </c>
      <c r="F2951" s="115" t="s">
        <v>12057</v>
      </c>
      <c r="H2951" s="8"/>
      <c r="I2951" s="8" t="s">
        <v>3756</v>
      </c>
    </row>
    <row r="2952" spans="1:9" ht="14.25" customHeight="1" x14ac:dyDescent="0.25">
      <c r="A2952" s="7" t="s">
        <v>12058</v>
      </c>
      <c r="B2952" s="8" t="s">
        <v>6139</v>
      </c>
      <c r="C2952" s="8" t="s">
        <v>12059</v>
      </c>
      <c r="D2952" s="8" t="s">
        <v>411</v>
      </c>
      <c r="E2952" s="8" t="s">
        <v>412</v>
      </c>
      <c r="F2952" s="92" t="s">
        <v>12060</v>
      </c>
      <c r="H2952" s="8" t="s">
        <v>3820</v>
      </c>
      <c r="I2952" s="8" t="s">
        <v>4371</v>
      </c>
    </row>
    <row r="2953" spans="1:9" ht="14.25" customHeight="1" x14ac:dyDescent="0.25">
      <c r="A2953" s="7" t="s">
        <v>12061</v>
      </c>
      <c r="B2953" s="8" t="s">
        <v>1767</v>
      </c>
      <c r="C2953" s="8" t="s">
        <v>11000</v>
      </c>
      <c r="D2953" s="8" t="s">
        <v>3163</v>
      </c>
      <c r="E2953" s="8" t="s">
        <v>412</v>
      </c>
      <c r="F2953" s="92" t="s">
        <v>12062</v>
      </c>
      <c r="G2953" t="s">
        <v>12063</v>
      </c>
      <c r="H2953" s="8" t="s">
        <v>2212</v>
      </c>
      <c r="I2953" s="8" t="s">
        <v>4039</v>
      </c>
    </row>
    <row r="2954" spans="1:9" ht="14.25" customHeight="1" x14ac:dyDescent="0.25">
      <c r="A2954" s="7" t="s">
        <v>12064</v>
      </c>
      <c r="B2954" s="8" t="s">
        <v>2432</v>
      </c>
      <c r="C2954" s="8" t="s">
        <v>12066</v>
      </c>
      <c r="D2954" s="8" t="s">
        <v>411</v>
      </c>
      <c r="E2954" s="8" t="s">
        <v>3890</v>
      </c>
      <c r="F2954" s="92" t="s">
        <v>12067</v>
      </c>
      <c r="G2954" t="s">
        <v>12068</v>
      </c>
      <c r="H2954" s="8" t="s">
        <v>12069</v>
      </c>
      <c r="I2954" s="8" t="s">
        <v>4039</v>
      </c>
    </row>
    <row r="2955" spans="1:9" ht="14.25" customHeight="1" x14ac:dyDescent="0.25">
      <c r="A2955" s="7" t="s">
        <v>12065</v>
      </c>
      <c r="B2955" s="8" t="s">
        <v>12071</v>
      </c>
      <c r="C2955" s="8" t="s">
        <v>12070</v>
      </c>
      <c r="D2955" s="8" t="s">
        <v>3163</v>
      </c>
      <c r="E2955" s="8" t="s">
        <v>3890</v>
      </c>
      <c r="F2955" s="92" t="s">
        <v>12072</v>
      </c>
      <c r="G2955" t="s">
        <v>12068</v>
      </c>
      <c r="H2955" s="8" t="s">
        <v>12069</v>
      </c>
      <c r="I2955" s="8" t="s">
        <v>4039</v>
      </c>
    </row>
    <row r="2956" spans="1:9" ht="14.25" customHeight="1" x14ac:dyDescent="0.25">
      <c r="A2956" s="7" t="s">
        <v>12074</v>
      </c>
      <c r="B2956" s="8" t="s">
        <v>247</v>
      </c>
      <c r="C2956" s="8" t="s">
        <v>5126</v>
      </c>
      <c r="D2956" s="8" t="s">
        <v>411</v>
      </c>
      <c r="E2956" s="8" t="s">
        <v>412</v>
      </c>
      <c r="F2956" s="12"/>
      <c r="H2956" s="8"/>
      <c r="I2956" s="8" t="s">
        <v>4371</v>
      </c>
    </row>
    <row r="2957" spans="1:9" ht="14.25" customHeight="1" x14ac:dyDescent="0.25">
      <c r="A2957" s="7" t="s">
        <v>12075</v>
      </c>
      <c r="B2957" s="8" t="s">
        <v>2427</v>
      </c>
      <c r="C2957" s="8" t="s">
        <v>12076</v>
      </c>
      <c r="D2957" s="8" t="s">
        <v>411</v>
      </c>
      <c r="E2957" s="8" t="s">
        <v>412</v>
      </c>
      <c r="F2957" s="92" t="s">
        <v>12077</v>
      </c>
      <c r="H2957" s="8" t="s">
        <v>49</v>
      </c>
      <c r="I2957" s="8" t="s">
        <v>3756</v>
      </c>
    </row>
    <row r="2958" spans="1:9" ht="14.25" customHeight="1" x14ac:dyDescent="0.25">
      <c r="A2958" s="7" t="s">
        <v>12078</v>
      </c>
      <c r="B2958" s="8" t="s">
        <v>247</v>
      </c>
      <c r="C2958" s="8" t="s">
        <v>12079</v>
      </c>
      <c r="D2958" s="8" t="s">
        <v>411</v>
      </c>
      <c r="E2958" s="8" t="s">
        <v>412</v>
      </c>
      <c r="F2958" s="92" t="s">
        <v>12080</v>
      </c>
      <c r="H2958" s="8" t="s">
        <v>15</v>
      </c>
      <c r="I2958" s="8" t="s">
        <v>5347</v>
      </c>
    </row>
    <row r="2959" spans="1:9" ht="14.25" customHeight="1" x14ac:dyDescent="0.25">
      <c r="A2959" s="7" t="s">
        <v>12085</v>
      </c>
      <c r="B2959" s="8" t="s">
        <v>1216</v>
      </c>
      <c r="C2959" s="8" t="s">
        <v>12086</v>
      </c>
      <c r="D2959" s="8" t="s">
        <v>411</v>
      </c>
      <c r="E2959" s="8" t="s">
        <v>412</v>
      </c>
      <c r="F2959" s="92" t="s">
        <v>12087</v>
      </c>
      <c r="G2959" t="s">
        <v>12088</v>
      </c>
      <c r="H2959" s="8" t="s">
        <v>6489</v>
      </c>
      <c r="I2959" s="8" t="s">
        <v>4039</v>
      </c>
    </row>
    <row r="2960" spans="1:9" ht="14.25" customHeight="1" x14ac:dyDescent="0.25">
      <c r="A2960" s="7" t="s">
        <v>12089</v>
      </c>
      <c r="B2960" s="8" t="s">
        <v>3856</v>
      </c>
      <c r="C2960" s="8"/>
      <c r="D2960" s="8" t="s">
        <v>411</v>
      </c>
      <c r="E2960" s="8" t="s">
        <v>412</v>
      </c>
      <c r="F2960" s="12"/>
      <c r="H2960" s="8"/>
      <c r="I2960" s="8"/>
    </row>
    <row r="2961" spans="1:9" ht="14.25" customHeight="1" x14ac:dyDescent="0.25">
      <c r="A2961" s="7" t="s">
        <v>12096</v>
      </c>
      <c r="B2961" s="8" t="s">
        <v>5694</v>
      </c>
      <c r="C2961" s="8" t="s">
        <v>12097</v>
      </c>
      <c r="D2961" s="8" t="s">
        <v>3163</v>
      </c>
      <c r="E2961" s="8" t="s">
        <v>412</v>
      </c>
      <c r="F2961" s="92" t="s">
        <v>12098</v>
      </c>
      <c r="H2961" s="8" t="s">
        <v>12099</v>
      </c>
      <c r="I2961" s="8" t="s">
        <v>4039</v>
      </c>
    </row>
    <row r="2962" spans="1:9" ht="14.25" customHeight="1" x14ac:dyDescent="0.25">
      <c r="A2962" s="7" t="s">
        <v>12100</v>
      </c>
      <c r="B2962" s="8" t="s">
        <v>4215</v>
      </c>
      <c r="C2962" s="8" t="s">
        <v>12101</v>
      </c>
      <c r="D2962" s="8" t="s">
        <v>411</v>
      </c>
      <c r="E2962" s="8" t="s">
        <v>412</v>
      </c>
      <c r="F2962" s="92" t="s">
        <v>12102</v>
      </c>
      <c r="H2962" s="8" t="s">
        <v>12103</v>
      </c>
      <c r="I2962" s="8" t="s">
        <v>4039</v>
      </c>
    </row>
    <row r="2963" spans="1:9" ht="14.25" customHeight="1" x14ac:dyDescent="0.25">
      <c r="A2963" s="7"/>
      <c r="B2963" s="8"/>
      <c r="C2963" s="8"/>
      <c r="D2963" s="8"/>
      <c r="E2963" s="8"/>
      <c r="F2963" s="12"/>
      <c r="H2963" s="8"/>
      <c r="I2963" s="8"/>
    </row>
    <row r="2964" spans="1:9" ht="14.25" customHeight="1" x14ac:dyDescent="0.25">
      <c r="A2964" s="7"/>
      <c r="B2964" s="8"/>
      <c r="C2964" s="8"/>
      <c r="D2964" s="8"/>
      <c r="E2964" s="8"/>
      <c r="F2964" s="12"/>
      <c r="H2964" s="8"/>
      <c r="I2964" s="8"/>
    </row>
    <row r="2965" spans="1:9" ht="14.25" customHeight="1" x14ac:dyDescent="0.25">
      <c r="A2965" s="7"/>
      <c r="B2965" s="8"/>
      <c r="C2965" s="8"/>
      <c r="D2965" s="8"/>
      <c r="E2965" s="8"/>
      <c r="F2965" s="12"/>
      <c r="H2965" s="8"/>
      <c r="I2965" s="8"/>
    </row>
    <row r="2966" spans="1:9" ht="14.25" customHeight="1" x14ac:dyDescent="0.25">
      <c r="A2966" s="7"/>
      <c r="B2966" s="8"/>
      <c r="C2966" s="8"/>
      <c r="D2966" s="8"/>
      <c r="E2966" s="8"/>
      <c r="F2966" s="12"/>
      <c r="H2966" s="8"/>
      <c r="I2966" s="8"/>
    </row>
    <row r="2967" spans="1:9" ht="14.25" customHeight="1" x14ac:dyDescent="0.25">
      <c r="A2967" s="7"/>
      <c r="B2967" s="8"/>
      <c r="C2967" s="8"/>
      <c r="D2967" s="8"/>
      <c r="E2967" s="8"/>
      <c r="F2967" s="12"/>
      <c r="H2967" s="8"/>
      <c r="I2967" s="8"/>
    </row>
    <row r="2968" spans="1:9" ht="14.25" customHeight="1" x14ac:dyDescent="0.25">
      <c r="A2968" s="7"/>
      <c r="B2968" s="8"/>
      <c r="C2968" s="8"/>
      <c r="D2968" s="8"/>
      <c r="E2968" s="8"/>
      <c r="F2968" s="12"/>
      <c r="H2968" s="8"/>
      <c r="I2968" s="8"/>
    </row>
    <row r="2969" spans="1:9" ht="14.25" customHeight="1" x14ac:dyDescent="0.25">
      <c r="A2969" s="7"/>
      <c r="B2969" s="8"/>
      <c r="C2969" s="8"/>
      <c r="D2969" s="8"/>
      <c r="E2969" s="8"/>
      <c r="F2969" s="12"/>
      <c r="H2969" s="8"/>
      <c r="I2969" s="8"/>
    </row>
    <row r="2970" spans="1:9" ht="14.25" customHeight="1" x14ac:dyDescent="0.25">
      <c r="A2970" s="7"/>
      <c r="B2970" s="8"/>
      <c r="C2970" s="8"/>
      <c r="D2970" s="8"/>
      <c r="E2970" s="8"/>
      <c r="F2970" s="12"/>
      <c r="H2970" s="8"/>
      <c r="I2970" s="8"/>
    </row>
    <row r="2971" spans="1:9" ht="14.25" customHeight="1" x14ac:dyDescent="0.25">
      <c r="A2971" s="7"/>
      <c r="B2971" s="8"/>
      <c r="C2971" s="8"/>
      <c r="D2971" s="8"/>
      <c r="E2971" s="8"/>
      <c r="F2971" s="12"/>
      <c r="H2971" s="8"/>
      <c r="I2971" s="8"/>
    </row>
    <row r="2972" spans="1:9" ht="14.25" customHeight="1" x14ac:dyDescent="0.25">
      <c r="A2972" s="7"/>
      <c r="B2972" s="8"/>
      <c r="C2972" s="8"/>
      <c r="D2972" s="8"/>
      <c r="E2972" s="8"/>
      <c r="F2972" s="12"/>
      <c r="H2972" s="8"/>
      <c r="I2972" s="8"/>
    </row>
    <row r="2973" spans="1:9" ht="14.25" customHeight="1" x14ac:dyDescent="0.25">
      <c r="A2973" s="7"/>
      <c r="B2973" s="8"/>
      <c r="C2973" s="8"/>
      <c r="D2973" s="8"/>
      <c r="E2973" s="8"/>
      <c r="F2973" s="12"/>
      <c r="H2973" s="8"/>
      <c r="I2973" s="8"/>
    </row>
    <row r="2974" spans="1:9" ht="14.25" customHeight="1" x14ac:dyDescent="0.25">
      <c r="A2974" s="7"/>
      <c r="B2974" s="8"/>
      <c r="C2974" s="8"/>
      <c r="D2974" s="8"/>
      <c r="E2974" s="8"/>
      <c r="F2974" s="12"/>
      <c r="H2974" s="8"/>
      <c r="I2974" s="8"/>
    </row>
    <row r="2975" spans="1:9" ht="14.25" customHeight="1" x14ac:dyDescent="0.25">
      <c r="A2975" s="7"/>
      <c r="B2975" s="8"/>
      <c r="C2975" s="8"/>
      <c r="D2975" s="8"/>
      <c r="E2975" s="8"/>
      <c r="F2975" s="12"/>
      <c r="H2975" s="8"/>
      <c r="I2975" s="8"/>
    </row>
    <row r="2976" spans="1:9" ht="14.25" customHeight="1" x14ac:dyDescent="0.25">
      <c r="A2976" s="7"/>
      <c r="B2976" s="8"/>
      <c r="C2976" s="8"/>
      <c r="D2976" s="8"/>
      <c r="E2976" s="8"/>
      <c r="F2976" s="12"/>
      <c r="H2976" s="8"/>
      <c r="I2976" s="8"/>
    </row>
    <row r="2977" spans="1:9" ht="14.25" customHeight="1" x14ac:dyDescent="0.25">
      <c r="A2977" s="7"/>
      <c r="B2977" s="8"/>
      <c r="C2977" s="8"/>
      <c r="D2977" s="8"/>
      <c r="E2977" s="8"/>
      <c r="F2977" s="12"/>
      <c r="H2977" s="8"/>
      <c r="I2977" s="8"/>
    </row>
    <row r="2978" spans="1:9" ht="14.25" customHeight="1" x14ac:dyDescent="0.25">
      <c r="A2978" s="7"/>
      <c r="B2978" s="8"/>
      <c r="C2978" s="8"/>
      <c r="D2978" s="8"/>
      <c r="E2978" s="8"/>
      <c r="F2978" s="12"/>
      <c r="H2978" s="8"/>
      <c r="I2978" s="8"/>
    </row>
    <row r="2979" spans="1:9" ht="14.25" customHeight="1" x14ac:dyDescent="0.25">
      <c r="A2979" s="7"/>
      <c r="B2979" s="8"/>
      <c r="C2979" s="8"/>
      <c r="D2979" s="8"/>
      <c r="E2979" s="8"/>
      <c r="F2979" s="12"/>
      <c r="H2979" s="8"/>
      <c r="I2979" s="8"/>
    </row>
    <row r="2980" spans="1:9" ht="14.25" customHeight="1" x14ac:dyDescent="0.25">
      <c r="A2980" s="7"/>
      <c r="B2980" s="8"/>
      <c r="C2980" s="8"/>
      <c r="D2980" s="8"/>
      <c r="E2980" s="8"/>
      <c r="F2980" s="12"/>
      <c r="H2980" s="8"/>
      <c r="I2980" s="8"/>
    </row>
    <row r="2981" spans="1:9" ht="14.25" customHeight="1" x14ac:dyDescent="0.25">
      <c r="A2981" s="7"/>
      <c r="B2981" s="8"/>
      <c r="C2981" s="8"/>
      <c r="D2981" s="8"/>
      <c r="E2981" s="8"/>
      <c r="F2981" s="12"/>
      <c r="H2981" s="8"/>
      <c r="I2981" s="8"/>
    </row>
    <row r="2982" spans="1:9" ht="14.25" customHeight="1" x14ac:dyDescent="0.25">
      <c r="A2982" s="7"/>
      <c r="B2982" s="8"/>
      <c r="C2982" s="8"/>
      <c r="D2982" s="8"/>
      <c r="E2982" s="8"/>
      <c r="F2982" s="12"/>
      <c r="H2982" s="8"/>
      <c r="I2982" s="8"/>
    </row>
    <row r="2983" spans="1:9" ht="14.25" customHeight="1" x14ac:dyDescent="0.25">
      <c r="A2983" s="7"/>
      <c r="B2983" s="8"/>
      <c r="C2983" s="8"/>
      <c r="D2983" s="8"/>
      <c r="E2983" s="8"/>
      <c r="F2983" s="12"/>
      <c r="H2983" s="8"/>
      <c r="I2983" s="8"/>
    </row>
    <row r="2984" spans="1:9" ht="14.25" customHeight="1" x14ac:dyDescent="0.25">
      <c r="A2984" s="7"/>
      <c r="B2984" s="8"/>
      <c r="C2984" s="8"/>
      <c r="D2984" s="8"/>
      <c r="E2984" s="8"/>
      <c r="F2984" s="12"/>
      <c r="H2984" s="8"/>
      <c r="I2984" s="8"/>
    </row>
    <row r="2985" spans="1:9" ht="14.25" customHeight="1" x14ac:dyDescent="0.25">
      <c r="A2985" s="7"/>
      <c r="B2985" s="8"/>
      <c r="C2985" s="8"/>
      <c r="D2985" s="8"/>
      <c r="E2985" s="8"/>
      <c r="F2985" s="12"/>
      <c r="H2985" s="8"/>
      <c r="I2985" s="8"/>
    </row>
    <row r="2986" spans="1:9" ht="14.25" customHeight="1" x14ac:dyDescent="0.25">
      <c r="A2986" s="7"/>
      <c r="B2986" s="8"/>
      <c r="C2986" s="8"/>
      <c r="D2986" s="8"/>
      <c r="E2986" s="8"/>
      <c r="F2986" s="12"/>
      <c r="H2986" s="8"/>
      <c r="I2986" s="8"/>
    </row>
    <row r="2987" spans="1:9" ht="14.25" customHeight="1" x14ac:dyDescent="0.25">
      <c r="A2987" s="7"/>
      <c r="B2987" s="8"/>
      <c r="C2987" s="8"/>
      <c r="D2987" s="8"/>
      <c r="E2987" s="8"/>
      <c r="F2987" s="12"/>
      <c r="H2987" s="8"/>
      <c r="I2987" s="8"/>
    </row>
    <row r="2988" spans="1:9" ht="14.25" customHeight="1" x14ac:dyDescent="0.25">
      <c r="A2988" s="7"/>
      <c r="B2988" s="8"/>
      <c r="C2988" s="8"/>
      <c r="D2988" s="8"/>
      <c r="E2988" s="8"/>
      <c r="F2988" s="12"/>
      <c r="H2988" s="8"/>
      <c r="I2988" s="8"/>
    </row>
    <row r="2989" spans="1:9" ht="14.25" customHeight="1" x14ac:dyDescent="0.25">
      <c r="A2989" s="7"/>
      <c r="B2989" s="8"/>
      <c r="C2989" s="8"/>
      <c r="D2989" s="8"/>
      <c r="E2989" s="8"/>
      <c r="F2989" s="12"/>
      <c r="H2989" s="8"/>
      <c r="I2989" s="8"/>
    </row>
    <row r="2990" spans="1:9" ht="14.25" customHeight="1" x14ac:dyDescent="0.25">
      <c r="A2990" s="7"/>
      <c r="B2990" s="8"/>
      <c r="C2990" s="8"/>
      <c r="D2990" s="8"/>
      <c r="E2990" s="8"/>
      <c r="F2990" s="12"/>
      <c r="H2990" s="8"/>
      <c r="I2990" s="8"/>
    </row>
    <row r="2991" spans="1:9" ht="14.25" customHeight="1" x14ac:dyDescent="0.25">
      <c r="A2991" s="7"/>
      <c r="B2991" s="8"/>
      <c r="C2991" s="8"/>
      <c r="D2991" s="8"/>
      <c r="E2991" s="8"/>
      <c r="F2991" s="12"/>
      <c r="H2991" s="8"/>
      <c r="I2991" s="8"/>
    </row>
    <row r="2992" spans="1:9" ht="14.25" customHeight="1" x14ac:dyDescent="0.25">
      <c r="A2992" s="7"/>
      <c r="B2992" s="8"/>
      <c r="C2992" s="8"/>
      <c r="D2992" s="8"/>
      <c r="E2992" s="8"/>
      <c r="F2992" s="12"/>
      <c r="H2992" s="8"/>
      <c r="I2992" s="8"/>
    </row>
    <row r="2993" spans="1:9" ht="14.25" customHeight="1" x14ac:dyDescent="0.25">
      <c r="A2993" s="7"/>
      <c r="B2993" s="8"/>
      <c r="C2993" s="8"/>
      <c r="D2993" s="8"/>
      <c r="E2993" s="8"/>
      <c r="F2993" s="12"/>
      <c r="H2993" s="8"/>
      <c r="I2993" s="8"/>
    </row>
    <row r="2994" spans="1:9" ht="14.25" customHeight="1" x14ac:dyDescent="0.25">
      <c r="A2994" s="7"/>
      <c r="B2994" s="8"/>
      <c r="C2994" s="8"/>
      <c r="D2994" s="8"/>
      <c r="E2994" s="8"/>
      <c r="F2994" s="12"/>
      <c r="H2994" s="8"/>
      <c r="I2994" s="8"/>
    </row>
    <row r="2995" spans="1:9" ht="14.25" customHeight="1" x14ac:dyDescent="0.25">
      <c r="A2995" s="7"/>
      <c r="B2995" s="8"/>
      <c r="C2995" s="8"/>
      <c r="D2995" s="8"/>
      <c r="E2995" s="8"/>
      <c r="F2995" s="12"/>
      <c r="H2995" s="8"/>
      <c r="I2995" s="8"/>
    </row>
    <row r="2996" spans="1:9" ht="14.25" customHeight="1" x14ac:dyDescent="0.25">
      <c r="A2996" s="7"/>
      <c r="B2996" s="8"/>
      <c r="C2996" s="8"/>
      <c r="D2996" s="8"/>
      <c r="E2996" s="8"/>
      <c r="F2996" s="12"/>
      <c r="H2996" s="8"/>
      <c r="I2996" s="8"/>
    </row>
    <row r="2997" spans="1:9" ht="14.25" customHeight="1" x14ac:dyDescent="0.25">
      <c r="A2997" s="7"/>
      <c r="B2997" s="8"/>
      <c r="C2997" s="8"/>
      <c r="D2997" s="8"/>
      <c r="E2997" s="8"/>
      <c r="F2997" s="12"/>
      <c r="H2997" s="8"/>
      <c r="I2997" s="8"/>
    </row>
    <row r="2998" spans="1:9" ht="14.25" customHeight="1" x14ac:dyDescent="0.25">
      <c r="A2998" s="7"/>
      <c r="B2998" s="8"/>
      <c r="C2998" s="8"/>
      <c r="D2998" s="8"/>
      <c r="E2998" s="8"/>
      <c r="F2998" s="12"/>
      <c r="H2998" s="8"/>
      <c r="I2998" s="8"/>
    </row>
    <row r="2999" spans="1:9" ht="14.25" customHeight="1" x14ac:dyDescent="0.25">
      <c r="A2999" s="7"/>
      <c r="B2999" s="8"/>
      <c r="C2999" s="8"/>
      <c r="D2999" s="8"/>
      <c r="E2999" s="8"/>
      <c r="F2999" s="12"/>
      <c r="H2999" s="8"/>
      <c r="I2999" s="8"/>
    </row>
    <row r="3000" spans="1:9" ht="14.25" customHeight="1" x14ac:dyDescent="0.25">
      <c r="A3000" s="7"/>
      <c r="B3000" s="8"/>
      <c r="C3000" s="8"/>
      <c r="D3000" s="8"/>
      <c r="E3000" s="8"/>
      <c r="F3000" s="12"/>
      <c r="H3000" s="8"/>
      <c r="I3000" s="8"/>
    </row>
    <row r="3001" spans="1:9" ht="14.25" customHeight="1" x14ac:dyDescent="0.25">
      <c r="A3001" s="7"/>
      <c r="B3001" s="8"/>
      <c r="C3001" s="8"/>
      <c r="D3001" s="8"/>
      <c r="E3001" s="8"/>
      <c r="F3001" s="12"/>
      <c r="H3001" s="8"/>
      <c r="I3001" s="8"/>
    </row>
    <row r="3002" spans="1:9" ht="14.25" customHeight="1" x14ac:dyDescent="0.25">
      <c r="A3002" s="7"/>
      <c r="B3002" s="8"/>
      <c r="C3002" s="8"/>
      <c r="D3002" s="8"/>
      <c r="E3002" s="8"/>
      <c r="F3002" s="12"/>
      <c r="H3002" s="8"/>
      <c r="I3002" s="8"/>
    </row>
    <row r="3003" spans="1:9" ht="14.25" customHeight="1" x14ac:dyDescent="0.25">
      <c r="A3003" s="7"/>
      <c r="B3003" s="8"/>
      <c r="C3003" s="8"/>
      <c r="D3003" s="8"/>
      <c r="E3003" s="8"/>
      <c r="F3003" s="12"/>
      <c r="H3003" s="8"/>
      <c r="I3003" s="8"/>
    </row>
    <row r="3004" spans="1:9" ht="14.25" customHeight="1" x14ac:dyDescent="0.25">
      <c r="A3004" s="7"/>
      <c r="B3004" s="8"/>
      <c r="C3004" s="8"/>
      <c r="D3004" s="8"/>
      <c r="E3004" s="8"/>
      <c r="F3004" s="12"/>
      <c r="H3004" s="8"/>
      <c r="I3004" s="8"/>
    </row>
    <row r="3005" spans="1:9" ht="14.25" customHeight="1" x14ac:dyDescent="0.25">
      <c r="A3005" s="7"/>
      <c r="B3005" s="8"/>
      <c r="C3005" s="8"/>
      <c r="D3005" s="8"/>
      <c r="E3005" s="8"/>
      <c r="F3005" s="12"/>
      <c r="H3005" s="8"/>
      <c r="I3005" s="8"/>
    </row>
    <row r="3006" spans="1:9" ht="14.25" customHeight="1" x14ac:dyDescent="0.25">
      <c r="A3006" s="7"/>
      <c r="B3006" s="8"/>
      <c r="C3006" s="8"/>
      <c r="D3006" s="8"/>
      <c r="E3006" s="8"/>
      <c r="F3006" s="12"/>
      <c r="H3006" s="8"/>
      <c r="I3006" s="8"/>
    </row>
    <row r="3007" spans="1:9" ht="14.25" customHeight="1" x14ac:dyDescent="0.25">
      <c r="A3007" s="7"/>
      <c r="B3007" s="8"/>
      <c r="C3007" s="8"/>
      <c r="D3007" s="8"/>
      <c r="E3007" s="8"/>
      <c r="F3007" s="12"/>
      <c r="H3007" s="8"/>
      <c r="I3007" s="8"/>
    </row>
    <row r="3008" spans="1:9" ht="14.25" customHeight="1" x14ac:dyDescent="0.25">
      <c r="A3008" s="7"/>
      <c r="B3008" s="8"/>
      <c r="C3008" s="8"/>
      <c r="D3008" s="8"/>
      <c r="E3008" s="8"/>
      <c r="F3008" s="12"/>
      <c r="H3008" s="8"/>
      <c r="I3008" s="8"/>
    </row>
    <row r="3009" spans="1:9" ht="14.25" customHeight="1" x14ac:dyDescent="0.25">
      <c r="A3009" s="7"/>
      <c r="B3009" s="8"/>
      <c r="C3009" s="8"/>
      <c r="D3009" s="8"/>
      <c r="E3009" s="8"/>
      <c r="F3009" s="12"/>
      <c r="H3009" s="8"/>
      <c r="I3009" s="8"/>
    </row>
    <row r="3010" spans="1:9" ht="14.25" customHeight="1" x14ac:dyDescent="0.25">
      <c r="A3010" s="7"/>
      <c r="B3010" s="8"/>
      <c r="C3010" s="8"/>
      <c r="D3010" s="8"/>
      <c r="E3010" s="8"/>
      <c r="F3010" s="12"/>
      <c r="H3010" s="8"/>
      <c r="I3010" s="8"/>
    </row>
    <row r="3011" spans="1:9" ht="14.25" customHeight="1" x14ac:dyDescent="0.25">
      <c r="A3011" s="7"/>
      <c r="B3011" s="8"/>
      <c r="C3011" s="8"/>
      <c r="D3011" s="8"/>
      <c r="E3011" s="8"/>
      <c r="F3011" s="12"/>
      <c r="H3011" s="8"/>
      <c r="I3011" s="8"/>
    </row>
    <row r="3012" spans="1:9" ht="14.25" customHeight="1" x14ac:dyDescent="0.25">
      <c r="A3012" s="7"/>
      <c r="B3012" s="8"/>
      <c r="C3012" s="8"/>
      <c r="D3012" s="8"/>
      <c r="E3012" s="8"/>
      <c r="F3012" s="12"/>
      <c r="H3012" s="8"/>
      <c r="I3012" s="8"/>
    </row>
    <row r="3013" spans="1:9" ht="14.25" customHeight="1" x14ac:dyDescent="0.25">
      <c r="A3013" s="7"/>
      <c r="B3013" s="8"/>
      <c r="C3013" s="8"/>
      <c r="D3013" s="8"/>
      <c r="E3013" s="8"/>
      <c r="F3013" s="12"/>
      <c r="H3013" s="8"/>
      <c r="I3013" s="8"/>
    </row>
    <row r="3014" spans="1:9" ht="14.25" customHeight="1" x14ac:dyDescent="0.25">
      <c r="A3014" s="7"/>
      <c r="B3014" s="8"/>
      <c r="C3014" s="8"/>
      <c r="D3014" s="8"/>
      <c r="E3014" s="8"/>
      <c r="F3014" s="12"/>
      <c r="H3014" s="8"/>
      <c r="I3014" s="8"/>
    </row>
    <row r="3015" spans="1:9" ht="14.25" customHeight="1" x14ac:dyDescent="0.25">
      <c r="A3015" s="7"/>
      <c r="B3015" s="8"/>
      <c r="C3015" s="8"/>
      <c r="D3015" s="8"/>
      <c r="E3015" s="8"/>
      <c r="F3015" s="12"/>
      <c r="H3015" s="8"/>
      <c r="I3015" s="8"/>
    </row>
    <row r="3016" spans="1:9" ht="14.25" customHeight="1" x14ac:dyDescent="0.25">
      <c r="A3016" s="7"/>
      <c r="B3016" s="8"/>
      <c r="C3016" s="8"/>
      <c r="D3016" s="8"/>
      <c r="E3016" s="8"/>
      <c r="F3016" s="12"/>
      <c r="H3016" s="8"/>
      <c r="I3016" s="8"/>
    </row>
    <row r="3017" spans="1:9" ht="14.25" customHeight="1" x14ac:dyDescent="0.25">
      <c r="A3017" s="7"/>
      <c r="B3017" s="8"/>
      <c r="C3017" s="8"/>
      <c r="D3017" s="8"/>
      <c r="E3017" s="8"/>
      <c r="F3017" s="12"/>
      <c r="H3017" s="8"/>
      <c r="I3017" s="8"/>
    </row>
    <row r="3018" spans="1:9" ht="14.25" customHeight="1" x14ac:dyDescent="0.25">
      <c r="A3018" s="7"/>
      <c r="B3018" s="8"/>
      <c r="C3018" s="8"/>
      <c r="D3018" s="8"/>
      <c r="E3018" s="8"/>
      <c r="F3018" s="12"/>
      <c r="H3018" s="8"/>
      <c r="I3018" s="8"/>
    </row>
    <row r="3019" spans="1:9" ht="14.25" customHeight="1" x14ac:dyDescent="0.25">
      <c r="A3019" s="7"/>
      <c r="B3019" s="8"/>
      <c r="C3019" s="8"/>
      <c r="D3019" s="8"/>
      <c r="E3019" s="8"/>
      <c r="F3019" s="12"/>
      <c r="H3019" s="8"/>
      <c r="I3019" s="8"/>
    </row>
    <row r="3020" spans="1:9" ht="14.25" customHeight="1" x14ac:dyDescent="0.25">
      <c r="A3020" s="7"/>
      <c r="B3020" s="8"/>
      <c r="C3020" s="8"/>
      <c r="D3020" s="8"/>
      <c r="E3020" s="8"/>
      <c r="F3020" s="12"/>
      <c r="H3020" s="8"/>
      <c r="I3020" s="8"/>
    </row>
    <row r="3021" spans="1:9" ht="14.25" customHeight="1" x14ac:dyDescent="0.25">
      <c r="A3021" s="7"/>
      <c r="B3021" s="8"/>
      <c r="C3021" s="8"/>
      <c r="D3021" s="8"/>
      <c r="E3021" s="8"/>
      <c r="F3021" s="12"/>
      <c r="H3021" s="8"/>
      <c r="I3021" s="8"/>
    </row>
    <row r="3022" spans="1:9" ht="14.25" customHeight="1" x14ac:dyDescent="0.25">
      <c r="A3022" s="7"/>
      <c r="B3022" s="8"/>
      <c r="C3022" s="8"/>
      <c r="D3022" s="8"/>
      <c r="E3022" s="8"/>
      <c r="F3022" s="12"/>
      <c r="H3022" s="8"/>
      <c r="I3022" s="8"/>
    </row>
    <row r="3023" spans="1:9" ht="14.25" customHeight="1" x14ac:dyDescent="0.25">
      <c r="A3023" s="7"/>
      <c r="B3023" s="8"/>
      <c r="C3023" s="8"/>
      <c r="D3023" s="8"/>
      <c r="E3023" s="8"/>
      <c r="F3023" s="12"/>
      <c r="H3023" s="8"/>
      <c r="I3023" s="8"/>
    </row>
    <row r="3024" spans="1:9" ht="14.25" customHeight="1" x14ac:dyDescent="0.25">
      <c r="A3024" s="7"/>
      <c r="B3024" s="8"/>
      <c r="C3024" s="8"/>
      <c r="D3024" s="8"/>
      <c r="E3024" s="8"/>
      <c r="F3024" s="12"/>
      <c r="H3024" s="8"/>
      <c r="I3024" s="8"/>
    </row>
    <row r="3025" spans="1:9" ht="14.25" customHeight="1" x14ac:dyDescent="0.25">
      <c r="A3025" s="7"/>
      <c r="B3025" s="8"/>
      <c r="C3025" s="8"/>
      <c r="D3025" s="8"/>
      <c r="E3025" s="8"/>
      <c r="F3025" s="12"/>
      <c r="H3025" s="8"/>
      <c r="I3025" s="8"/>
    </row>
    <row r="3026" spans="1:9" ht="14.25" customHeight="1" x14ac:dyDescent="0.25">
      <c r="A3026" s="7"/>
      <c r="B3026" s="8"/>
      <c r="C3026" s="8"/>
      <c r="D3026" s="8"/>
      <c r="E3026" s="8"/>
      <c r="F3026" s="12"/>
      <c r="H3026" s="8"/>
      <c r="I3026" s="8"/>
    </row>
    <row r="3027" spans="1:9" ht="14.25" customHeight="1" x14ac:dyDescent="0.25">
      <c r="A3027" s="7"/>
      <c r="B3027" s="8"/>
      <c r="C3027" s="8"/>
      <c r="D3027" s="8"/>
      <c r="E3027" s="8"/>
      <c r="F3027" s="12"/>
      <c r="H3027" s="8"/>
      <c r="I3027" s="8"/>
    </row>
    <row r="3028" spans="1:9" ht="14.25" customHeight="1" x14ac:dyDescent="0.25">
      <c r="A3028" s="7"/>
      <c r="B3028" s="8"/>
      <c r="C3028" s="8"/>
      <c r="D3028" s="8"/>
      <c r="E3028" s="8"/>
      <c r="F3028" s="12"/>
      <c r="H3028" s="8"/>
      <c r="I3028" s="8"/>
    </row>
    <row r="3029" spans="1:9" ht="14.25" customHeight="1" x14ac:dyDescent="0.25">
      <c r="A3029" s="7"/>
      <c r="B3029" s="8"/>
      <c r="C3029" s="8"/>
      <c r="D3029" s="8"/>
      <c r="E3029" s="8"/>
      <c r="F3029" s="12"/>
      <c r="H3029" s="8"/>
      <c r="I3029" s="8"/>
    </row>
    <row r="3030" spans="1:9" ht="14.25" customHeight="1" x14ac:dyDescent="0.25">
      <c r="A3030" s="7"/>
      <c r="B3030" s="8"/>
      <c r="C3030" s="8"/>
      <c r="D3030" s="8"/>
      <c r="E3030" s="8"/>
      <c r="F3030" s="12"/>
      <c r="H3030" s="8"/>
      <c r="I3030" s="8"/>
    </row>
    <row r="3031" spans="1:9" ht="14.25" customHeight="1" x14ac:dyDescent="0.25">
      <c r="A3031" s="7"/>
      <c r="B3031" s="8"/>
      <c r="C3031" s="8"/>
      <c r="D3031" s="8"/>
      <c r="E3031" s="8"/>
      <c r="F3031" s="12"/>
      <c r="H3031" s="8"/>
      <c r="I3031" s="8"/>
    </row>
    <row r="3032" spans="1:9" ht="14.25" customHeight="1" x14ac:dyDescent="0.25">
      <c r="A3032" s="7"/>
      <c r="B3032" s="8"/>
      <c r="C3032" s="8"/>
      <c r="D3032" s="8"/>
      <c r="E3032" s="8"/>
      <c r="F3032" s="12"/>
      <c r="H3032" s="8"/>
      <c r="I3032" s="8"/>
    </row>
    <row r="3033" spans="1:9" ht="14.25" customHeight="1" x14ac:dyDescent="0.25">
      <c r="A3033" s="7"/>
      <c r="B3033" s="8"/>
      <c r="C3033" s="8"/>
      <c r="D3033" s="8"/>
      <c r="E3033" s="8"/>
      <c r="F3033" s="12"/>
      <c r="H3033" s="8"/>
      <c r="I3033" s="8"/>
    </row>
    <row r="3034" spans="1:9" ht="14.25" customHeight="1" x14ac:dyDescent="0.25">
      <c r="A3034" s="7"/>
      <c r="B3034" s="8"/>
      <c r="C3034" s="8"/>
      <c r="D3034" s="8"/>
      <c r="E3034" s="8"/>
      <c r="F3034" s="12"/>
      <c r="H3034" s="8"/>
      <c r="I3034" s="8"/>
    </row>
    <row r="3035" spans="1:9" ht="14.25" customHeight="1" x14ac:dyDescent="0.25">
      <c r="A3035" s="7"/>
      <c r="B3035" s="8"/>
      <c r="C3035" s="8"/>
      <c r="D3035" s="8"/>
      <c r="E3035" s="8"/>
      <c r="F3035" s="12"/>
      <c r="H3035" s="8"/>
      <c r="I3035" s="8"/>
    </row>
    <row r="3036" spans="1:9" ht="14.25" customHeight="1" x14ac:dyDescent="0.25">
      <c r="A3036" s="7"/>
      <c r="B3036" s="8"/>
      <c r="C3036" s="8"/>
      <c r="D3036" s="8"/>
      <c r="E3036" s="8"/>
      <c r="F3036" s="12"/>
      <c r="H3036" s="8"/>
      <c r="I3036" s="8"/>
    </row>
    <row r="3037" spans="1:9" ht="14.25" customHeight="1" x14ac:dyDescent="0.25">
      <c r="A3037" s="7"/>
      <c r="B3037" s="8"/>
      <c r="C3037" s="8"/>
      <c r="D3037" s="8"/>
      <c r="E3037" s="8"/>
      <c r="F3037" s="12"/>
      <c r="H3037" s="8"/>
      <c r="I3037" s="8"/>
    </row>
    <row r="3038" spans="1:9" ht="14.25" customHeight="1" x14ac:dyDescent="0.25">
      <c r="A3038" s="7"/>
      <c r="B3038" s="8"/>
      <c r="C3038" s="8"/>
      <c r="D3038" s="8"/>
      <c r="E3038" s="8"/>
      <c r="F3038" s="12"/>
      <c r="H3038" s="8"/>
      <c r="I3038" s="8"/>
    </row>
    <row r="3039" spans="1:9" ht="14.25" customHeight="1" x14ac:dyDescent="0.25">
      <c r="A3039" s="7"/>
      <c r="B3039" s="8"/>
      <c r="C3039" s="8"/>
      <c r="D3039" s="8"/>
      <c r="E3039" s="8"/>
      <c r="F3039" s="12"/>
      <c r="H3039" s="8"/>
      <c r="I3039" s="8"/>
    </row>
    <row r="3040" spans="1:9" ht="14.25" customHeight="1" x14ac:dyDescent="0.25">
      <c r="A3040" s="7"/>
      <c r="B3040" s="8"/>
      <c r="C3040" s="8"/>
      <c r="D3040" s="8"/>
      <c r="E3040" s="8"/>
      <c r="F3040" s="12"/>
      <c r="H3040" s="8"/>
      <c r="I3040" s="8"/>
    </row>
    <row r="3041" spans="1:9" ht="14.25" customHeight="1" x14ac:dyDescent="0.25">
      <c r="A3041" s="7"/>
      <c r="B3041" s="8"/>
      <c r="C3041" s="8"/>
      <c r="D3041" s="8"/>
      <c r="E3041" s="8"/>
      <c r="F3041" s="12"/>
      <c r="H3041" s="8"/>
      <c r="I3041" s="8"/>
    </row>
    <row r="3042" spans="1:9" ht="14.25" customHeight="1" x14ac:dyDescent="0.25">
      <c r="A3042" s="7"/>
      <c r="B3042" s="8"/>
      <c r="C3042" s="8"/>
      <c r="D3042" s="8"/>
      <c r="E3042" s="8"/>
      <c r="F3042" s="12"/>
      <c r="H3042" s="8"/>
      <c r="I3042" s="8"/>
    </row>
    <row r="3043" spans="1:9" ht="14.25" customHeight="1" x14ac:dyDescent="0.25">
      <c r="A3043" s="7"/>
      <c r="B3043" s="8"/>
      <c r="C3043" s="8"/>
      <c r="D3043" s="8"/>
      <c r="E3043" s="8"/>
      <c r="F3043" s="12"/>
      <c r="H3043" s="8"/>
      <c r="I3043" s="8"/>
    </row>
    <row r="3044" spans="1:9" ht="14.25" customHeight="1" x14ac:dyDescent="0.25">
      <c r="A3044" s="7"/>
      <c r="B3044" s="8"/>
      <c r="C3044" s="8"/>
      <c r="D3044" s="8"/>
      <c r="E3044" s="8"/>
      <c r="F3044" s="12"/>
      <c r="H3044" s="8"/>
      <c r="I3044" s="8"/>
    </row>
    <row r="3045" spans="1:9" ht="14.25" customHeight="1" x14ac:dyDescent="0.25">
      <c r="A3045" s="7"/>
      <c r="B3045" s="8"/>
      <c r="C3045" s="8"/>
      <c r="D3045" s="8"/>
      <c r="E3045" s="8"/>
      <c r="F3045" s="12"/>
      <c r="H3045" s="8"/>
      <c r="I3045" s="8"/>
    </row>
    <row r="3046" spans="1:9" ht="14.25" customHeight="1" x14ac:dyDescent="0.25">
      <c r="A3046" s="7"/>
      <c r="B3046" s="8"/>
      <c r="C3046" s="8"/>
      <c r="D3046" s="8"/>
      <c r="E3046" s="8"/>
      <c r="F3046" s="12"/>
      <c r="H3046" s="8"/>
      <c r="I3046" s="8"/>
    </row>
    <row r="3047" spans="1:9" ht="14.25" customHeight="1" x14ac:dyDescent="0.25">
      <c r="A3047" s="7"/>
      <c r="B3047" s="8"/>
      <c r="C3047" s="8"/>
      <c r="D3047" s="8"/>
      <c r="E3047" s="8"/>
      <c r="F3047" s="12"/>
      <c r="H3047" s="8"/>
      <c r="I3047" s="8"/>
    </row>
    <row r="3048" spans="1:9" ht="14.25" customHeight="1" x14ac:dyDescent="0.25">
      <c r="A3048" s="7"/>
      <c r="B3048" s="8"/>
      <c r="C3048" s="8"/>
      <c r="D3048" s="8"/>
      <c r="E3048" s="8"/>
      <c r="F3048" s="12"/>
      <c r="H3048" s="8"/>
      <c r="I3048" s="8"/>
    </row>
    <row r="3049" spans="1:9" ht="14.25" customHeight="1" x14ac:dyDescent="0.25">
      <c r="A3049" s="7"/>
      <c r="B3049" s="8"/>
      <c r="C3049" s="8"/>
      <c r="D3049" s="8"/>
      <c r="E3049" s="8"/>
      <c r="F3049" s="12"/>
      <c r="H3049" s="8"/>
      <c r="I3049" s="8"/>
    </row>
    <row r="3050" spans="1:9" ht="14.25" customHeight="1" x14ac:dyDescent="0.25">
      <c r="A3050" s="7"/>
      <c r="B3050" s="8"/>
      <c r="C3050" s="8"/>
      <c r="D3050" s="8"/>
      <c r="E3050" s="8"/>
      <c r="F3050" s="12"/>
      <c r="H3050" s="8"/>
      <c r="I3050" s="8"/>
    </row>
    <row r="3051" spans="1:9" ht="14.25" customHeight="1" x14ac:dyDescent="0.25">
      <c r="A3051" s="7"/>
      <c r="B3051" s="8"/>
      <c r="C3051" s="8"/>
      <c r="D3051" s="8"/>
      <c r="E3051" s="8"/>
      <c r="F3051" s="12"/>
      <c r="H3051" s="8"/>
      <c r="I3051" s="8"/>
    </row>
    <row r="3052" spans="1:9" ht="14.25" customHeight="1" x14ac:dyDescent="0.25">
      <c r="A3052" s="7"/>
      <c r="B3052" s="8"/>
      <c r="C3052" s="8"/>
      <c r="D3052" s="8"/>
      <c r="E3052" s="8"/>
      <c r="F3052" s="12"/>
      <c r="H3052" s="8"/>
      <c r="I3052" s="8"/>
    </row>
    <row r="3053" spans="1:9" ht="14.25" customHeight="1" x14ac:dyDescent="0.25">
      <c r="A3053" s="7"/>
      <c r="B3053" s="8"/>
      <c r="C3053" s="8"/>
      <c r="D3053" s="8"/>
      <c r="E3053" s="8"/>
      <c r="F3053" s="12"/>
      <c r="H3053" s="8"/>
      <c r="I3053" s="8"/>
    </row>
    <row r="3054" spans="1:9" ht="14.25" customHeight="1" x14ac:dyDescent="0.25">
      <c r="A3054" s="7"/>
      <c r="B3054" s="8"/>
      <c r="C3054" s="8"/>
      <c r="D3054" s="8"/>
      <c r="E3054" s="8"/>
      <c r="F3054" s="12"/>
      <c r="H3054" s="8"/>
      <c r="I3054" s="8"/>
    </row>
    <row r="3055" spans="1:9" ht="14.25" customHeight="1" x14ac:dyDescent="0.25">
      <c r="A3055" s="7"/>
      <c r="B3055" s="8"/>
      <c r="C3055" s="8"/>
      <c r="D3055" s="8"/>
      <c r="E3055" s="8"/>
      <c r="F3055" s="12"/>
      <c r="H3055" s="8"/>
      <c r="I3055" s="8"/>
    </row>
    <row r="3056" spans="1:9" ht="14.25" customHeight="1" x14ac:dyDescent="0.25">
      <c r="A3056" s="7"/>
      <c r="B3056" s="8"/>
      <c r="C3056" s="8"/>
      <c r="D3056" s="8"/>
      <c r="E3056" s="8"/>
      <c r="F3056" s="12"/>
      <c r="H3056" s="8"/>
      <c r="I3056" s="8"/>
    </row>
    <row r="3057" spans="1:9" ht="14.25" customHeight="1" x14ac:dyDescent="0.25">
      <c r="A3057" s="7"/>
      <c r="B3057" s="8"/>
      <c r="C3057" s="8"/>
      <c r="D3057" s="8"/>
      <c r="E3057" s="8"/>
      <c r="F3057" s="12"/>
      <c r="H3057" s="8"/>
      <c r="I3057" s="8"/>
    </row>
    <row r="3058" spans="1:9" ht="14.25" customHeight="1" x14ac:dyDescent="0.25">
      <c r="A3058" s="7"/>
      <c r="B3058" s="8"/>
      <c r="C3058" s="8"/>
      <c r="D3058" s="8"/>
      <c r="E3058" s="8"/>
      <c r="F3058" s="12"/>
      <c r="H3058" s="8"/>
      <c r="I3058" s="8"/>
    </row>
    <row r="3059" spans="1:9" ht="14.25" customHeight="1" x14ac:dyDescent="0.25">
      <c r="A3059" s="7"/>
      <c r="B3059" s="8"/>
      <c r="C3059" s="8"/>
      <c r="D3059" s="8"/>
      <c r="E3059" s="8"/>
      <c r="F3059" s="12"/>
      <c r="H3059" s="8"/>
      <c r="I3059" s="8"/>
    </row>
    <row r="3060" spans="1:9" ht="14.25" customHeight="1" x14ac:dyDescent="0.25">
      <c r="A3060" s="7"/>
      <c r="B3060" s="8"/>
      <c r="C3060" s="8"/>
      <c r="D3060" s="8"/>
      <c r="E3060" s="8"/>
      <c r="F3060" s="12"/>
      <c r="H3060" s="8"/>
      <c r="I3060" s="8"/>
    </row>
    <row r="3061" spans="1:9" ht="14.25" customHeight="1" x14ac:dyDescent="0.25">
      <c r="A3061" s="7"/>
      <c r="B3061" s="8"/>
      <c r="C3061" s="8"/>
      <c r="D3061" s="8"/>
      <c r="E3061" s="8"/>
      <c r="F3061" s="12"/>
      <c r="H3061" s="8"/>
      <c r="I3061" s="8"/>
    </row>
    <row r="3062" spans="1:9" ht="14.25" customHeight="1" x14ac:dyDescent="0.25">
      <c r="A3062" s="7"/>
      <c r="B3062" s="8"/>
      <c r="C3062" s="8"/>
      <c r="D3062" s="8"/>
      <c r="E3062" s="8"/>
      <c r="F3062" s="12"/>
      <c r="H3062" s="8"/>
      <c r="I3062" s="8"/>
    </row>
    <row r="3063" spans="1:9" ht="14.25" customHeight="1" x14ac:dyDescent="0.25">
      <c r="A3063" s="7"/>
      <c r="B3063" s="8"/>
      <c r="C3063" s="8"/>
      <c r="D3063" s="8"/>
      <c r="E3063" s="8"/>
      <c r="F3063" s="12"/>
      <c r="H3063" s="8"/>
      <c r="I3063" s="8"/>
    </row>
    <row r="3064" spans="1:9" ht="14.25" customHeight="1" x14ac:dyDescent="0.25">
      <c r="A3064" s="7"/>
      <c r="B3064" s="8"/>
      <c r="C3064" s="8"/>
      <c r="D3064" s="8"/>
      <c r="E3064" s="8"/>
      <c r="F3064" s="12"/>
      <c r="H3064" s="8"/>
      <c r="I3064" s="8"/>
    </row>
    <row r="3065" spans="1:9" ht="14.25" customHeight="1" x14ac:dyDescent="0.25">
      <c r="A3065" s="7"/>
      <c r="B3065" s="8"/>
      <c r="C3065" s="8"/>
      <c r="D3065" s="8"/>
      <c r="E3065" s="8"/>
      <c r="F3065" s="12"/>
      <c r="H3065" s="8"/>
      <c r="I3065" s="8"/>
    </row>
    <row r="3066" spans="1:9" ht="14.25" customHeight="1" x14ac:dyDescent="0.25">
      <c r="A3066" s="7"/>
      <c r="B3066" s="8"/>
      <c r="C3066" s="8"/>
      <c r="D3066" s="8"/>
      <c r="E3066" s="8"/>
      <c r="F3066" s="12"/>
      <c r="H3066" s="8"/>
      <c r="I3066" s="8"/>
    </row>
    <row r="3067" spans="1:9" ht="14.25" customHeight="1" x14ac:dyDescent="0.25">
      <c r="A3067" s="7"/>
      <c r="B3067" s="8"/>
      <c r="C3067" s="8"/>
      <c r="D3067" s="8"/>
      <c r="E3067" s="8"/>
      <c r="F3067" s="12"/>
      <c r="H3067" s="8"/>
      <c r="I3067" s="8"/>
    </row>
    <row r="3068" spans="1:9" ht="14.25" customHeight="1" x14ac:dyDescent="0.25">
      <c r="A3068" s="7"/>
      <c r="B3068" s="8"/>
      <c r="C3068" s="8"/>
      <c r="D3068" s="8"/>
      <c r="E3068" s="8"/>
      <c r="F3068" s="12"/>
      <c r="H3068" s="8"/>
      <c r="I3068" s="8"/>
    </row>
    <row r="3069" spans="1:9" ht="14.25" customHeight="1" x14ac:dyDescent="0.25">
      <c r="A3069" s="7"/>
      <c r="B3069" s="8"/>
      <c r="C3069" s="8"/>
      <c r="D3069" s="8"/>
      <c r="E3069" s="8"/>
      <c r="F3069" s="12"/>
      <c r="H3069" s="8"/>
      <c r="I3069" s="8"/>
    </row>
    <row r="3070" spans="1:9" ht="14.25" customHeight="1" x14ac:dyDescent="0.25">
      <c r="A3070" s="7"/>
      <c r="B3070" s="8"/>
      <c r="C3070" s="8"/>
      <c r="D3070" s="8"/>
      <c r="E3070" s="8"/>
      <c r="F3070" s="12"/>
      <c r="H3070" s="8"/>
      <c r="I3070" s="8"/>
    </row>
    <row r="3071" spans="1:9" ht="14.25" customHeight="1" x14ac:dyDescent="0.25">
      <c r="A3071" s="7"/>
      <c r="B3071" s="8"/>
      <c r="C3071" s="8"/>
      <c r="D3071" s="8"/>
      <c r="E3071" s="8"/>
      <c r="F3071" s="12"/>
      <c r="H3071" s="8"/>
      <c r="I3071" s="8"/>
    </row>
    <row r="3072" spans="1:9" ht="14.25" customHeight="1" x14ac:dyDescent="0.25">
      <c r="A3072" s="7"/>
      <c r="B3072" s="8"/>
      <c r="C3072" s="8"/>
      <c r="D3072" s="8"/>
      <c r="E3072" s="8"/>
      <c r="F3072" s="12"/>
      <c r="H3072" s="8"/>
      <c r="I3072" s="8"/>
    </row>
    <row r="3073" spans="1:9" ht="14.25" customHeight="1" x14ac:dyDescent="0.25">
      <c r="A3073" s="7"/>
      <c r="B3073" s="8"/>
      <c r="C3073" s="8"/>
      <c r="D3073" s="8"/>
      <c r="E3073" s="8"/>
      <c r="F3073" s="12"/>
      <c r="H3073" s="8"/>
      <c r="I3073" s="8"/>
    </row>
    <row r="3074" spans="1:9" ht="14.25" customHeight="1" x14ac:dyDescent="0.25">
      <c r="A3074" s="7"/>
      <c r="B3074" s="8"/>
      <c r="C3074" s="8"/>
      <c r="D3074" s="8"/>
      <c r="E3074" s="8"/>
      <c r="F3074" s="12"/>
      <c r="H3074" s="8"/>
      <c r="I3074" s="8"/>
    </row>
    <row r="3075" spans="1:9" ht="14.25" customHeight="1" x14ac:dyDescent="0.25">
      <c r="A3075" s="7"/>
      <c r="B3075" s="8"/>
      <c r="C3075" s="8"/>
      <c r="D3075" s="8"/>
      <c r="E3075" s="8"/>
      <c r="F3075" s="12"/>
      <c r="H3075" s="8"/>
      <c r="I3075" s="8"/>
    </row>
    <row r="3076" spans="1:9" ht="14.25" customHeight="1" x14ac:dyDescent="0.25">
      <c r="A3076" s="7"/>
      <c r="B3076" s="8"/>
      <c r="C3076" s="8"/>
      <c r="D3076" s="8"/>
      <c r="E3076" s="8"/>
      <c r="F3076" s="12"/>
      <c r="H3076" s="8"/>
      <c r="I3076" s="8"/>
    </row>
    <row r="3077" spans="1:9" ht="14.25" customHeight="1" x14ac:dyDescent="0.25">
      <c r="A3077" s="7"/>
      <c r="B3077" s="8"/>
      <c r="C3077" s="8"/>
      <c r="D3077" s="8"/>
      <c r="E3077" s="8"/>
      <c r="F3077" s="12"/>
      <c r="H3077" s="8"/>
      <c r="I3077" s="8"/>
    </row>
    <row r="3078" spans="1:9" ht="14.25" customHeight="1" x14ac:dyDescent="0.25">
      <c r="A3078" s="7"/>
      <c r="B3078" s="8"/>
      <c r="C3078" s="8"/>
      <c r="D3078" s="8"/>
      <c r="E3078" s="8"/>
      <c r="F3078" s="12"/>
      <c r="H3078" s="8"/>
      <c r="I3078" s="8"/>
    </row>
    <row r="3079" spans="1:9" ht="14.25" customHeight="1" x14ac:dyDescent="0.25">
      <c r="A3079" s="7"/>
      <c r="B3079" s="8"/>
      <c r="C3079" s="8"/>
      <c r="D3079" s="8"/>
      <c r="E3079" s="8"/>
      <c r="F3079" s="12"/>
      <c r="H3079" s="8"/>
      <c r="I3079" s="8"/>
    </row>
    <row r="3080" spans="1:9" ht="14.25" customHeight="1" x14ac:dyDescent="0.25">
      <c r="A3080" s="7"/>
      <c r="B3080" s="8"/>
      <c r="C3080" s="8"/>
      <c r="D3080" s="8"/>
      <c r="E3080" s="8"/>
      <c r="F3080" s="12"/>
      <c r="H3080" s="8"/>
      <c r="I3080" s="8"/>
    </row>
    <row r="3081" spans="1:9" ht="14.25" customHeight="1" x14ac:dyDescent="0.25">
      <c r="A3081" s="7"/>
      <c r="B3081" s="8"/>
      <c r="C3081" s="8"/>
      <c r="D3081" s="8"/>
      <c r="E3081" s="8"/>
      <c r="F3081" s="12"/>
      <c r="H3081" s="8"/>
      <c r="I3081" s="8"/>
    </row>
    <row r="3082" spans="1:9" ht="14.25" customHeight="1" x14ac:dyDescent="0.25">
      <c r="A3082" s="7"/>
      <c r="B3082" s="8"/>
      <c r="C3082" s="8"/>
      <c r="D3082" s="8"/>
      <c r="E3082" s="8"/>
      <c r="F3082" s="12"/>
      <c r="H3082" s="8"/>
      <c r="I3082" s="8"/>
    </row>
    <row r="3083" spans="1:9" ht="14.25" customHeight="1" x14ac:dyDescent="0.25">
      <c r="A3083" s="7"/>
      <c r="B3083" s="8"/>
      <c r="C3083" s="8"/>
      <c r="D3083" s="8"/>
      <c r="E3083" s="8"/>
      <c r="F3083" s="12"/>
      <c r="H3083" s="8"/>
      <c r="I3083" s="8"/>
    </row>
    <row r="3084" spans="1:9" ht="14.25" customHeight="1" x14ac:dyDescent="0.25">
      <c r="A3084" s="7"/>
      <c r="B3084" s="8"/>
      <c r="C3084" s="8"/>
      <c r="D3084" s="8"/>
      <c r="E3084" s="8"/>
      <c r="F3084" s="12"/>
      <c r="H3084" s="8"/>
      <c r="I3084" s="8"/>
    </row>
    <row r="3085" spans="1:9" ht="14.25" customHeight="1" x14ac:dyDescent="0.25">
      <c r="A3085" s="7"/>
      <c r="B3085" s="8"/>
      <c r="C3085" s="8"/>
      <c r="D3085" s="8"/>
      <c r="E3085" s="8"/>
      <c r="F3085" s="12"/>
      <c r="H3085" s="8"/>
      <c r="I3085" s="8"/>
    </row>
    <row r="3086" spans="1:9" ht="14.25" customHeight="1" x14ac:dyDescent="0.25">
      <c r="A3086" s="7"/>
      <c r="B3086" s="8"/>
      <c r="C3086" s="8"/>
      <c r="D3086" s="8"/>
      <c r="E3086" s="8"/>
      <c r="F3086" s="12"/>
      <c r="H3086" s="8"/>
      <c r="I3086" s="8"/>
    </row>
    <row r="3087" spans="1:9" ht="14.25" customHeight="1" x14ac:dyDescent="0.25">
      <c r="A3087" s="7"/>
      <c r="B3087" s="8"/>
      <c r="C3087" s="8"/>
      <c r="D3087" s="8"/>
      <c r="E3087" s="8"/>
      <c r="F3087" s="12"/>
      <c r="H3087" s="8"/>
      <c r="I3087" s="8"/>
    </row>
    <row r="3088" spans="1:9" ht="14.25" customHeight="1" x14ac:dyDescent="0.25">
      <c r="A3088" s="7"/>
      <c r="B3088" s="8"/>
      <c r="C3088" s="8"/>
      <c r="D3088" s="8"/>
      <c r="E3088" s="8"/>
      <c r="F3088" s="12"/>
      <c r="H3088" s="8"/>
      <c r="I3088" s="8"/>
    </row>
    <row r="3089" spans="1:9" ht="14.25" customHeight="1" x14ac:dyDescent="0.25">
      <c r="A3089" s="7"/>
      <c r="B3089" s="8"/>
      <c r="C3089" s="8"/>
      <c r="D3089" s="8"/>
      <c r="E3089" s="8"/>
      <c r="F3089" s="12"/>
      <c r="H3089" s="8"/>
      <c r="I3089" s="8"/>
    </row>
    <row r="3090" spans="1:9" ht="14.25" customHeight="1" x14ac:dyDescent="0.25">
      <c r="A3090" s="7"/>
      <c r="B3090" s="8"/>
      <c r="C3090" s="8"/>
      <c r="D3090" s="8"/>
      <c r="E3090" s="8"/>
      <c r="F3090" s="12"/>
      <c r="H3090" s="8"/>
      <c r="I3090" s="8"/>
    </row>
    <row r="3091" spans="1:9" ht="14.25" customHeight="1" x14ac:dyDescent="0.25">
      <c r="A3091" s="7"/>
      <c r="B3091" s="8"/>
      <c r="C3091" s="8"/>
      <c r="D3091" s="8"/>
      <c r="E3091" s="8"/>
      <c r="F3091" s="12"/>
      <c r="H3091" s="8"/>
      <c r="I3091" s="8"/>
    </row>
    <row r="3092" spans="1:9" ht="14.25" customHeight="1" x14ac:dyDescent="0.25">
      <c r="A3092" s="7"/>
      <c r="B3092" s="8"/>
      <c r="C3092" s="8"/>
      <c r="D3092" s="8"/>
      <c r="E3092" s="8"/>
      <c r="F3092" s="12"/>
      <c r="H3092" s="8"/>
      <c r="I3092" s="8"/>
    </row>
    <row r="3093" spans="1:9" ht="14.25" customHeight="1" x14ac:dyDescent="0.25">
      <c r="A3093" s="7"/>
      <c r="B3093" s="8"/>
      <c r="C3093" s="8"/>
      <c r="D3093" s="8"/>
      <c r="E3093" s="8"/>
      <c r="F3093" s="12"/>
      <c r="H3093" s="8"/>
      <c r="I3093" s="8"/>
    </row>
    <row r="3094" spans="1:9" ht="14.25" customHeight="1" x14ac:dyDescent="0.25">
      <c r="A3094" s="7"/>
      <c r="B3094" s="8"/>
      <c r="C3094" s="8"/>
      <c r="D3094" s="8"/>
      <c r="E3094" s="8"/>
      <c r="F3094" s="12"/>
      <c r="H3094" s="8"/>
      <c r="I3094" s="8"/>
    </row>
    <row r="3095" spans="1:9" ht="14.25" customHeight="1" x14ac:dyDescent="0.25">
      <c r="A3095" s="7"/>
      <c r="B3095" s="8"/>
      <c r="C3095" s="8"/>
      <c r="D3095" s="8"/>
      <c r="E3095" s="8"/>
      <c r="F3095" s="12"/>
      <c r="H3095" s="8"/>
      <c r="I3095" s="8"/>
    </row>
    <row r="3096" spans="1:9" ht="14.25" customHeight="1" x14ac:dyDescent="0.25">
      <c r="A3096" s="7"/>
      <c r="B3096" s="8"/>
      <c r="C3096" s="8"/>
      <c r="D3096" s="8"/>
      <c r="E3096" s="8"/>
      <c r="F3096" s="12"/>
      <c r="H3096" s="8"/>
      <c r="I3096" s="8"/>
    </row>
    <row r="3097" spans="1:9" ht="14.25" customHeight="1" x14ac:dyDescent="0.25">
      <c r="A3097" s="7"/>
      <c r="B3097" s="8"/>
      <c r="C3097" s="8"/>
      <c r="D3097" s="8"/>
      <c r="E3097" s="8"/>
      <c r="F3097" s="12"/>
      <c r="H3097" s="8"/>
      <c r="I3097" s="8"/>
    </row>
    <row r="3098" spans="1:9" ht="14.25" customHeight="1" x14ac:dyDescent="0.25">
      <c r="A3098" s="7"/>
      <c r="B3098" s="8"/>
      <c r="C3098" s="8"/>
      <c r="D3098" s="8"/>
      <c r="E3098" s="8"/>
      <c r="F3098" s="12"/>
      <c r="H3098" s="8"/>
      <c r="I3098" s="8"/>
    </row>
    <row r="3099" spans="1:9" ht="14.25" customHeight="1" x14ac:dyDescent="0.25">
      <c r="A3099" s="7"/>
      <c r="B3099" s="8"/>
      <c r="C3099" s="8"/>
      <c r="D3099" s="8"/>
      <c r="E3099" s="8"/>
      <c r="F3099" s="12"/>
      <c r="H3099" s="8"/>
      <c r="I3099" s="8"/>
    </row>
    <row r="3100" spans="1:9" ht="14.25" customHeight="1" x14ac:dyDescent="0.25">
      <c r="A3100" s="7"/>
      <c r="B3100" s="8"/>
      <c r="C3100" s="8"/>
      <c r="D3100" s="8"/>
      <c r="E3100" s="8"/>
      <c r="F3100" s="12"/>
      <c r="H3100" s="8"/>
      <c r="I3100" s="8"/>
    </row>
    <row r="3101" spans="1:9" ht="14.25" customHeight="1" x14ac:dyDescent="0.25">
      <c r="A3101" s="7"/>
      <c r="B3101" s="8"/>
      <c r="C3101" s="8"/>
      <c r="D3101" s="8"/>
      <c r="E3101" s="8"/>
      <c r="F3101" s="12"/>
      <c r="H3101" s="8"/>
      <c r="I3101" s="8"/>
    </row>
    <row r="3102" spans="1:9" ht="14.25" customHeight="1" x14ac:dyDescent="0.25">
      <c r="A3102" s="7"/>
      <c r="B3102" s="8"/>
      <c r="C3102" s="8"/>
      <c r="D3102" s="8"/>
      <c r="E3102" s="8"/>
      <c r="F3102" s="12"/>
      <c r="H3102" s="8"/>
      <c r="I3102" s="8"/>
    </row>
    <row r="3103" spans="1:9" ht="14.25" customHeight="1" x14ac:dyDescent="0.25">
      <c r="A3103" s="7"/>
      <c r="B3103" s="8"/>
      <c r="C3103" s="8"/>
      <c r="D3103" s="8"/>
      <c r="E3103" s="8"/>
      <c r="F3103" s="12"/>
      <c r="H3103" s="8"/>
      <c r="I3103" s="8"/>
    </row>
    <row r="3104" spans="1:9" ht="14.25" customHeight="1" x14ac:dyDescent="0.25">
      <c r="A3104" s="7"/>
      <c r="B3104" s="8"/>
      <c r="C3104" s="8"/>
      <c r="D3104" s="8"/>
      <c r="E3104" s="8"/>
      <c r="F3104" s="12"/>
      <c r="H3104" s="8"/>
      <c r="I3104" s="8"/>
    </row>
    <row r="3105" spans="1:9" ht="14.25" customHeight="1" x14ac:dyDescent="0.25">
      <c r="A3105" s="7"/>
      <c r="B3105" s="8"/>
      <c r="C3105" s="8"/>
      <c r="D3105" s="8"/>
      <c r="E3105" s="8"/>
      <c r="F3105" s="12"/>
      <c r="H3105" s="8"/>
      <c r="I3105" s="8"/>
    </row>
    <row r="3106" spans="1:9" ht="14.25" customHeight="1" x14ac:dyDescent="0.25">
      <c r="A3106" s="7"/>
      <c r="B3106" s="8"/>
      <c r="C3106" s="8"/>
      <c r="D3106" s="8"/>
      <c r="E3106" s="8"/>
      <c r="F3106" s="12"/>
      <c r="H3106" s="8"/>
      <c r="I3106" s="8"/>
    </row>
    <row r="3107" spans="1:9" ht="14.25" customHeight="1" x14ac:dyDescent="0.25">
      <c r="A3107" s="7"/>
      <c r="B3107" s="8"/>
      <c r="C3107" s="8"/>
      <c r="D3107" s="8"/>
      <c r="E3107" s="8"/>
      <c r="F3107" s="12"/>
      <c r="H3107" s="8"/>
      <c r="I3107" s="8"/>
    </row>
    <row r="3108" spans="1:9" ht="14.25" customHeight="1" x14ac:dyDescent="0.25">
      <c r="A3108" s="7"/>
      <c r="B3108" s="8"/>
      <c r="C3108" s="8"/>
      <c r="D3108" s="8"/>
      <c r="E3108" s="8"/>
      <c r="F3108" s="12"/>
      <c r="H3108" s="8"/>
      <c r="I3108" s="8"/>
    </row>
    <row r="3109" spans="1:9" ht="14.25" customHeight="1" x14ac:dyDescent="0.25">
      <c r="A3109" s="7"/>
      <c r="B3109" s="8"/>
      <c r="C3109" s="8"/>
      <c r="D3109" s="8"/>
      <c r="E3109" s="8"/>
      <c r="F3109" s="12"/>
      <c r="H3109" s="8"/>
      <c r="I3109" s="8"/>
    </row>
    <row r="3110" spans="1:9" ht="14.25" customHeight="1" x14ac:dyDescent="0.25">
      <c r="A3110" s="7"/>
      <c r="B3110" s="8"/>
      <c r="C3110" s="8"/>
      <c r="D3110" s="8"/>
      <c r="E3110" s="8"/>
      <c r="F3110" s="12"/>
      <c r="H3110" s="8"/>
      <c r="I3110" s="8"/>
    </row>
    <row r="3111" spans="1:9" ht="14.25" customHeight="1" x14ac:dyDescent="0.25">
      <c r="A3111" s="7"/>
      <c r="B3111" s="8"/>
      <c r="C3111" s="8"/>
      <c r="D3111" s="8"/>
      <c r="E3111" s="8"/>
      <c r="F3111" s="12"/>
      <c r="H3111" s="8"/>
      <c r="I3111" s="8"/>
    </row>
    <row r="3112" spans="1:9" ht="14.25" customHeight="1" x14ac:dyDescent="0.25">
      <c r="A3112" s="7"/>
      <c r="B3112" s="8"/>
      <c r="C3112" s="8"/>
      <c r="D3112" s="8"/>
      <c r="E3112" s="8"/>
      <c r="F3112" s="12"/>
      <c r="H3112" s="8"/>
      <c r="I3112" s="8"/>
    </row>
    <row r="3113" spans="1:9" ht="14.25" customHeight="1" x14ac:dyDescent="0.25">
      <c r="A3113" s="7"/>
      <c r="B3113" s="8"/>
      <c r="C3113" s="8"/>
      <c r="D3113" s="8"/>
      <c r="E3113" s="8"/>
      <c r="F3113" s="12"/>
      <c r="H3113" s="8"/>
      <c r="I3113" s="8"/>
    </row>
    <row r="3114" spans="1:9" ht="14.25" customHeight="1" x14ac:dyDescent="0.25">
      <c r="A3114" s="7"/>
      <c r="B3114" s="8"/>
      <c r="C3114" s="8"/>
      <c r="D3114" s="8"/>
      <c r="E3114" s="8"/>
      <c r="F3114" s="12"/>
      <c r="H3114" s="8"/>
      <c r="I3114" s="8"/>
    </row>
    <row r="3115" spans="1:9" ht="14.25" customHeight="1" x14ac:dyDescent="0.25">
      <c r="A3115" s="7"/>
      <c r="B3115" s="8"/>
      <c r="C3115" s="8"/>
      <c r="D3115" s="8"/>
      <c r="E3115" s="8"/>
      <c r="F3115" s="12"/>
      <c r="H3115" s="8"/>
      <c r="I3115" s="8"/>
    </row>
    <row r="3116" spans="1:9" ht="14.25" customHeight="1" x14ac:dyDescent="0.25">
      <c r="A3116" s="7"/>
      <c r="B3116" s="8"/>
      <c r="C3116" s="8"/>
      <c r="D3116" s="8"/>
      <c r="E3116" s="8"/>
      <c r="F3116" s="12"/>
      <c r="H3116" s="8"/>
      <c r="I3116" s="8"/>
    </row>
    <row r="3117" spans="1:9" ht="14.25" customHeight="1" x14ac:dyDescent="0.25">
      <c r="A3117" s="7"/>
      <c r="B3117" s="8"/>
      <c r="C3117" s="8"/>
      <c r="D3117" s="8"/>
      <c r="E3117" s="8"/>
      <c r="F3117" s="12"/>
      <c r="H3117" s="8"/>
      <c r="I3117" s="8"/>
    </row>
    <row r="3118" spans="1:9" ht="14.25" customHeight="1" x14ac:dyDescent="0.25">
      <c r="A3118" s="7"/>
      <c r="B3118" s="8"/>
      <c r="C3118" s="8"/>
      <c r="D3118" s="8"/>
      <c r="E3118" s="8"/>
      <c r="F3118" s="12"/>
      <c r="H3118" s="8"/>
      <c r="I3118" s="8"/>
    </row>
    <row r="3119" spans="1:9" ht="14.25" customHeight="1" x14ac:dyDescent="0.25">
      <c r="A3119" s="7"/>
      <c r="B3119" s="8"/>
      <c r="C3119" s="8"/>
      <c r="D3119" s="8"/>
      <c r="E3119" s="8"/>
      <c r="F3119" s="12"/>
      <c r="H3119" s="8"/>
      <c r="I3119" s="8"/>
    </row>
    <row r="3120" spans="1:9" ht="14.25" customHeight="1" x14ac:dyDescent="0.25">
      <c r="A3120" s="7"/>
      <c r="B3120" s="8"/>
      <c r="C3120" s="8"/>
      <c r="D3120" s="8"/>
      <c r="E3120" s="8"/>
      <c r="F3120" s="12"/>
      <c r="H3120" s="8"/>
      <c r="I3120" s="8"/>
    </row>
    <row r="3121" spans="1:9" ht="14.25" customHeight="1" x14ac:dyDescent="0.25">
      <c r="A3121" s="7"/>
      <c r="B3121" s="8"/>
      <c r="C3121" s="8"/>
      <c r="D3121" s="8"/>
      <c r="E3121" s="8"/>
      <c r="F3121" s="12"/>
      <c r="H3121" s="8"/>
      <c r="I3121" s="8"/>
    </row>
    <row r="3122" spans="1:9" ht="14.25" customHeight="1" x14ac:dyDescent="0.25">
      <c r="A3122" s="7"/>
      <c r="B3122" s="8"/>
      <c r="C3122" s="8"/>
      <c r="D3122" s="8"/>
      <c r="E3122" s="8"/>
      <c r="F3122" s="12"/>
      <c r="H3122" s="8"/>
      <c r="I3122" s="8"/>
    </row>
    <row r="3123" spans="1:9" ht="14.25" customHeight="1" x14ac:dyDescent="0.25">
      <c r="A3123" s="7"/>
      <c r="B3123" s="8"/>
      <c r="C3123" s="8"/>
      <c r="D3123" s="8"/>
      <c r="E3123" s="8"/>
      <c r="F3123" s="12"/>
      <c r="H3123" s="8"/>
      <c r="I3123" s="8"/>
    </row>
    <row r="3124" spans="1:9" ht="14.25" customHeight="1" x14ac:dyDescent="0.25">
      <c r="A3124" s="7"/>
      <c r="B3124" s="8"/>
      <c r="C3124" s="8"/>
      <c r="D3124" s="8"/>
      <c r="E3124" s="8"/>
      <c r="F3124" s="12"/>
      <c r="H3124" s="8"/>
      <c r="I3124" s="8"/>
    </row>
    <row r="3125" spans="1:9" ht="14.25" customHeight="1" x14ac:dyDescent="0.25">
      <c r="A3125" s="7"/>
      <c r="B3125" s="8"/>
      <c r="C3125" s="8"/>
      <c r="D3125" s="8"/>
      <c r="E3125" s="8"/>
      <c r="F3125" s="12"/>
      <c r="H3125" s="8"/>
      <c r="I3125" s="8"/>
    </row>
    <row r="3126" spans="1:9" ht="14.25" customHeight="1" x14ac:dyDescent="0.25">
      <c r="A3126" s="7"/>
      <c r="B3126" s="8"/>
      <c r="C3126" s="8"/>
      <c r="D3126" s="8"/>
      <c r="E3126" s="8"/>
      <c r="F3126" s="12"/>
      <c r="H3126" s="8"/>
      <c r="I3126" s="8"/>
    </row>
    <row r="3127" spans="1:9" ht="14.25" customHeight="1" x14ac:dyDescent="0.25">
      <c r="A3127" s="7"/>
      <c r="B3127" s="8"/>
      <c r="C3127" s="8"/>
      <c r="D3127" s="8"/>
      <c r="E3127" s="8"/>
      <c r="F3127" s="12"/>
      <c r="H3127" s="8"/>
      <c r="I3127" s="8"/>
    </row>
    <row r="3128" spans="1:9" ht="14.25" customHeight="1" x14ac:dyDescent="0.25">
      <c r="A3128" s="7"/>
      <c r="B3128" s="8"/>
      <c r="C3128" s="8"/>
      <c r="D3128" s="8"/>
      <c r="E3128" s="8"/>
      <c r="F3128" s="12"/>
      <c r="H3128" s="8"/>
      <c r="I3128" s="8"/>
    </row>
    <row r="3129" spans="1:9" ht="14.25" customHeight="1" x14ac:dyDescent="0.25">
      <c r="A3129" s="7"/>
      <c r="B3129" s="8"/>
      <c r="C3129" s="8"/>
      <c r="D3129" s="8"/>
      <c r="E3129" s="8"/>
      <c r="F3129" s="12"/>
      <c r="H3129" s="8"/>
      <c r="I3129" s="8"/>
    </row>
    <row r="3130" spans="1:9" ht="14.25" customHeight="1" x14ac:dyDescent="0.25">
      <c r="A3130" s="7"/>
      <c r="B3130" s="8"/>
      <c r="C3130" s="8"/>
      <c r="D3130" s="8"/>
      <c r="E3130" s="8"/>
      <c r="F3130" s="12"/>
      <c r="H3130" s="8"/>
      <c r="I3130" s="8"/>
    </row>
    <row r="3131" spans="1:9" ht="14.25" customHeight="1" x14ac:dyDescent="0.25">
      <c r="A3131" s="7"/>
      <c r="B3131" s="8"/>
      <c r="C3131" s="8"/>
      <c r="D3131" s="8"/>
      <c r="E3131" s="8"/>
      <c r="F3131" s="12"/>
      <c r="H3131" s="8"/>
      <c r="I3131" s="8"/>
    </row>
    <row r="3132" spans="1:9" ht="14.25" customHeight="1" x14ac:dyDescent="0.25">
      <c r="A3132" s="7"/>
      <c r="B3132" s="8"/>
      <c r="C3132" s="8"/>
      <c r="D3132" s="8"/>
      <c r="E3132" s="8"/>
      <c r="F3132" s="12"/>
      <c r="H3132" s="8"/>
      <c r="I3132" s="8"/>
    </row>
    <row r="3133" spans="1:9" ht="14.25" customHeight="1" x14ac:dyDescent="0.25">
      <c r="A3133" s="7"/>
      <c r="B3133" s="8"/>
      <c r="C3133" s="8"/>
      <c r="D3133" s="8"/>
      <c r="E3133" s="8"/>
      <c r="F3133" s="12"/>
      <c r="H3133" s="8"/>
      <c r="I3133" s="8"/>
    </row>
    <row r="3134" spans="1:9" ht="14.25" customHeight="1" x14ac:dyDescent="0.25">
      <c r="A3134" s="7"/>
      <c r="B3134" s="8"/>
      <c r="C3134" s="8"/>
      <c r="D3134" s="8"/>
      <c r="E3134" s="8"/>
      <c r="F3134" s="12"/>
      <c r="H3134" s="8"/>
      <c r="I3134" s="8"/>
    </row>
    <row r="3135" spans="1:9" ht="14.25" customHeight="1" x14ac:dyDescent="0.25">
      <c r="A3135" s="7"/>
      <c r="B3135" s="8"/>
      <c r="C3135" s="8"/>
      <c r="D3135" s="8"/>
      <c r="E3135" s="8"/>
      <c r="F3135" s="12"/>
      <c r="H3135" s="8"/>
      <c r="I3135" s="8"/>
    </row>
    <row r="3136" spans="1:9" ht="14.25" customHeight="1" x14ac:dyDescent="0.25">
      <c r="A3136" s="7"/>
      <c r="B3136" s="8"/>
      <c r="C3136" s="8"/>
      <c r="D3136" s="8"/>
      <c r="E3136" s="8"/>
      <c r="F3136" s="12"/>
      <c r="H3136" s="8"/>
      <c r="I3136" s="8"/>
    </row>
    <row r="3137" spans="1:9" ht="14.25" customHeight="1" x14ac:dyDescent="0.25">
      <c r="A3137" s="7"/>
      <c r="B3137" s="8"/>
      <c r="C3137" s="8"/>
      <c r="D3137" s="8"/>
      <c r="E3137" s="8"/>
      <c r="F3137" s="12"/>
      <c r="H3137" s="8"/>
      <c r="I3137" s="8"/>
    </row>
    <row r="3138" spans="1:9" ht="14.25" customHeight="1" x14ac:dyDescent="0.25">
      <c r="A3138" s="7"/>
      <c r="B3138" s="8"/>
      <c r="C3138" s="8"/>
      <c r="D3138" s="8"/>
      <c r="E3138" s="8"/>
      <c r="F3138" s="12"/>
      <c r="H3138" s="8"/>
      <c r="I3138" s="8"/>
    </row>
    <row r="3139" spans="1:9" ht="14.25" customHeight="1" x14ac:dyDescent="0.25">
      <c r="A3139" s="7"/>
      <c r="B3139" s="8"/>
      <c r="C3139" s="8"/>
      <c r="D3139" s="8"/>
      <c r="E3139" s="8"/>
      <c r="F3139" s="12"/>
      <c r="H3139" s="8"/>
      <c r="I3139" s="8"/>
    </row>
    <row r="3140" spans="1:9" ht="14.25" customHeight="1" x14ac:dyDescent="0.25">
      <c r="A3140" s="7"/>
      <c r="B3140" s="8"/>
      <c r="C3140" s="8"/>
      <c r="D3140" s="8"/>
      <c r="E3140" s="8"/>
      <c r="F3140" s="12"/>
      <c r="H3140" s="8"/>
      <c r="I3140" s="8"/>
    </row>
    <row r="3141" spans="1:9" ht="14.25" customHeight="1" x14ac:dyDescent="0.25">
      <c r="A3141" s="7"/>
      <c r="B3141" s="8"/>
      <c r="C3141" s="8"/>
      <c r="D3141" s="8"/>
      <c r="E3141" s="8"/>
      <c r="F3141" s="12"/>
      <c r="H3141" s="8"/>
      <c r="I3141" s="8"/>
    </row>
    <row r="3142" spans="1:9" ht="14.25" customHeight="1" x14ac:dyDescent="0.25">
      <c r="A3142" s="7"/>
      <c r="B3142" s="8"/>
      <c r="C3142" s="8"/>
      <c r="D3142" s="8"/>
      <c r="E3142" s="8"/>
      <c r="F3142" s="12"/>
      <c r="H3142" s="8"/>
      <c r="I3142" s="8"/>
    </row>
    <row r="3143" spans="1:9" ht="14.25" customHeight="1" x14ac:dyDescent="0.25">
      <c r="A3143" s="7"/>
      <c r="B3143" s="8"/>
      <c r="C3143" s="8"/>
      <c r="D3143" s="8"/>
      <c r="E3143" s="8"/>
      <c r="F3143" s="12"/>
      <c r="H3143" s="8"/>
      <c r="I3143" s="8"/>
    </row>
    <row r="3144" spans="1:9" ht="14.25" customHeight="1" x14ac:dyDescent="0.25">
      <c r="A3144" s="7"/>
      <c r="B3144" s="8"/>
      <c r="C3144" s="8"/>
      <c r="D3144" s="8"/>
      <c r="E3144" s="8"/>
      <c r="F3144" s="12"/>
      <c r="H3144" s="8"/>
      <c r="I3144" s="8"/>
    </row>
    <row r="3145" spans="1:9" ht="14.25" customHeight="1" x14ac:dyDescent="0.25">
      <c r="A3145" s="7"/>
      <c r="B3145" s="8"/>
      <c r="C3145" s="8"/>
      <c r="D3145" s="8"/>
      <c r="E3145" s="8"/>
      <c r="F3145" s="12"/>
      <c r="H3145" s="8"/>
      <c r="I3145" s="8"/>
    </row>
    <row r="3146" spans="1:9" ht="14.25" customHeight="1" x14ac:dyDescent="0.25">
      <c r="A3146" s="7"/>
      <c r="B3146" s="8"/>
      <c r="C3146" s="8"/>
      <c r="D3146" s="8"/>
      <c r="E3146" s="8"/>
      <c r="F3146" s="12"/>
      <c r="H3146" s="8"/>
      <c r="I3146" s="8"/>
    </row>
    <row r="3147" spans="1:9" ht="14.25" customHeight="1" x14ac:dyDescent="0.25">
      <c r="A3147" s="7"/>
      <c r="B3147" s="8"/>
      <c r="C3147" s="8"/>
      <c r="D3147" s="8"/>
      <c r="E3147" s="8"/>
      <c r="F3147" s="12"/>
      <c r="H3147" s="8"/>
      <c r="I3147" s="8"/>
    </row>
    <row r="3148" spans="1:9" ht="14.25" customHeight="1" x14ac:dyDescent="0.25">
      <c r="A3148" s="7"/>
      <c r="B3148" s="8"/>
      <c r="C3148" s="8"/>
      <c r="D3148" s="8"/>
      <c r="E3148" s="8"/>
      <c r="F3148" s="12"/>
      <c r="H3148" s="8"/>
      <c r="I3148" s="8"/>
    </row>
    <row r="3149" spans="1:9" ht="14.25" customHeight="1" x14ac:dyDescent="0.25">
      <c r="A3149" s="7"/>
      <c r="B3149" s="8"/>
      <c r="C3149" s="8"/>
      <c r="D3149" s="8"/>
      <c r="E3149" s="8"/>
      <c r="F3149" s="12"/>
      <c r="H3149" s="8"/>
      <c r="I3149" s="8"/>
    </row>
    <row r="3150" spans="1:9" ht="14.25" customHeight="1" x14ac:dyDescent="0.25">
      <c r="A3150" s="7"/>
      <c r="B3150" s="8"/>
      <c r="C3150" s="8"/>
      <c r="D3150" s="8"/>
      <c r="E3150" s="8"/>
      <c r="F3150" s="12"/>
      <c r="H3150" s="8"/>
      <c r="I3150" s="8"/>
    </row>
    <row r="3151" spans="1:9" ht="14.25" customHeight="1" x14ac:dyDescent="0.25">
      <c r="A3151" s="7"/>
      <c r="B3151" s="8"/>
      <c r="C3151" s="8"/>
      <c r="D3151" s="8"/>
      <c r="E3151" s="8"/>
      <c r="F3151" s="12"/>
      <c r="H3151" s="8"/>
      <c r="I3151" s="8"/>
    </row>
    <row r="3152" spans="1:9" ht="14.25" customHeight="1" x14ac:dyDescent="0.25">
      <c r="A3152" s="7"/>
      <c r="B3152" s="8"/>
      <c r="C3152" s="8"/>
      <c r="D3152" s="8"/>
      <c r="E3152" s="8"/>
      <c r="F3152" s="12"/>
      <c r="H3152" s="8"/>
      <c r="I3152" s="8"/>
    </row>
    <row r="3153" spans="1:9" ht="14.25" customHeight="1" x14ac:dyDescent="0.25">
      <c r="A3153" s="7"/>
      <c r="B3153" s="8"/>
      <c r="C3153" s="8"/>
      <c r="D3153" s="8"/>
      <c r="E3153" s="8"/>
      <c r="F3153" s="12"/>
      <c r="H3153" s="8"/>
      <c r="I3153" s="8"/>
    </row>
    <row r="3154" spans="1:9" ht="14.25" customHeight="1" x14ac:dyDescent="0.25">
      <c r="A3154" s="7"/>
      <c r="B3154" s="8"/>
      <c r="C3154" s="8"/>
      <c r="D3154" s="8"/>
      <c r="E3154" s="8"/>
      <c r="F3154" s="12"/>
      <c r="H3154" s="8"/>
      <c r="I3154" s="8"/>
    </row>
    <row r="3155" spans="1:9" ht="14.25" customHeight="1" x14ac:dyDescent="0.25">
      <c r="A3155" s="7"/>
      <c r="B3155" s="8"/>
      <c r="C3155" s="8"/>
      <c r="D3155" s="8"/>
      <c r="E3155" s="8"/>
      <c r="F3155" s="12"/>
      <c r="H3155" s="8"/>
      <c r="I3155" s="8"/>
    </row>
    <row r="3156" spans="1:9" ht="14.25" customHeight="1" x14ac:dyDescent="0.25">
      <c r="A3156" s="7"/>
      <c r="B3156" s="8"/>
      <c r="C3156" s="8"/>
      <c r="D3156" s="8"/>
      <c r="E3156" s="8"/>
      <c r="F3156" s="12"/>
      <c r="H3156" s="8"/>
      <c r="I3156" s="8"/>
    </row>
    <row r="3157" spans="1:9" ht="14.25" customHeight="1" x14ac:dyDescent="0.25">
      <c r="A3157" s="7"/>
      <c r="B3157" s="8"/>
      <c r="C3157" s="8"/>
      <c r="D3157" s="8"/>
      <c r="E3157" s="8"/>
      <c r="F3157" s="12"/>
      <c r="H3157" s="8"/>
      <c r="I3157" s="8"/>
    </row>
    <row r="3158" spans="1:9" ht="14.25" customHeight="1" x14ac:dyDescent="0.25">
      <c r="A3158" s="7"/>
      <c r="B3158" s="8"/>
      <c r="C3158" s="8"/>
      <c r="D3158" s="8"/>
      <c r="E3158" s="8"/>
      <c r="F3158" s="12"/>
      <c r="H3158" s="8"/>
      <c r="I3158" s="8"/>
    </row>
    <row r="3159" spans="1:9" ht="14.25" customHeight="1" x14ac:dyDescent="0.25">
      <c r="A3159" s="7"/>
      <c r="B3159" s="8"/>
      <c r="C3159" s="8"/>
      <c r="D3159" s="8"/>
      <c r="E3159" s="8"/>
      <c r="F3159" s="12"/>
      <c r="H3159" s="8"/>
      <c r="I3159" s="8"/>
    </row>
    <row r="3160" spans="1:9" ht="14.25" customHeight="1" x14ac:dyDescent="0.25">
      <c r="A3160" s="7"/>
      <c r="B3160" s="8"/>
      <c r="C3160" s="8"/>
      <c r="D3160" s="8"/>
      <c r="E3160" s="8"/>
      <c r="F3160" s="12"/>
      <c r="H3160" s="8"/>
      <c r="I3160" s="8"/>
    </row>
    <row r="3161" spans="1:9" ht="14.25" customHeight="1" x14ac:dyDescent="0.25">
      <c r="A3161" s="7"/>
      <c r="B3161" s="8"/>
      <c r="C3161" s="8"/>
      <c r="D3161" s="8"/>
      <c r="E3161" s="8"/>
      <c r="F3161" s="12"/>
      <c r="H3161" s="8"/>
      <c r="I3161" s="8"/>
    </row>
    <row r="3162" spans="1:9" ht="14.25" customHeight="1" x14ac:dyDescent="0.25">
      <c r="A3162" s="7"/>
      <c r="B3162" s="8"/>
      <c r="C3162" s="8"/>
      <c r="D3162" s="8"/>
      <c r="E3162" s="8"/>
      <c r="F3162" s="12"/>
      <c r="H3162" s="8"/>
      <c r="I3162" s="8"/>
    </row>
    <row r="3163" spans="1:9" ht="14.25" customHeight="1" x14ac:dyDescent="0.25">
      <c r="A3163" s="7"/>
      <c r="B3163" s="8"/>
      <c r="C3163" s="8"/>
      <c r="D3163" s="8"/>
      <c r="E3163" s="8"/>
      <c r="F3163" s="12"/>
      <c r="H3163" s="8"/>
      <c r="I3163" s="8"/>
    </row>
    <row r="3164" spans="1:9" ht="14.25" customHeight="1" x14ac:dyDescent="0.25">
      <c r="A3164" s="7"/>
      <c r="B3164" s="8"/>
      <c r="C3164" s="8"/>
      <c r="D3164" s="8"/>
      <c r="E3164" s="8"/>
      <c r="F3164" s="12"/>
      <c r="H3164" s="8"/>
      <c r="I3164" s="8"/>
    </row>
    <row r="3165" spans="1:9" ht="14.25" customHeight="1" x14ac:dyDescent="0.25">
      <c r="A3165" s="7"/>
      <c r="B3165" s="8"/>
      <c r="C3165" s="8"/>
      <c r="D3165" s="8"/>
      <c r="E3165" s="8"/>
      <c r="F3165" s="12"/>
      <c r="H3165" s="8"/>
      <c r="I3165" s="8"/>
    </row>
    <row r="3166" spans="1:9" ht="14.25" customHeight="1" x14ac:dyDescent="0.25">
      <c r="A3166" s="7"/>
      <c r="B3166" s="8"/>
      <c r="C3166" s="8"/>
      <c r="D3166" s="8"/>
      <c r="E3166" s="8"/>
      <c r="F3166" s="12"/>
      <c r="H3166" s="8"/>
      <c r="I3166" s="8"/>
    </row>
    <row r="3167" spans="1:9" ht="14.25" customHeight="1" x14ac:dyDescent="0.25">
      <c r="A3167" s="7"/>
      <c r="B3167" s="8"/>
      <c r="C3167" s="8"/>
      <c r="D3167" s="8"/>
      <c r="E3167" s="8"/>
      <c r="F3167" s="12"/>
      <c r="H3167" s="8"/>
      <c r="I3167" s="8"/>
    </row>
    <row r="3168" spans="1:9" ht="14.25" customHeight="1" x14ac:dyDescent="0.25">
      <c r="A3168" s="7"/>
      <c r="B3168" s="8"/>
      <c r="C3168" s="8"/>
      <c r="D3168" s="8"/>
      <c r="E3168" s="8"/>
      <c r="F3168" s="12"/>
      <c r="H3168" s="8"/>
      <c r="I3168" s="8"/>
    </row>
    <row r="3169" spans="1:9" ht="14.25" customHeight="1" x14ac:dyDescent="0.25">
      <c r="A3169" s="7"/>
      <c r="B3169" s="8"/>
      <c r="C3169" s="8"/>
      <c r="D3169" s="8"/>
      <c r="E3169" s="8"/>
      <c r="F3169" s="12"/>
      <c r="H3169" s="8"/>
      <c r="I3169" s="8"/>
    </row>
    <row r="3170" spans="1:9" ht="14.25" customHeight="1" x14ac:dyDescent="0.25">
      <c r="A3170" s="7"/>
      <c r="B3170" s="8"/>
      <c r="C3170" s="8"/>
      <c r="D3170" s="8"/>
      <c r="E3170" s="8"/>
      <c r="F3170" s="12"/>
      <c r="H3170" s="8"/>
      <c r="I3170" s="8"/>
    </row>
    <row r="3171" spans="1:9" ht="14.25" customHeight="1" x14ac:dyDescent="0.25">
      <c r="A3171" s="7"/>
      <c r="B3171" s="8"/>
      <c r="C3171" s="8"/>
      <c r="D3171" s="8"/>
      <c r="E3171" s="8"/>
      <c r="F3171" s="12"/>
      <c r="H3171" s="8"/>
      <c r="I3171" s="8"/>
    </row>
    <row r="3172" spans="1:9" ht="14.25" customHeight="1" x14ac:dyDescent="0.25">
      <c r="A3172" s="7"/>
      <c r="B3172" s="8"/>
      <c r="C3172" s="8"/>
      <c r="D3172" s="8"/>
      <c r="E3172" s="8"/>
      <c r="F3172" s="12"/>
      <c r="H3172" s="8"/>
      <c r="I3172" s="8"/>
    </row>
    <row r="3173" spans="1:9" ht="14.25" customHeight="1" x14ac:dyDescent="0.25">
      <c r="A3173" s="7"/>
      <c r="B3173" s="8"/>
      <c r="C3173" s="8"/>
      <c r="D3173" s="8"/>
      <c r="E3173" s="8"/>
      <c r="F3173" s="12"/>
      <c r="H3173" s="8"/>
      <c r="I3173" s="8"/>
    </row>
    <row r="3174" spans="1:9" ht="14.25" customHeight="1" x14ac:dyDescent="0.25">
      <c r="A3174" s="7"/>
      <c r="B3174" s="8"/>
      <c r="C3174" s="8"/>
      <c r="D3174" s="8"/>
      <c r="E3174" s="8"/>
      <c r="F3174" s="12"/>
      <c r="H3174" s="8"/>
      <c r="I3174" s="8"/>
    </row>
    <row r="3175" spans="1:9" ht="14.25" customHeight="1" x14ac:dyDescent="0.25">
      <c r="A3175" s="7"/>
      <c r="B3175" s="8"/>
      <c r="C3175" s="8"/>
      <c r="D3175" s="8"/>
      <c r="E3175" s="8"/>
      <c r="F3175" s="12"/>
      <c r="H3175" s="8"/>
      <c r="I3175" s="8"/>
    </row>
    <row r="3176" spans="1:9" ht="14.25" customHeight="1" x14ac:dyDescent="0.25">
      <c r="A3176" s="7"/>
      <c r="B3176" s="8"/>
      <c r="C3176" s="8"/>
      <c r="D3176" s="8"/>
      <c r="E3176" s="8"/>
      <c r="F3176" s="12"/>
      <c r="H3176" s="8"/>
      <c r="I3176" s="8"/>
    </row>
    <row r="3177" spans="1:9" ht="14.25" customHeight="1" x14ac:dyDescent="0.25">
      <c r="A3177" s="7"/>
      <c r="B3177" s="8"/>
      <c r="C3177" s="8"/>
      <c r="D3177" s="8"/>
      <c r="E3177" s="8"/>
      <c r="F3177" s="12"/>
      <c r="H3177" s="8"/>
      <c r="I3177" s="8"/>
    </row>
    <row r="3178" spans="1:9" ht="14.25" customHeight="1" x14ac:dyDescent="0.25">
      <c r="A3178" s="7"/>
      <c r="B3178" s="8"/>
      <c r="C3178" s="8"/>
      <c r="D3178" s="8"/>
      <c r="E3178" s="8"/>
      <c r="F3178" s="12"/>
      <c r="H3178" s="8"/>
      <c r="I3178" s="8"/>
    </row>
    <row r="3179" spans="1:9" ht="14.25" customHeight="1" x14ac:dyDescent="0.25">
      <c r="A3179" s="7"/>
      <c r="B3179" s="8"/>
      <c r="C3179" s="8"/>
      <c r="D3179" s="8"/>
      <c r="E3179" s="8"/>
      <c r="F3179" s="12"/>
      <c r="H3179" s="8"/>
      <c r="I3179" s="8"/>
    </row>
    <row r="3180" spans="1:9" ht="14.25" customHeight="1" x14ac:dyDescent="0.25">
      <c r="A3180" s="7"/>
      <c r="B3180" s="8"/>
      <c r="C3180" s="8"/>
      <c r="D3180" s="8"/>
      <c r="E3180" s="8"/>
      <c r="F3180" s="12"/>
      <c r="H3180" s="8"/>
      <c r="I3180" s="8"/>
    </row>
    <row r="3181" spans="1:9" ht="14.25" customHeight="1" x14ac:dyDescent="0.25">
      <c r="A3181" s="7"/>
      <c r="B3181" s="8"/>
      <c r="C3181" s="8"/>
      <c r="D3181" s="8"/>
      <c r="E3181" s="8"/>
      <c r="F3181" s="12"/>
      <c r="H3181" s="8"/>
      <c r="I3181" s="8"/>
    </row>
    <row r="3182" spans="1:9" ht="14.25" customHeight="1" x14ac:dyDescent="0.25">
      <c r="A3182" s="7"/>
      <c r="B3182" s="8"/>
      <c r="C3182" s="8"/>
      <c r="D3182" s="8"/>
      <c r="E3182" s="8"/>
      <c r="F3182" s="12"/>
      <c r="H3182" s="8"/>
      <c r="I3182" s="8"/>
    </row>
    <row r="3183" spans="1:9" ht="14.25" customHeight="1" x14ac:dyDescent="0.25">
      <c r="A3183" s="7"/>
      <c r="B3183" s="8"/>
      <c r="C3183" s="8"/>
      <c r="D3183" s="8"/>
      <c r="E3183" s="8"/>
      <c r="F3183" s="12"/>
      <c r="H3183" s="8"/>
      <c r="I3183" s="8"/>
    </row>
    <row r="3184" spans="1:9" ht="14.25" customHeight="1" x14ac:dyDescent="0.25">
      <c r="A3184" s="7"/>
      <c r="B3184" s="8"/>
      <c r="C3184" s="8"/>
      <c r="D3184" s="8"/>
      <c r="E3184" s="8"/>
      <c r="F3184" s="12"/>
      <c r="H3184" s="8"/>
      <c r="I3184" s="8"/>
    </row>
    <row r="3185" spans="1:9" ht="14.25" customHeight="1" x14ac:dyDescent="0.25">
      <c r="A3185" s="7"/>
      <c r="B3185" s="8"/>
      <c r="C3185" s="8"/>
      <c r="D3185" s="8"/>
      <c r="E3185" s="8"/>
      <c r="F3185" s="12"/>
      <c r="H3185" s="8"/>
      <c r="I3185" s="8"/>
    </row>
    <row r="3186" spans="1:9" ht="14.25" customHeight="1" x14ac:dyDescent="0.25">
      <c r="A3186" s="7"/>
      <c r="B3186" s="8"/>
      <c r="C3186" s="8"/>
      <c r="D3186" s="8"/>
      <c r="E3186" s="8"/>
      <c r="F3186" s="12"/>
      <c r="H3186" s="8"/>
      <c r="I3186" s="8"/>
    </row>
    <row r="3187" spans="1:9" ht="14.25" customHeight="1" x14ac:dyDescent="0.25">
      <c r="A3187" s="7"/>
      <c r="B3187" s="8"/>
      <c r="C3187" s="8"/>
      <c r="D3187" s="8"/>
      <c r="E3187" s="8"/>
      <c r="F3187" s="12"/>
      <c r="H3187" s="8"/>
      <c r="I3187" s="8"/>
    </row>
    <row r="3188" spans="1:9" ht="14.25" customHeight="1" x14ac:dyDescent="0.25">
      <c r="A3188" s="7"/>
      <c r="B3188" s="8"/>
      <c r="C3188" s="8"/>
      <c r="D3188" s="8"/>
      <c r="E3188" s="8"/>
      <c r="F3188" s="12"/>
      <c r="H3188" s="8"/>
      <c r="I3188" s="8"/>
    </row>
    <row r="3189" spans="1:9" ht="14.25" customHeight="1" x14ac:dyDescent="0.25">
      <c r="A3189" s="7"/>
      <c r="B3189" s="8"/>
      <c r="C3189" s="8"/>
      <c r="D3189" s="8"/>
      <c r="E3189" s="8"/>
      <c r="F3189" s="12"/>
      <c r="H3189" s="8"/>
      <c r="I3189" s="8"/>
    </row>
    <row r="3190" spans="1:9" ht="14.25" customHeight="1" x14ac:dyDescent="0.25">
      <c r="A3190" s="7"/>
      <c r="B3190" s="8"/>
      <c r="C3190" s="8"/>
      <c r="D3190" s="8"/>
      <c r="E3190" s="8"/>
      <c r="F3190" s="12"/>
      <c r="H3190" s="8"/>
      <c r="I3190" s="8"/>
    </row>
    <row r="3191" spans="1:9" ht="14.25" customHeight="1" x14ac:dyDescent="0.25">
      <c r="A3191" s="7"/>
      <c r="B3191" s="8"/>
      <c r="C3191" s="8"/>
      <c r="D3191" s="8"/>
      <c r="E3191" s="8"/>
      <c r="F3191" s="12"/>
      <c r="H3191" s="8"/>
      <c r="I3191" s="8"/>
    </row>
    <row r="3192" spans="1:9" ht="14.25" customHeight="1" x14ac:dyDescent="0.25">
      <c r="A3192" s="7"/>
      <c r="B3192" s="8"/>
      <c r="C3192" s="8"/>
      <c r="D3192" s="8"/>
      <c r="E3192" s="8"/>
      <c r="F3192" s="12"/>
      <c r="H3192" s="8"/>
      <c r="I3192" s="8"/>
    </row>
    <row r="3193" spans="1:9" ht="14.25" customHeight="1" x14ac:dyDescent="0.25">
      <c r="A3193" s="7"/>
      <c r="B3193" s="8"/>
      <c r="C3193" s="8"/>
      <c r="D3193" s="8"/>
      <c r="E3193" s="8"/>
      <c r="F3193" s="12"/>
      <c r="H3193" s="8"/>
      <c r="I3193" s="8"/>
    </row>
    <row r="3194" spans="1:9" ht="14.25" customHeight="1" x14ac:dyDescent="0.25">
      <c r="A3194" s="7"/>
      <c r="B3194" s="8"/>
      <c r="C3194" s="8"/>
      <c r="D3194" s="8"/>
      <c r="E3194" s="8"/>
      <c r="F3194" s="12"/>
      <c r="H3194" s="8"/>
      <c r="I3194" s="8"/>
    </row>
    <row r="3195" spans="1:9" ht="14.25" customHeight="1" x14ac:dyDescent="0.25">
      <c r="A3195" s="7"/>
      <c r="B3195" s="8"/>
      <c r="C3195" s="8"/>
      <c r="D3195" s="8"/>
      <c r="E3195" s="8"/>
      <c r="F3195" s="12"/>
      <c r="H3195" s="8"/>
      <c r="I3195" s="8"/>
    </row>
    <row r="3196" spans="1:9" ht="14.25" customHeight="1" x14ac:dyDescent="0.25">
      <c r="A3196" s="7"/>
      <c r="B3196" s="8"/>
      <c r="C3196" s="8"/>
      <c r="D3196" s="8"/>
      <c r="E3196" s="8"/>
      <c r="F3196" s="12"/>
      <c r="H3196" s="8"/>
      <c r="I3196" s="8"/>
    </row>
    <row r="3197" spans="1:9" ht="14.25" customHeight="1" x14ac:dyDescent="0.25">
      <c r="A3197" s="7"/>
      <c r="B3197" s="8"/>
      <c r="C3197" s="8"/>
      <c r="D3197" s="8"/>
      <c r="E3197" s="8"/>
      <c r="F3197" s="12"/>
      <c r="H3197" s="8"/>
      <c r="I3197" s="8"/>
    </row>
    <row r="3198" spans="1:9" ht="14.25" customHeight="1" x14ac:dyDescent="0.25">
      <c r="A3198" s="7"/>
      <c r="B3198" s="8"/>
      <c r="C3198" s="8"/>
      <c r="D3198" s="8"/>
      <c r="E3198" s="8"/>
      <c r="F3198" s="12"/>
      <c r="H3198" s="8"/>
      <c r="I3198" s="8"/>
    </row>
    <row r="3199" spans="1:9" ht="14.25" customHeight="1" x14ac:dyDescent="0.25">
      <c r="A3199" s="7"/>
      <c r="B3199" s="8"/>
      <c r="C3199" s="8"/>
      <c r="D3199" s="8"/>
      <c r="E3199" s="8"/>
      <c r="F3199" s="12"/>
      <c r="H3199" s="8"/>
      <c r="I3199" s="8"/>
    </row>
    <row r="3200" spans="1:9" ht="14.25" customHeight="1" x14ac:dyDescent="0.25">
      <c r="A3200" s="7"/>
      <c r="B3200" s="8"/>
      <c r="C3200" s="8"/>
      <c r="D3200" s="8"/>
      <c r="E3200" s="8"/>
      <c r="F3200" s="12"/>
      <c r="H3200" s="8"/>
      <c r="I3200" s="8"/>
    </row>
    <row r="3201" spans="1:9" ht="14.25" customHeight="1" x14ac:dyDescent="0.25">
      <c r="A3201" s="7"/>
      <c r="B3201" s="8"/>
      <c r="C3201" s="8"/>
      <c r="D3201" s="8"/>
      <c r="E3201" s="8"/>
      <c r="F3201" s="12"/>
      <c r="H3201" s="8"/>
      <c r="I3201" s="8"/>
    </row>
    <row r="3202" spans="1:9" ht="14.25" customHeight="1" x14ac:dyDescent="0.25">
      <c r="A3202" s="7"/>
      <c r="B3202" s="8"/>
      <c r="C3202" s="8"/>
      <c r="D3202" s="8"/>
      <c r="E3202" s="8"/>
      <c r="F3202" s="12"/>
      <c r="H3202" s="8"/>
      <c r="I3202" s="8"/>
    </row>
    <row r="3203" spans="1:9" ht="14.25" customHeight="1" x14ac:dyDescent="0.25">
      <c r="A3203" s="7"/>
      <c r="B3203" s="8"/>
      <c r="C3203" s="8"/>
      <c r="D3203" s="8"/>
      <c r="E3203" s="8"/>
      <c r="F3203" s="12"/>
      <c r="H3203" s="8"/>
      <c r="I3203" s="8"/>
    </row>
    <row r="3204" spans="1:9" ht="14.25" customHeight="1" x14ac:dyDescent="0.25">
      <c r="A3204" s="7"/>
      <c r="B3204" s="8"/>
      <c r="C3204" s="8"/>
      <c r="D3204" s="8"/>
      <c r="E3204" s="8"/>
      <c r="F3204" s="12"/>
      <c r="H3204" s="8"/>
      <c r="I3204" s="8"/>
    </row>
    <row r="3205" spans="1:9" ht="14.25" customHeight="1" x14ac:dyDescent="0.25">
      <c r="A3205" s="7"/>
      <c r="B3205" s="8"/>
      <c r="C3205" s="8"/>
      <c r="D3205" s="8"/>
      <c r="E3205" s="8"/>
      <c r="F3205" s="12"/>
      <c r="H3205" s="8"/>
      <c r="I3205" s="8"/>
    </row>
    <row r="3206" spans="1:9" ht="14.25" customHeight="1" x14ac:dyDescent="0.25">
      <c r="A3206" s="7"/>
      <c r="B3206" s="8"/>
      <c r="C3206" s="8"/>
      <c r="D3206" s="8"/>
      <c r="E3206" s="8"/>
      <c r="F3206" s="12"/>
      <c r="H3206" s="8"/>
      <c r="I3206" s="8"/>
    </row>
    <row r="3207" spans="1:9" ht="14.25" customHeight="1" x14ac:dyDescent="0.25">
      <c r="A3207" s="7"/>
      <c r="B3207" s="8"/>
      <c r="C3207" s="8"/>
      <c r="D3207" s="8"/>
      <c r="E3207" s="8"/>
      <c r="F3207" s="12"/>
      <c r="H3207" s="8"/>
      <c r="I3207" s="8"/>
    </row>
    <row r="3208" spans="1:9" ht="14.25" customHeight="1" x14ac:dyDescent="0.25">
      <c r="A3208" s="7"/>
      <c r="B3208" s="8"/>
      <c r="C3208" s="8"/>
      <c r="D3208" s="8"/>
      <c r="E3208" s="8"/>
      <c r="F3208" s="12"/>
      <c r="H3208" s="8"/>
      <c r="I3208" s="8"/>
    </row>
    <row r="3209" spans="1:9" ht="14.25" customHeight="1" x14ac:dyDescent="0.25">
      <c r="A3209" s="7"/>
      <c r="B3209" s="8"/>
      <c r="C3209" s="8"/>
      <c r="D3209" s="8"/>
      <c r="E3209" s="8"/>
      <c r="F3209" s="12"/>
      <c r="H3209" s="8"/>
      <c r="I3209" s="8"/>
    </row>
    <row r="3210" spans="1:9" ht="14.25" customHeight="1" x14ac:dyDescent="0.25">
      <c r="A3210" s="7"/>
      <c r="B3210" s="8"/>
      <c r="C3210" s="8"/>
      <c r="D3210" s="8"/>
      <c r="E3210" s="8"/>
      <c r="F3210" s="12"/>
      <c r="H3210" s="8"/>
      <c r="I3210" s="8"/>
    </row>
    <row r="3211" spans="1:9" ht="14.25" customHeight="1" x14ac:dyDescent="0.25">
      <c r="A3211" s="7"/>
      <c r="B3211" s="8"/>
      <c r="C3211" s="8"/>
      <c r="D3211" s="8"/>
      <c r="E3211" s="8"/>
      <c r="F3211" s="12"/>
      <c r="H3211" s="8"/>
      <c r="I3211" s="8"/>
    </row>
    <row r="3212" spans="1:9" ht="14.25" customHeight="1" x14ac:dyDescent="0.25">
      <c r="A3212" s="7"/>
      <c r="B3212" s="8"/>
      <c r="C3212" s="8"/>
      <c r="D3212" s="8"/>
      <c r="E3212" s="8"/>
      <c r="F3212" s="12"/>
      <c r="H3212" s="8"/>
      <c r="I3212" s="8"/>
    </row>
    <row r="3213" spans="1:9" ht="14.25" customHeight="1" x14ac:dyDescent="0.25">
      <c r="A3213" s="7"/>
      <c r="B3213" s="8"/>
      <c r="C3213" s="8"/>
      <c r="D3213" s="8"/>
      <c r="E3213" s="8"/>
      <c r="F3213" s="12"/>
      <c r="H3213" s="8"/>
      <c r="I3213" s="8"/>
    </row>
    <row r="3214" spans="1:9" ht="14.25" customHeight="1" x14ac:dyDescent="0.25">
      <c r="A3214" s="7"/>
      <c r="B3214" s="8"/>
      <c r="C3214" s="8"/>
      <c r="D3214" s="8"/>
      <c r="E3214" s="8"/>
      <c r="F3214" s="12"/>
      <c r="H3214" s="8"/>
      <c r="I3214" s="8"/>
    </row>
    <row r="3215" spans="1:9" ht="14.25" customHeight="1" x14ac:dyDescent="0.25">
      <c r="A3215" s="7"/>
      <c r="B3215" s="8"/>
      <c r="C3215" s="8"/>
      <c r="D3215" s="8"/>
      <c r="E3215" s="8"/>
      <c r="F3215" s="12"/>
      <c r="H3215" s="8"/>
      <c r="I3215" s="8"/>
    </row>
    <row r="3216" spans="1:9" ht="14.25" customHeight="1" x14ac:dyDescent="0.25">
      <c r="A3216" s="7"/>
      <c r="B3216" s="8"/>
      <c r="C3216" s="8"/>
      <c r="D3216" s="8"/>
      <c r="E3216" s="8"/>
      <c r="F3216" s="12"/>
      <c r="H3216" s="8"/>
      <c r="I3216" s="8"/>
    </row>
    <row r="3217" spans="1:9" ht="14.25" customHeight="1" x14ac:dyDescent="0.25">
      <c r="A3217" s="7"/>
      <c r="B3217" s="8"/>
      <c r="C3217" s="8"/>
      <c r="D3217" s="8"/>
      <c r="E3217" s="8"/>
      <c r="F3217" s="12"/>
      <c r="H3217" s="8"/>
      <c r="I3217" s="8"/>
    </row>
    <row r="3218" spans="1:9" ht="14.25" customHeight="1" x14ac:dyDescent="0.25">
      <c r="A3218" s="7"/>
      <c r="B3218" s="8"/>
      <c r="C3218" s="8"/>
      <c r="D3218" s="8"/>
      <c r="E3218" s="8"/>
      <c r="F3218" s="12"/>
      <c r="H3218" s="8"/>
      <c r="I3218" s="8"/>
    </row>
    <row r="3219" spans="1:9" ht="14.25" customHeight="1" x14ac:dyDescent="0.25">
      <c r="A3219" s="7"/>
      <c r="B3219" s="8"/>
      <c r="C3219" s="8"/>
      <c r="D3219" s="8"/>
      <c r="E3219" s="8"/>
      <c r="F3219" s="12"/>
      <c r="H3219" s="8"/>
      <c r="I3219" s="8"/>
    </row>
    <row r="3220" spans="1:9" ht="14.25" customHeight="1" x14ac:dyDescent="0.25">
      <c r="A3220" s="7"/>
      <c r="B3220" s="8"/>
      <c r="C3220" s="8"/>
      <c r="D3220" s="8"/>
      <c r="E3220" s="8"/>
      <c r="F3220" s="12"/>
      <c r="H3220" s="8"/>
      <c r="I3220" s="8"/>
    </row>
    <row r="3221" spans="1:9" ht="14.25" customHeight="1" x14ac:dyDescent="0.25">
      <c r="A3221" s="7"/>
      <c r="B3221" s="8"/>
      <c r="C3221" s="8"/>
      <c r="D3221" s="8"/>
      <c r="E3221" s="8"/>
      <c r="F3221" s="12"/>
      <c r="H3221" s="8"/>
      <c r="I3221" s="8"/>
    </row>
    <row r="3222" spans="1:9" ht="14.25" customHeight="1" x14ac:dyDescent="0.25">
      <c r="A3222" s="7"/>
      <c r="B3222" s="8"/>
      <c r="C3222" s="8"/>
      <c r="D3222" s="8"/>
      <c r="E3222" s="8"/>
      <c r="F3222" s="12"/>
      <c r="H3222" s="8"/>
      <c r="I3222" s="8"/>
    </row>
    <row r="3223" spans="1:9" ht="14.25" customHeight="1" x14ac:dyDescent="0.25">
      <c r="A3223" s="7"/>
      <c r="B3223" s="8"/>
      <c r="C3223" s="8"/>
      <c r="D3223" s="8"/>
      <c r="E3223" s="8"/>
      <c r="F3223" s="12"/>
      <c r="H3223" s="8"/>
      <c r="I3223" s="8"/>
    </row>
    <row r="3224" spans="1:9" ht="14.25" customHeight="1" x14ac:dyDescent="0.25">
      <c r="A3224" s="7"/>
      <c r="B3224" s="8"/>
      <c r="C3224" s="8"/>
      <c r="D3224" s="8"/>
      <c r="E3224" s="8"/>
      <c r="F3224" s="12"/>
      <c r="H3224" s="8"/>
      <c r="I3224" s="8"/>
    </row>
    <row r="3225" spans="1:9" ht="14.25" customHeight="1" x14ac:dyDescent="0.25">
      <c r="A3225" s="7"/>
      <c r="B3225" s="8"/>
      <c r="C3225" s="8"/>
      <c r="D3225" s="8"/>
      <c r="E3225" s="8"/>
      <c r="F3225" s="12"/>
      <c r="H3225" s="8"/>
      <c r="I3225" s="8"/>
    </row>
    <row r="3226" spans="1:9" ht="14.25" customHeight="1" x14ac:dyDescent="0.25">
      <c r="A3226" s="7"/>
      <c r="B3226" s="8"/>
      <c r="C3226" s="8"/>
      <c r="D3226" s="8"/>
      <c r="E3226" s="8"/>
      <c r="F3226" s="12"/>
      <c r="H3226" s="8"/>
      <c r="I3226" s="8"/>
    </row>
    <row r="3227" spans="1:9" ht="14.25" customHeight="1" x14ac:dyDescent="0.25">
      <c r="A3227" s="7"/>
      <c r="B3227" s="8"/>
      <c r="C3227" s="8"/>
      <c r="D3227" s="8"/>
      <c r="E3227" s="8"/>
      <c r="F3227" s="12"/>
      <c r="H3227" s="8"/>
      <c r="I3227" s="8"/>
    </row>
    <row r="3228" spans="1:9" ht="14.25" customHeight="1" x14ac:dyDescent="0.25">
      <c r="A3228" s="7"/>
      <c r="B3228" s="8"/>
      <c r="C3228" s="8"/>
      <c r="D3228" s="8"/>
      <c r="E3228" s="8"/>
      <c r="F3228" s="12"/>
      <c r="H3228" s="8"/>
      <c r="I3228" s="8"/>
    </row>
    <row r="3229" spans="1:9" ht="14.25" customHeight="1" x14ac:dyDescent="0.25">
      <c r="A3229" s="7"/>
      <c r="B3229" s="8"/>
      <c r="C3229" s="8"/>
      <c r="D3229" s="8"/>
      <c r="E3229" s="8"/>
      <c r="F3229" s="12"/>
      <c r="H3229" s="8"/>
      <c r="I3229" s="8"/>
    </row>
    <row r="3230" spans="1:9" ht="14.25" customHeight="1" x14ac:dyDescent="0.25">
      <c r="A3230" s="7"/>
      <c r="B3230" s="8"/>
      <c r="C3230" s="8"/>
      <c r="D3230" s="8"/>
      <c r="E3230" s="8"/>
      <c r="F3230" s="12"/>
      <c r="H3230" s="8"/>
      <c r="I3230" s="8"/>
    </row>
    <row r="3231" spans="1:9" ht="14.25" customHeight="1" x14ac:dyDescent="0.25">
      <c r="A3231" s="7"/>
      <c r="B3231" s="8"/>
      <c r="C3231" s="8"/>
      <c r="D3231" s="8"/>
      <c r="E3231" s="8"/>
      <c r="F3231" s="12"/>
      <c r="H3231" s="8"/>
      <c r="I3231" s="8"/>
    </row>
    <row r="3232" spans="1:9" ht="14.25" customHeight="1" x14ac:dyDescent="0.25">
      <c r="A3232" s="7"/>
      <c r="B3232" s="8"/>
      <c r="C3232" s="8"/>
      <c r="D3232" s="8"/>
      <c r="E3232" s="8"/>
      <c r="F3232" s="12"/>
      <c r="H3232" s="8"/>
      <c r="I3232" s="8"/>
    </row>
    <row r="3233" spans="1:9" ht="14.25" customHeight="1" x14ac:dyDescent="0.25">
      <c r="A3233" s="7"/>
      <c r="B3233" s="8"/>
      <c r="C3233" s="8"/>
      <c r="D3233" s="8"/>
      <c r="E3233" s="8"/>
      <c r="F3233" s="12"/>
      <c r="H3233" s="8"/>
      <c r="I3233" s="8"/>
    </row>
    <row r="3234" spans="1:9" ht="14.25" customHeight="1" x14ac:dyDescent="0.25">
      <c r="A3234" s="7"/>
      <c r="B3234" s="8"/>
      <c r="C3234" s="8"/>
      <c r="D3234" s="8"/>
      <c r="E3234" s="8"/>
      <c r="F3234" s="12"/>
      <c r="H3234" s="8"/>
      <c r="I3234" s="8"/>
    </row>
    <row r="3235" spans="1:9" ht="14.25" customHeight="1" x14ac:dyDescent="0.25">
      <c r="A3235" s="7"/>
      <c r="B3235" s="8"/>
      <c r="C3235" s="8"/>
      <c r="D3235" s="8"/>
      <c r="E3235" s="8"/>
      <c r="F3235" s="12"/>
      <c r="H3235" s="8"/>
      <c r="I3235" s="8"/>
    </row>
    <row r="3236" spans="1:9" ht="14.25" customHeight="1" x14ac:dyDescent="0.25">
      <c r="A3236" s="7"/>
      <c r="B3236" s="8"/>
      <c r="C3236" s="8"/>
      <c r="D3236" s="8"/>
      <c r="E3236" s="8"/>
      <c r="F3236" s="12"/>
      <c r="H3236" s="8"/>
      <c r="I3236" s="8"/>
    </row>
    <row r="3237" spans="1:9" ht="14.25" customHeight="1" x14ac:dyDescent="0.25">
      <c r="A3237" s="7"/>
      <c r="B3237" s="8"/>
      <c r="C3237" s="8"/>
      <c r="D3237" s="8"/>
      <c r="E3237" s="8"/>
      <c r="F3237" s="12"/>
      <c r="H3237" s="8"/>
      <c r="I3237" s="8"/>
    </row>
    <row r="3238" spans="1:9" ht="14.25" customHeight="1" x14ac:dyDescent="0.25">
      <c r="A3238" s="7"/>
      <c r="B3238" s="8"/>
      <c r="C3238" s="8"/>
      <c r="D3238" s="8"/>
      <c r="E3238" s="8"/>
      <c r="F3238" s="12"/>
      <c r="H3238" s="8"/>
      <c r="I3238" s="8"/>
    </row>
    <row r="3239" spans="1:9" ht="14.25" customHeight="1" x14ac:dyDescent="0.25">
      <c r="A3239" s="7"/>
      <c r="B3239" s="8"/>
      <c r="C3239" s="8"/>
      <c r="D3239" s="8"/>
      <c r="E3239" s="8"/>
      <c r="F3239" s="12"/>
      <c r="H3239" s="8"/>
      <c r="I3239" s="8"/>
    </row>
    <row r="3240" spans="1:9" ht="14.25" customHeight="1" x14ac:dyDescent="0.25">
      <c r="A3240" s="7"/>
      <c r="B3240" s="8"/>
      <c r="C3240" s="8"/>
      <c r="D3240" s="8"/>
      <c r="E3240" s="8"/>
      <c r="F3240" s="12"/>
      <c r="H3240" s="8"/>
      <c r="I3240" s="8"/>
    </row>
    <row r="3241" spans="1:9" ht="14.25" customHeight="1" x14ac:dyDescent="0.25">
      <c r="A3241" s="7"/>
      <c r="B3241" s="8"/>
      <c r="C3241" s="8"/>
      <c r="D3241" s="8"/>
      <c r="E3241" s="8"/>
      <c r="F3241" s="12"/>
      <c r="H3241" s="8"/>
      <c r="I3241" s="8"/>
    </row>
    <row r="3242" spans="1:9" ht="14.25" customHeight="1" x14ac:dyDescent="0.25">
      <c r="A3242" s="7"/>
      <c r="B3242" s="8"/>
      <c r="C3242" s="8"/>
      <c r="D3242" s="8"/>
      <c r="E3242" s="8"/>
      <c r="F3242" s="12"/>
      <c r="H3242" s="8"/>
      <c r="I3242" s="8"/>
    </row>
    <row r="3243" spans="1:9" ht="14.25" customHeight="1" x14ac:dyDescent="0.25">
      <c r="A3243" s="7"/>
      <c r="B3243" s="8"/>
      <c r="C3243" s="8"/>
      <c r="D3243" s="8"/>
      <c r="E3243" s="8"/>
      <c r="F3243" s="12"/>
      <c r="H3243" s="8"/>
      <c r="I3243" s="8"/>
    </row>
    <row r="3244" spans="1:9" ht="14.25" customHeight="1" x14ac:dyDescent="0.25">
      <c r="A3244" s="7"/>
      <c r="B3244" s="8"/>
      <c r="C3244" s="8"/>
      <c r="D3244" s="8"/>
      <c r="E3244" s="8"/>
      <c r="F3244" s="12"/>
      <c r="H3244" s="8"/>
      <c r="I3244" s="8"/>
    </row>
    <row r="3245" spans="1:9" ht="14.25" customHeight="1" x14ac:dyDescent="0.25">
      <c r="A3245" s="7"/>
      <c r="B3245" s="8"/>
      <c r="C3245" s="8"/>
      <c r="D3245" s="8"/>
      <c r="E3245" s="8"/>
      <c r="F3245" s="12"/>
      <c r="H3245" s="8"/>
      <c r="I3245" s="8"/>
    </row>
    <row r="3246" spans="1:9" ht="14.25" customHeight="1" x14ac:dyDescent="0.25">
      <c r="A3246" s="7"/>
      <c r="B3246" s="8"/>
      <c r="C3246" s="8"/>
      <c r="D3246" s="8"/>
      <c r="E3246" s="8"/>
      <c r="F3246" s="12"/>
      <c r="H3246" s="8"/>
      <c r="I3246" s="8"/>
    </row>
    <row r="3247" spans="1:9" ht="14.25" customHeight="1" x14ac:dyDescent="0.25">
      <c r="A3247" s="7"/>
      <c r="B3247" s="8"/>
      <c r="C3247" s="8"/>
      <c r="D3247" s="8"/>
      <c r="E3247" s="8"/>
      <c r="F3247" s="12"/>
      <c r="H3247" s="8"/>
      <c r="I3247" s="8"/>
    </row>
    <row r="3248" spans="1:9" ht="14.25" customHeight="1" x14ac:dyDescent="0.25">
      <c r="A3248" s="7"/>
      <c r="B3248" s="8"/>
      <c r="C3248" s="8"/>
      <c r="D3248" s="8"/>
      <c r="E3248" s="8"/>
      <c r="F3248" s="12"/>
      <c r="H3248" s="8"/>
      <c r="I3248" s="8"/>
    </row>
    <row r="3249" spans="1:9" ht="14.25" customHeight="1" x14ac:dyDescent="0.25">
      <c r="A3249" s="7"/>
      <c r="B3249" s="8"/>
      <c r="C3249" s="8"/>
      <c r="D3249" s="8"/>
      <c r="E3249" s="8"/>
      <c r="F3249" s="12"/>
      <c r="H3249" s="8"/>
      <c r="I3249" s="8"/>
    </row>
    <row r="3250" spans="1:9" ht="14.25" customHeight="1" x14ac:dyDescent="0.25">
      <c r="A3250" s="7"/>
      <c r="B3250" s="8"/>
      <c r="C3250" s="8"/>
      <c r="D3250" s="8"/>
      <c r="E3250" s="8"/>
      <c r="F3250" s="12"/>
      <c r="H3250" s="8"/>
      <c r="I3250" s="8"/>
    </row>
    <row r="3251" spans="1:9" ht="14.25" customHeight="1" x14ac:dyDescent="0.25">
      <c r="A3251" s="7"/>
      <c r="B3251" s="8"/>
      <c r="C3251" s="8"/>
      <c r="D3251" s="8"/>
      <c r="E3251" s="8"/>
      <c r="F3251" s="12"/>
      <c r="H3251" s="8"/>
      <c r="I3251" s="8"/>
    </row>
    <row r="3252" spans="1:9" ht="14.25" customHeight="1" x14ac:dyDescent="0.25">
      <c r="A3252" s="7"/>
      <c r="B3252" s="8"/>
      <c r="C3252" s="8"/>
      <c r="D3252" s="8"/>
      <c r="E3252" s="8"/>
      <c r="F3252" s="12"/>
      <c r="H3252" s="8"/>
      <c r="I3252" s="8"/>
    </row>
    <row r="3253" spans="1:9" ht="14.25" customHeight="1" x14ac:dyDescent="0.25">
      <c r="A3253" s="7"/>
      <c r="B3253" s="8"/>
      <c r="C3253" s="8"/>
      <c r="D3253" s="8"/>
      <c r="E3253" s="8"/>
      <c r="F3253" s="12"/>
      <c r="H3253" s="8"/>
      <c r="I3253" s="8"/>
    </row>
    <row r="3254" spans="1:9" ht="14.25" customHeight="1" x14ac:dyDescent="0.25">
      <c r="A3254" s="7"/>
      <c r="B3254" s="8"/>
      <c r="C3254" s="8"/>
      <c r="D3254" s="8"/>
      <c r="E3254" s="8"/>
      <c r="F3254" s="12"/>
      <c r="H3254" s="8"/>
      <c r="I3254" s="8"/>
    </row>
    <row r="3255" spans="1:9" ht="14.25" customHeight="1" x14ac:dyDescent="0.25">
      <c r="A3255" s="7"/>
      <c r="B3255" s="8"/>
      <c r="C3255" s="8"/>
      <c r="D3255" s="8"/>
      <c r="E3255" s="8"/>
      <c r="F3255" s="12"/>
      <c r="H3255" s="8"/>
      <c r="I3255" s="8"/>
    </row>
    <row r="3256" spans="1:9" ht="14.25" customHeight="1" x14ac:dyDescent="0.25">
      <c r="A3256" s="7"/>
      <c r="B3256" s="8"/>
      <c r="C3256" s="8"/>
      <c r="D3256" s="8"/>
      <c r="E3256" s="8"/>
      <c r="F3256" s="12"/>
      <c r="H3256" s="8"/>
      <c r="I3256" s="8"/>
    </row>
    <row r="3257" spans="1:9" ht="14.25" customHeight="1" x14ac:dyDescent="0.25">
      <c r="A3257" s="7"/>
      <c r="B3257" s="8"/>
      <c r="C3257" s="8"/>
      <c r="D3257" s="8"/>
      <c r="E3257" s="8"/>
      <c r="F3257" s="12"/>
      <c r="H3257" s="8"/>
      <c r="I3257" s="8"/>
    </row>
    <row r="3258" spans="1:9" ht="14.25" customHeight="1" x14ac:dyDescent="0.25">
      <c r="A3258" s="7"/>
      <c r="B3258" s="8"/>
      <c r="C3258" s="8"/>
      <c r="D3258" s="8"/>
      <c r="E3258" s="8"/>
      <c r="F3258" s="12"/>
      <c r="H3258" s="8"/>
      <c r="I3258" s="8"/>
    </row>
    <row r="3259" spans="1:9" ht="14.25" customHeight="1" x14ac:dyDescent="0.25">
      <c r="A3259" s="7"/>
      <c r="B3259" s="8"/>
      <c r="C3259" s="8"/>
      <c r="D3259" s="8"/>
      <c r="E3259" s="8"/>
      <c r="F3259" s="12"/>
      <c r="H3259" s="8"/>
      <c r="I3259" s="8"/>
    </row>
    <row r="3260" spans="1:9" ht="14.25" customHeight="1" x14ac:dyDescent="0.25">
      <c r="A3260" s="7"/>
      <c r="B3260" s="8"/>
      <c r="C3260" s="8"/>
      <c r="D3260" s="8"/>
      <c r="E3260" s="8"/>
      <c r="F3260" s="12"/>
      <c r="H3260" s="8"/>
      <c r="I3260" s="8"/>
    </row>
    <row r="3261" spans="1:9" ht="14.25" customHeight="1" x14ac:dyDescent="0.25">
      <c r="A3261" s="7"/>
      <c r="B3261" s="8"/>
      <c r="C3261" s="8"/>
      <c r="D3261" s="8"/>
      <c r="E3261" s="8"/>
      <c r="F3261" s="12"/>
      <c r="H3261" s="8"/>
      <c r="I3261" s="8"/>
    </row>
    <row r="3262" spans="1:9" ht="14.25" customHeight="1" x14ac:dyDescent="0.25">
      <c r="A3262" s="7"/>
      <c r="B3262" s="8"/>
      <c r="C3262" s="8"/>
      <c r="D3262" s="8"/>
      <c r="E3262" s="8"/>
      <c r="F3262" s="12"/>
      <c r="H3262" s="8"/>
      <c r="I3262" s="8"/>
    </row>
    <row r="3263" spans="1:9" ht="14.25" customHeight="1" x14ac:dyDescent="0.25">
      <c r="A3263" s="7"/>
      <c r="B3263" s="8"/>
      <c r="C3263" s="8"/>
      <c r="D3263" s="8"/>
      <c r="E3263" s="8"/>
      <c r="F3263" s="12"/>
      <c r="H3263" s="8"/>
      <c r="I3263" s="8"/>
    </row>
    <row r="3264" spans="1:9" ht="14.25" customHeight="1" x14ac:dyDescent="0.25">
      <c r="A3264" s="7"/>
      <c r="B3264" s="8"/>
      <c r="C3264" s="8"/>
      <c r="D3264" s="8"/>
      <c r="E3264" s="8"/>
      <c r="F3264" s="12"/>
      <c r="H3264" s="8"/>
      <c r="I3264" s="8"/>
    </row>
    <row r="3265" spans="1:9" ht="14.25" customHeight="1" x14ac:dyDescent="0.25">
      <c r="A3265" s="7"/>
      <c r="B3265" s="8"/>
      <c r="C3265" s="8"/>
      <c r="D3265" s="8"/>
      <c r="E3265" s="8"/>
      <c r="F3265" s="12"/>
      <c r="H3265" s="8"/>
      <c r="I3265" s="8"/>
    </row>
    <row r="3266" spans="1:9" ht="14.25" customHeight="1" x14ac:dyDescent="0.25">
      <c r="A3266" s="7"/>
      <c r="B3266" s="8"/>
      <c r="C3266" s="8"/>
      <c r="D3266" s="8"/>
      <c r="E3266" s="8"/>
      <c r="F3266" s="12"/>
      <c r="H3266" s="8"/>
      <c r="I3266" s="8"/>
    </row>
    <row r="3267" spans="1:9" ht="14.25" customHeight="1" x14ac:dyDescent="0.25">
      <c r="A3267" s="7"/>
      <c r="B3267" s="8"/>
      <c r="C3267" s="8"/>
      <c r="D3267" s="8"/>
      <c r="E3267" s="8"/>
      <c r="F3267" s="12"/>
      <c r="H3267" s="8"/>
      <c r="I3267" s="8"/>
    </row>
    <row r="3268" spans="1:9" ht="14.25" customHeight="1" x14ac:dyDescent="0.25">
      <c r="A3268" s="7"/>
      <c r="B3268" s="8"/>
      <c r="C3268" s="8"/>
      <c r="D3268" s="8"/>
      <c r="E3268" s="8"/>
      <c r="F3268" s="12"/>
      <c r="H3268" s="8"/>
      <c r="I3268" s="8"/>
    </row>
    <row r="3269" spans="1:9" ht="14.25" customHeight="1" x14ac:dyDescent="0.25">
      <c r="A3269" s="7"/>
      <c r="B3269" s="8"/>
      <c r="C3269" s="8"/>
      <c r="D3269" s="8"/>
      <c r="E3269" s="8"/>
      <c r="F3269" s="12"/>
      <c r="H3269" s="8"/>
      <c r="I3269" s="8"/>
    </row>
    <row r="3270" spans="1:9" ht="14.25" customHeight="1" x14ac:dyDescent="0.25">
      <c r="A3270" s="7"/>
      <c r="B3270" s="8"/>
      <c r="C3270" s="8"/>
      <c r="D3270" s="8"/>
      <c r="E3270" s="8"/>
      <c r="F3270" s="12"/>
      <c r="H3270" s="8"/>
      <c r="I3270" s="8"/>
    </row>
    <row r="3271" spans="1:9" ht="14.25" customHeight="1" x14ac:dyDescent="0.25">
      <c r="A3271" s="7"/>
      <c r="B3271" s="8"/>
      <c r="C3271" s="8"/>
      <c r="D3271" s="8"/>
      <c r="E3271" s="8"/>
      <c r="F3271" s="12"/>
      <c r="H3271" s="8"/>
      <c r="I3271" s="8"/>
    </row>
    <row r="3272" spans="1:9" ht="14.25" customHeight="1" x14ac:dyDescent="0.25">
      <c r="A3272" s="7"/>
      <c r="B3272" s="8"/>
      <c r="C3272" s="8"/>
      <c r="D3272" s="8"/>
      <c r="E3272" s="8"/>
      <c r="F3272" s="12"/>
      <c r="H3272" s="8"/>
      <c r="I3272" s="8"/>
    </row>
    <row r="3273" spans="1:9" ht="14.25" customHeight="1" x14ac:dyDescent="0.25">
      <c r="A3273" s="7"/>
      <c r="B3273" s="8"/>
      <c r="C3273" s="8"/>
      <c r="D3273" s="8"/>
      <c r="E3273" s="8"/>
      <c r="F3273" s="12"/>
      <c r="H3273" s="8"/>
      <c r="I3273" s="8"/>
    </row>
    <row r="3274" spans="1:9" ht="14.25" customHeight="1" x14ac:dyDescent="0.25">
      <c r="A3274" s="7"/>
      <c r="B3274" s="8"/>
      <c r="C3274" s="8"/>
      <c r="D3274" s="8"/>
      <c r="E3274" s="8"/>
      <c r="F3274" s="12"/>
      <c r="H3274" s="8"/>
      <c r="I3274" s="8"/>
    </row>
    <row r="3275" spans="1:9" ht="14.25" customHeight="1" x14ac:dyDescent="0.25">
      <c r="A3275" s="7"/>
      <c r="B3275" s="8"/>
      <c r="C3275" s="8"/>
      <c r="D3275" s="8"/>
      <c r="E3275" s="8"/>
      <c r="F3275" s="12"/>
      <c r="H3275" s="8"/>
      <c r="I3275" s="8"/>
    </row>
    <row r="3276" spans="1:9" ht="14.25" customHeight="1" x14ac:dyDescent="0.25">
      <c r="A3276" s="7"/>
      <c r="B3276" s="8"/>
      <c r="C3276" s="8"/>
      <c r="D3276" s="8"/>
      <c r="E3276" s="8"/>
      <c r="F3276" s="12"/>
      <c r="H3276" s="8"/>
      <c r="I3276" s="8"/>
    </row>
    <row r="3277" spans="1:9" ht="14.25" customHeight="1" x14ac:dyDescent="0.25">
      <c r="A3277" s="7"/>
      <c r="B3277" s="8"/>
      <c r="C3277" s="8"/>
      <c r="D3277" s="8"/>
      <c r="E3277" s="8"/>
      <c r="F3277" s="12"/>
      <c r="H3277" s="8"/>
      <c r="I3277" s="8"/>
    </row>
    <row r="3278" spans="1:9" ht="14.25" customHeight="1" x14ac:dyDescent="0.25">
      <c r="A3278" s="7"/>
      <c r="B3278" s="8"/>
      <c r="C3278" s="8"/>
      <c r="D3278" s="8"/>
      <c r="E3278" s="8"/>
      <c r="F3278" s="12"/>
      <c r="H3278" s="8"/>
      <c r="I3278" s="8"/>
    </row>
    <row r="3279" spans="1:9" ht="14.25" customHeight="1" x14ac:dyDescent="0.25">
      <c r="A3279" s="7"/>
      <c r="B3279" s="8"/>
      <c r="C3279" s="8"/>
      <c r="D3279" s="8"/>
      <c r="E3279" s="8"/>
      <c r="F3279" s="12"/>
      <c r="H3279" s="8"/>
      <c r="I3279" s="8"/>
    </row>
    <row r="3280" spans="1:9" ht="14.25" customHeight="1" x14ac:dyDescent="0.25">
      <c r="A3280" s="7"/>
      <c r="B3280" s="8"/>
      <c r="C3280" s="8"/>
      <c r="D3280" s="8"/>
      <c r="E3280" s="8"/>
      <c r="F3280" s="12"/>
      <c r="H3280" s="8"/>
      <c r="I3280" s="8"/>
    </row>
    <row r="3281" spans="1:9" ht="14.25" customHeight="1" x14ac:dyDescent="0.25">
      <c r="A3281" s="7"/>
      <c r="B3281" s="8"/>
      <c r="C3281" s="8"/>
      <c r="D3281" s="8"/>
      <c r="E3281" s="8"/>
      <c r="F3281" s="12"/>
      <c r="H3281" s="8"/>
      <c r="I3281" s="8"/>
    </row>
    <row r="3282" spans="1:9" ht="14.25" customHeight="1" x14ac:dyDescent="0.25">
      <c r="A3282" s="7"/>
      <c r="B3282" s="8"/>
      <c r="C3282" s="8"/>
      <c r="D3282" s="8"/>
      <c r="E3282" s="8"/>
      <c r="F3282" s="12"/>
      <c r="H3282" s="8"/>
      <c r="I3282" s="8"/>
    </row>
    <row r="3283" spans="1:9" ht="14.25" customHeight="1" x14ac:dyDescent="0.25">
      <c r="A3283" s="7"/>
      <c r="B3283" s="8"/>
      <c r="C3283" s="8"/>
      <c r="D3283" s="8"/>
      <c r="E3283" s="8"/>
      <c r="F3283" s="12"/>
      <c r="H3283" s="8"/>
      <c r="I3283" s="8"/>
    </row>
    <row r="3284" spans="1:9" ht="14.25" customHeight="1" x14ac:dyDescent="0.25">
      <c r="A3284" s="7"/>
      <c r="B3284" s="8"/>
      <c r="C3284" s="8"/>
      <c r="D3284" s="8"/>
      <c r="E3284" s="8"/>
      <c r="F3284" s="12"/>
      <c r="H3284" s="8"/>
      <c r="I3284" s="8"/>
    </row>
    <row r="3285" spans="1:9" ht="14.25" customHeight="1" x14ac:dyDescent="0.25">
      <c r="A3285" s="7"/>
      <c r="B3285" s="8"/>
      <c r="C3285" s="8"/>
      <c r="D3285" s="8"/>
      <c r="E3285" s="8"/>
      <c r="F3285" s="12"/>
      <c r="H3285" s="8"/>
      <c r="I3285" s="8"/>
    </row>
    <row r="3286" spans="1:9" ht="14.25" customHeight="1" x14ac:dyDescent="0.25">
      <c r="A3286" s="7"/>
      <c r="B3286" s="8"/>
      <c r="C3286" s="8"/>
      <c r="D3286" s="8"/>
      <c r="E3286" s="8"/>
      <c r="F3286" s="12"/>
      <c r="H3286" s="8"/>
      <c r="I3286" s="8"/>
    </row>
    <row r="3287" spans="1:9" ht="14.25" customHeight="1" x14ac:dyDescent="0.25">
      <c r="A3287" s="7"/>
      <c r="B3287" s="8"/>
      <c r="C3287" s="8"/>
      <c r="D3287" s="8"/>
      <c r="E3287" s="8"/>
      <c r="F3287" s="12"/>
      <c r="H3287" s="8"/>
      <c r="I3287" s="8"/>
    </row>
    <row r="3288" spans="1:9" ht="14.25" customHeight="1" x14ac:dyDescent="0.25">
      <c r="A3288" s="7"/>
      <c r="B3288" s="8"/>
      <c r="C3288" s="8"/>
      <c r="D3288" s="8"/>
      <c r="E3288" s="8"/>
      <c r="F3288" s="12"/>
      <c r="H3288" s="8"/>
      <c r="I3288" s="8"/>
    </row>
    <row r="3289" spans="1:9" ht="14.25" customHeight="1" x14ac:dyDescent="0.25">
      <c r="A3289" s="7"/>
      <c r="B3289" s="8"/>
      <c r="C3289" s="8"/>
      <c r="D3289" s="8"/>
      <c r="E3289" s="8"/>
      <c r="F3289" s="12"/>
      <c r="H3289" s="8"/>
      <c r="I3289" s="8"/>
    </row>
    <row r="3290" spans="1:9" ht="14.25" customHeight="1" x14ac:dyDescent="0.25">
      <c r="A3290" s="7"/>
      <c r="B3290" s="8"/>
      <c r="C3290" s="8"/>
      <c r="D3290" s="8"/>
      <c r="E3290" s="8"/>
      <c r="F3290" s="12"/>
      <c r="H3290" s="8"/>
      <c r="I3290" s="8"/>
    </row>
    <row r="3291" spans="1:9" ht="14.25" customHeight="1" x14ac:dyDescent="0.25">
      <c r="A3291" s="7"/>
      <c r="B3291" s="8"/>
      <c r="C3291" s="8"/>
      <c r="D3291" s="8"/>
      <c r="E3291" s="8"/>
      <c r="F3291" s="12"/>
      <c r="H3291" s="8"/>
      <c r="I3291" s="8"/>
    </row>
    <row r="3292" spans="1:9" ht="14.25" customHeight="1" x14ac:dyDescent="0.25">
      <c r="A3292" s="7"/>
      <c r="B3292" s="8"/>
      <c r="C3292" s="8"/>
      <c r="D3292" s="8"/>
      <c r="E3292" s="8"/>
      <c r="F3292" s="12"/>
      <c r="H3292" s="8"/>
      <c r="I3292" s="8"/>
    </row>
    <row r="3293" spans="1:9" ht="14.25" customHeight="1" x14ac:dyDescent="0.25">
      <c r="A3293" s="7"/>
      <c r="B3293" s="8"/>
      <c r="C3293" s="8"/>
      <c r="D3293" s="8"/>
      <c r="E3293" s="8"/>
      <c r="F3293" s="12"/>
      <c r="H3293" s="8"/>
      <c r="I3293" s="8"/>
    </row>
    <row r="3294" spans="1:9" ht="14.25" customHeight="1" x14ac:dyDescent="0.25">
      <c r="A3294" s="7"/>
      <c r="B3294" s="8"/>
      <c r="C3294" s="8"/>
      <c r="D3294" s="8"/>
      <c r="E3294" s="8"/>
      <c r="F3294" s="12"/>
      <c r="H3294" s="8"/>
      <c r="I3294" s="8"/>
    </row>
    <row r="3295" spans="1:9" ht="14.25" customHeight="1" x14ac:dyDescent="0.25">
      <c r="A3295" s="7"/>
      <c r="B3295" s="8"/>
      <c r="C3295" s="8"/>
      <c r="D3295" s="8"/>
      <c r="E3295" s="8"/>
      <c r="F3295" s="12"/>
      <c r="H3295" s="8"/>
      <c r="I3295" s="8"/>
    </row>
    <row r="3296" spans="1:9" ht="14.25" customHeight="1" x14ac:dyDescent="0.25">
      <c r="A3296" s="7"/>
      <c r="B3296" s="8"/>
      <c r="C3296" s="8"/>
      <c r="D3296" s="8"/>
      <c r="E3296" s="8"/>
      <c r="F3296" s="12"/>
      <c r="H3296" s="8"/>
      <c r="I3296" s="8"/>
    </row>
    <row r="3297" spans="1:9" ht="14.25" customHeight="1" x14ac:dyDescent="0.25">
      <c r="A3297" s="7"/>
      <c r="B3297" s="8"/>
      <c r="C3297" s="8"/>
      <c r="D3297" s="8"/>
      <c r="E3297" s="8"/>
      <c r="F3297" s="12"/>
      <c r="H3297" s="8"/>
      <c r="I3297" s="8"/>
    </row>
    <row r="3298" spans="1:9" ht="14.25" customHeight="1" x14ac:dyDescent="0.25">
      <c r="A3298" s="7"/>
      <c r="B3298" s="8"/>
      <c r="C3298" s="8"/>
      <c r="D3298" s="8"/>
      <c r="E3298" s="8"/>
      <c r="F3298" s="12"/>
      <c r="H3298" s="8"/>
      <c r="I3298" s="8"/>
    </row>
    <row r="3299" spans="1:9" ht="14.25" customHeight="1" x14ac:dyDescent="0.25">
      <c r="A3299" s="7"/>
      <c r="B3299" s="8"/>
      <c r="C3299" s="8"/>
      <c r="D3299" s="8"/>
      <c r="E3299" s="8"/>
      <c r="F3299" s="12"/>
      <c r="H3299" s="8"/>
      <c r="I3299" s="8"/>
    </row>
    <row r="3300" spans="1:9" ht="14.25" customHeight="1" x14ac:dyDescent="0.25">
      <c r="A3300" s="7"/>
      <c r="B3300" s="8"/>
      <c r="C3300" s="8"/>
      <c r="D3300" s="8"/>
      <c r="E3300" s="8"/>
      <c r="F3300" s="12"/>
      <c r="H3300" s="8"/>
      <c r="I3300" s="8"/>
    </row>
    <row r="3301" spans="1:9" ht="14.25" customHeight="1" x14ac:dyDescent="0.25">
      <c r="A3301" s="7"/>
      <c r="B3301" s="8"/>
      <c r="C3301" s="8"/>
      <c r="D3301" s="8"/>
      <c r="E3301" s="8"/>
      <c r="F3301" s="12"/>
      <c r="H3301" s="8"/>
      <c r="I3301" s="8"/>
    </row>
    <row r="3302" spans="1:9" ht="14.25" customHeight="1" x14ac:dyDescent="0.25">
      <c r="A3302" s="7"/>
      <c r="B3302" s="8"/>
      <c r="C3302" s="8"/>
      <c r="D3302" s="8"/>
      <c r="E3302" s="8"/>
      <c r="F3302" s="12"/>
      <c r="H3302" s="8"/>
      <c r="I3302" s="8"/>
    </row>
    <row r="3303" spans="1:9" ht="14.25" customHeight="1" x14ac:dyDescent="0.25">
      <c r="A3303" s="7"/>
      <c r="B3303" s="8"/>
      <c r="C3303" s="8"/>
      <c r="D3303" s="8"/>
      <c r="E3303" s="8"/>
      <c r="F3303" s="12"/>
      <c r="H3303" s="8"/>
      <c r="I3303" s="8"/>
    </row>
    <row r="3304" spans="1:9" ht="14.25" customHeight="1" x14ac:dyDescent="0.25">
      <c r="A3304" s="7"/>
      <c r="B3304" s="8"/>
      <c r="C3304" s="8"/>
      <c r="D3304" s="8"/>
      <c r="E3304" s="8"/>
      <c r="F3304" s="12"/>
      <c r="H3304" s="8"/>
      <c r="I3304" s="8"/>
    </row>
    <row r="3305" spans="1:9" ht="14.25" customHeight="1" x14ac:dyDescent="0.25">
      <c r="A3305" s="7"/>
      <c r="B3305" s="8"/>
      <c r="C3305" s="8"/>
      <c r="D3305" s="8"/>
      <c r="E3305" s="8"/>
      <c r="F3305" s="12"/>
      <c r="H3305" s="8"/>
      <c r="I3305" s="8"/>
    </row>
    <row r="3306" spans="1:9" ht="14.25" customHeight="1" x14ac:dyDescent="0.25">
      <c r="A3306" s="7"/>
      <c r="B3306" s="8"/>
      <c r="C3306" s="8"/>
      <c r="D3306" s="8"/>
      <c r="E3306" s="8"/>
      <c r="F3306" s="12"/>
      <c r="H3306" s="8"/>
      <c r="I3306" s="8"/>
    </row>
    <row r="3307" spans="1:9" ht="14.25" customHeight="1" x14ac:dyDescent="0.25">
      <c r="A3307" s="7"/>
      <c r="B3307" s="8"/>
      <c r="C3307" s="8"/>
      <c r="D3307" s="8"/>
      <c r="E3307" s="8"/>
      <c r="F3307" s="12"/>
      <c r="H3307" s="8"/>
      <c r="I3307" s="8"/>
    </row>
    <row r="3308" spans="1:9" ht="14.25" customHeight="1" x14ac:dyDescent="0.25">
      <c r="A3308" s="7"/>
      <c r="B3308" s="8"/>
      <c r="C3308" s="8"/>
      <c r="D3308" s="8"/>
      <c r="E3308" s="8"/>
      <c r="F3308" s="12"/>
      <c r="H3308" s="8"/>
      <c r="I3308" s="8"/>
    </row>
    <row r="3309" spans="1:9" ht="14.25" customHeight="1" x14ac:dyDescent="0.25">
      <c r="A3309" s="7"/>
      <c r="B3309" s="8"/>
      <c r="C3309" s="8"/>
      <c r="D3309" s="8"/>
      <c r="E3309" s="8"/>
      <c r="F3309" s="12"/>
      <c r="H3309" s="8"/>
      <c r="I3309" s="8"/>
    </row>
    <row r="3310" spans="1:9" ht="14.25" customHeight="1" x14ac:dyDescent="0.25">
      <c r="A3310" s="7"/>
      <c r="B3310" s="8"/>
      <c r="C3310" s="8"/>
      <c r="D3310" s="8"/>
      <c r="E3310" s="8"/>
      <c r="F3310" s="12"/>
      <c r="H3310" s="8"/>
      <c r="I3310" s="8"/>
    </row>
    <row r="3311" spans="1:9" ht="14.25" customHeight="1" x14ac:dyDescent="0.25">
      <c r="A3311" s="7"/>
      <c r="B3311" s="8"/>
      <c r="C3311" s="8"/>
      <c r="D3311" s="8"/>
      <c r="E3311" s="8"/>
      <c r="F3311" s="12"/>
      <c r="H3311" s="8"/>
      <c r="I3311" s="8"/>
    </row>
    <row r="3312" spans="1:9" ht="14.25" customHeight="1" x14ac:dyDescent="0.25">
      <c r="A3312" s="7"/>
      <c r="B3312" s="8"/>
      <c r="C3312" s="8"/>
      <c r="D3312" s="8"/>
      <c r="E3312" s="8"/>
      <c r="F3312" s="12"/>
      <c r="H3312" s="8"/>
      <c r="I3312" s="8"/>
    </row>
    <row r="3313" spans="1:9" ht="14.25" customHeight="1" x14ac:dyDescent="0.25">
      <c r="A3313" s="7"/>
      <c r="B3313" s="8"/>
      <c r="C3313" s="8"/>
      <c r="D3313" s="8"/>
      <c r="E3313" s="8"/>
      <c r="F3313" s="12"/>
      <c r="H3313" s="8"/>
      <c r="I3313" s="8"/>
    </row>
    <row r="3314" spans="1:9" ht="14.25" customHeight="1" x14ac:dyDescent="0.25">
      <c r="A3314" s="7"/>
      <c r="B3314" s="8"/>
      <c r="C3314" s="8"/>
      <c r="D3314" s="8"/>
      <c r="E3314" s="8"/>
      <c r="F3314" s="12"/>
      <c r="H3314" s="8"/>
      <c r="I3314" s="8"/>
    </row>
    <row r="3315" spans="1:9" ht="14.25" customHeight="1" x14ac:dyDescent="0.25">
      <c r="A3315" s="7"/>
      <c r="B3315" s="8"/>
      <c r="C3315" s="8"/>
      <c r="D3315" s="8"/>
      <c r="E3315" s="8"/>
      <c r="F3315" s="12"/>
      <c r="H3315" s="8"/>
      <c r="I3315" s="8"/>
    </row>
    <row r="3316" spans="1:9" ht="14.25" customHeight="1" x14ac:dyDescent="0.25">
      <c r="A3316" s="7"/>
      <c r="B3316" s="8"/>
      <c r="C3316" s="8"/>
      <c r="D3316" s="8"/>
      <c r="E3316" s="8"/>
      <c r="F3316" s="12"/>
      <c r="H3316" s="8"/>
      <c r="I3316" s="8"/>
    </row>
    <row r="3317" spans="1:9" ht="14.25" customHeight="1" x14ac:dyDescent="0.25">
      <c r="A3317" s="7"/>
      <c r="B3317" s="8"/>
      <c r="C3317" s="8"/>
      <c r="D3317" s="8"/>
      <c r="E3317" s="8"/>
      <c r="F3317" s="12"/>
      <c r="H3317" s="8"/>
      <c r="I3317" s="8"/>
    </row>
    <row r="3318" spans="1:9" ht="14.25" customHeight="1" x14ac:dyDescent="0.25">
      <c r="A3318" s="7"/>
      <c r="B3318" s="8"/>
      <c r="C3318" s="8"/>
      <c r="D3318" s="8"/>
      <c r="E3318" s="8"/>
      <c r="F3318" s="12"/>
      <c r="H3318" s="8"/>
      <c r="I3318" s="8"/>
    </row>
    <row r="3319" spans="1:9" ht="14.25" customHeight="1" x14ac:dyDescent="0.25">
      <c r="A3319" s="7"/>
      <c r="B3319" s="8"/>
      <c r="C3319" s="8"/>
      <c r="D3319" s="8"/>
      <c r="E3319" s="8"/>
      <c r="F3319" s="12"/>
      <c r="H3319" s="8"/>
      <c r="I3319" s="8"/>
    </row>
    <row r="3320" spans="1:9" ht="14.25" customHeight="1" x14ac:dyDescent="0.25">
      <c r="A3320" s="7"/>
      <c r="B3320" s="8"/>
      <c r="C3320" s="8"/>
      <c r="D3320" s="8"/>
      <c r="E3320" s="8"/>
      <c r="F3320" s="12"/>
      <c r="H3320" s="8"/>
      <c r="I3320" s="8"/>
    </row>
    <row r="3321" spans="1:9" ht="14.25" customHeight="1" x14ac:dyDescent="0.25">
      <c r="A3321" s="7"/>
      <c r="B3321" s="8"/>
      <c r="C3321" s="8"/>
      <c r="D3321" s="8"/>
      <c r="E3321" s="8"/>
      <c r="F3321" s="12"/>
      <c r="H3321" s="8"/>
      <c r="I3321" s="8"/>
    </row>
    <row r="3322" spans="1:9" ht="14.25" customHeight="1" x14ac:dyDescent="0.25">
      <c r="A3322" s="7"/>
      <c r="B3322" s="8"/>
      <c r="C3322" s="8"/>
      <c r="D3322" s="8"/>
      <c r="E3322" s="8"/>
      <c r="F3322" s="12"/>
      <c r="H3322" s="8"/>
      <c r="I3322" s="8"/>
    </row>
    <row r="3323" spans="1:9" ht="14.25" customHeight="1" x14ac:dyDescent="0.25">
      <c r="A3323" s="7"/>
      <c r="B3323" s="8"/>
      <c r="C3323" s="8"/>
      <c r="D3323" s="8"/>
      <c r="E3323" s="8"/>
      <c r="F3323" s="12"/>
      <c r="H3323" s="8"/>
      <c r="I3323" s="8"/>
    </row>
    <row r="3324" spans="1:9" ht="14.25" customHeight="1" x14ac:dyDescent="0.25">
      <c r="A3324" s="7"/>
      <c r="B3324" s="8"/>
      <c r="C3324" s="8"/>
      <c r="D3324" s="8"/>
      <c r="E3324" s="8"/>
      <c r="F3324" s="12"/>
      <c r="H3324" s="8"/>
      <c r="I3324" s="8"/>
    </row>
    <row r="3325" spans="1:9" ht="14.25" customHeight="1" x14ac:dyDescent="0.25">
      <c r="A3325" s="7"/>
      <c r="B3325" s="8"/>
      <c r="C3325" s="8"/>
      <c r="D3325" s="8"/>
      <c r="E3325" s="8"/>
      <c r="F3325" s="12"/>
      <c r="H3325" s="8"/>
      <c r="I3325" s="8"/>
    </row>
    <row r="3326" spans="1:9" ht="14.25" customHeight="1" x14ac:dyDescent="0.25">
      <c r="A3326" s="7"/>
      <c r="B3326" s="8"/>
      <c r="C3326" s="8"/>
      <c r="D3326" s="8"/>
      <c r="E3326" s="8"/>
      <c r="F3326" s="12"/>
      <c r="H3326" s="8"/>
      <c r="I3326" s="8"/>
    </row>
    <row r="3327" spans="1:9" ht="14.25" customHeight="1" x14ac:dyDescent="0.25">
      <c r="A3327" s="7"/>
      <c r="B3327" s="8"/>
      <c r="C3327" s="8"/>
      <c r="D3327" s="8"/>
      <c r="E3327" s="8"/>
      <c r="F3327" s="12"/>
      <c r="H3327" s="8"/>
      <c r="I3327" s="8"/>
    </row>
    <row r="3328" spans="1:9" ht="14.25" customHeight="1" x14ac:dyDescent="0.25">
      <c r="A3328" s="7"/>
      <c r="B3328" s="8"/>
      <c r="C3328" s="8"/>
      <c r="D3328" s="8"/>
      <c r="E3328" s="8"/>
      <c r="F3328" s="12"/>
      <c r="H3328" s="8"/>
      <c r="I3328" s="8"/>
    </row>
    <row r="3329" spans="1:9" ht="14.25" customHeight="1" x14ac:dyDescent="0.25">
      <c r="A3329" s="7"/>
      <c r="B3329" s="8"/>
      <c r="C3329" s="8"/>
      <c r="D3329" s="8"/>
      <c r="E3329" s="8"/>
      <c r="F3329" s="12"/>
      <c r="H3329" s="8"/>
      <c r="I3329" s="8"/>
    </row>
    <row r="3330" spans="1:9" ht="14.25" customHeight="1" x14ac:dyDescent="0.25">
      <c r="A3330" s="7"/>
      <c r="B3330" s="8"/>
      <c r="C3330" s="8"/>
      <c r="D3330" s="8"/>
      <c r="E3330" s="8"/>
      <c r="F3330" s="12"/>
      <c r="H3330" s="8"/>
      <c r="I3330" s="8"/>
    </row>
    <row r="3331" spans="1:9" ht="14.25" customHeight="1" x14ac:dyDescent="0.25">
      <c r="A3331" s="7"/>
      <c r="B3331" s="8"/>
      <c r="C3331" s="8"/>
      <c r="D3331" s="8"/>
      <c r="E3331" s="8"/>
      <c r="F3331" s="12"/>
      <c r="H3331" s="8"/>
      <c r="I3331" s="8"/>
    </row>
    <row r="3332" spans="1:9" ht="14.25" customHeight="1" x14ac:dyDescent="0.25">
      <c r="A3332" s="7"/>
      <c r="B3332" s="8"/>
      <c r="C3332" s="8"/>
      <c r="D3332" s="8"/>
      <c r="E3332" s="8"/>
      <c r="F3332" s="12"/>
      <c r="H3332" s="8"/>
      <c r="I3332" s="8"/>
    </row>
    <row r="3333" spans="1:9" ht="14.25" customHeight="1" x14ac:dyDescent="0.25">
      <c r="A3333" s="7"/>
      <c r="B3333" s="8"/>
      <c r="C3333" s="8"/>
      <c r="D3333" s="8"/>
      <c r="E3333" s="8"/>
      <c r="F3333" s="12"/>
      <c r="H3333" s="8"/>
      <c r="I3333" s="8"/>
    </row>
    <row r="3334" spans="1:9" ht="14.25" customHeight="1" x14ac:dyDescent="0.25">
      <c r="A3334" s="7"/>
      <c r="B3334" s="8"/>
      <c r="C3334" s="8"/>
      <c r="D3334" s="8"/>
      <c r="E3334" s="8"/>
      <c r="F3334" s="12"/>
      <c r="H3334" s="8"/>
      <c r="I3334" s="8"/>
    </row>
    <row r="3335" spans="1:9" ht="14.25" customHeight="1" x14ac:dyDescent="0.25">
      <c r="A3335" s="7"/>
      <c r="B3335" s="8"/>
      <c r="C3335" s="8"/>
      <c r="D3335" s="8"/>
      <c r="E3335" s="8"/>
      <c r="F3335" s="12"/>
      <c r="H3335" s="8"/>
      <c r="I3335" s="8"/>
    </row>
    <row r="3336" spans="1:9" ht="14.25" customHeight="1" x14ac:dyDescent="0.25">
      <c r="A3336" s="7"/>
      <c r="B3336" s="8"/>
      <c r="C3336" s="8"/>
      <c r="D3336" s="8"/>
      <c r="E3336" s="8"/>
      <c r="F3336" s="12"/>
      <c r="H3336" s="8"/>
      <c r="I3336" s="8"/>
    </row>
    <row r="3337" spans="1:9" ht="14.25" customHeight="1" x14ac:dyDescent="0.25">
      <c r="A3337" s="7"/>
      <c r="B3337" s="8"/>
      <c r="C3337" s="8"/>
      <c r="D3337" s="8"/>
      <c r="E3337" s="8"/>
      <c r="F3337" s="12"/>
      <c r="H3337" s="8"/>
      <c r="I3337" s="8"/>
    </row>
    <row r="3338" spans="1:9" ht="14.25" customHeight="1" x14ac:dyDescent="0.25">
      <c r="A3338" s="7"/>
      <c r="B3338" s="8"/>
      <c r="C3338" s="8"/>
      <c r="D3338" s="8"/>
      <c r="E3338" s="8"/>
      <c r="F3338" s="12"/>
      <c r="H3338" s="8"/>
      <c r="I3338" s="8"/>
    </row>
    <row r="3339" spans="1:9" ht="14.25" customHeight="1" x14ac:dyDescent="0.25">
      <c r="A3339" s="7"/>
      <c r="B3339" s="8"/>
      <c r="C3339" s="8"/>
      <c r="D3339" s="8"/>
      <c r="E3339" s="8"/>
      <c r="F3339" s="12"/>
      <c r="H3339" s="8"/>
      <c r="I3339" s="8"/>
    </row>
    <row r="3340" spans="1:9" ht="14.25" customHeight="1" x14ac:dyDescent="0.25">
      <c r="A3340" s="7"/>
      <c r="B3340" s="8"/>
      <c r="C3340" s="8"/>
      <c r="D3340" s="8"/>
      <c r="E3340" s="8"/>
      <c r="F3340" s="12"/>
      <c r="H3340" s="8"/>
      <c r="I3340" s="8"/>
    </row>
    <row r="3341" spans="1:9" ht="14.25" customHeight="1" x14ac:dyDescent="0.25">
      <c r="A3341" s="7"/>
      <c r="B3341" s="8"/>
      <c r="C3341" s="8"/>
      <c r="D3341" s="8"/>
      <c r="E3341" s="8"/>
      <c r="F3341" s="12"/>
      <c r="H3341" s="8"/>
      <c r="I3341" s="8"/>
    </row>
    <row r="3342" spans="1:9" ht="14.25" customHeight="1" x14ac:dyDescent="0.25">
      <c r="A3342" s="7"/>
      <c r="B3342" s="8"/>
      <c r="C3342" s="8"/>
      <c r="D3342" s="8"/>
      <c r="E3342" s="8"/>
      <c r="F3342" s="12"/>
      <c r="H3342" s="8"/>
      <c r="I3342" s="8"/>
    </row>
    <row r="3343" spans="1:9" ht="14.25" customHeight="1" x14ac:dyDescent="0.25">
      <c r="A3343" s="7"/>
      <c r="B3343" s="8"/>
      <c r="C3343" s="8"/>
      <c r="D3343" s="8"/>
      <c r="E3343" s="8"/>
      <c r="F3343" s="12"/>
      <c r="H3343" s="8"/>
      <c r="I3343" s="8"/>
    </row>
    <row r="3344" spans="1:9" ht="14.25" customHeight="1" x14ac:dyDescent="0.25">
      <c r="A3344" s="7"/>
      <c r="B3344" s="8"/>
      <c r="C3344" s="8"/>
      <c r="D3344" s="8"/>
      <c r="E3344" s="8"/>
      <c r="F3344" s="12"/>
      <c r="H3344" s="8"/>
      <c r="I3344" s="8"/>
    </row>
    <row r="3345" spans="1:9" ht="14.25" customHeight="1" x14ac:dyDescent="0.25">
      <c r="A3345" s="7"/>
      <c r="B3345" s="8"/>
      <c r="C3345" s="8"/>
      <c r="D3345" s="8"/>
      <c r="E3345" s="8"/>
      <c r="F3345" s="12"/>
      <c r="H3345" s="8"/>
      <c r="I3345" s="8"/>
    </row>
    <row r="3346" spans="1:9" ht="14.25" customHeight="1" x14ac:dyDescent="0.25">
      <c r="A3346" s="7"/>
      <c r="B3346" s="8"/>
      <c r="C3346" s="8"/>
      <c r="D3346" s="8"/>
      <c r="E3346" s="8"/>
      <c r="F3346" s="12"/>
      <c r="H3346" s="8"/>
      <c r="I3346" s="8"/>
    </row>
    <row r="3347" spans="1:9" ht="14.25" customHeight="1" x14ac:dyDescent="0.25">
      <c r="A3347" s="7"/>
      <c r="B3347" s="8"/>
      <c r="C3347" s="8"/>
      <c r="D3347" s="8"/>
      <c r="E3347" s="8"/>
      <c r="F3347" s="12"/>
      <c r="H3347" s="8"/>
      <c r="I3347" s="8"/>
    </row>
    <row r="3348" spans="1:9" ht="14.25" customHeight="1" x14ac:dyDescent="0.25">
      <c r="A3348" s="7"/>
      <c r="B3348" s="8"/>
      <c r="C3348" s="8"/>
      <c r="D3348" s="8"/>
      <c r="E3348" s="8"/>
      <c r="F3348" s="12"/>
      <c r="H3348" s="8"/>
      <c r="I3348" s="8"/>
    </row>
    <row r="3349" spans="1:9" ht="14.25" customHeight="1" x14ac:dyDescent="0.25">
      <c r="A3349" s="7"/>
      <c r="B3349" s="8"/>
      <c r="C3349" s="8"/>
      <c r="D3349" s="8"/>
      <c r="E3349" s="8"/>
      <c r="F3349" s="12"/>
      <c r="H3349" s="8"/>
      <c r="I3349" s="8"/>
    </row>
    <row r="3350" spans="1:9" ht="14.25" customHeight="1" x14ac:dyDescent="0.25">
      <c r="A3350" s="7"/>
      <c r="B3350" s="8"/>
      <c r="C3350" s="8"/>
      <c r="D3350" s="8"/>
      <c r="E3350" s="8"/>
      <c r="F3350" s="12"/>
      <c r="H3350" s="8"/>
      <c r="I3350" s="8"/>
    </row>
    <row r="3351" spans="1:9" ht="14.25" customHeight="1" x14ac:dyDescent="0.25">
      <c r="A3351" s="7"/>
      <c r="B3351" s="8"/>
      <c r="C3351" s="8"/>
      <c r="D3351" s="8"/>
      <c r="E3351" s="8"/>
      <c r="F3351" s="12"/>
      <c r="H3351" s="8"/>
      <c r="I3351" s="8"/>
    </row>
    <row r="3352" spans="1:9" ht="14.25" customHeight="1" x14ac:dyDescent="0.25">
      <c r="A3352" s="7"/>
      <c r="B3352" s="8"/>
      <c r="C3352" s="8"/>
      <c r="D3352" s="8"/>
      <c r="E3352" s="8"/>
      <c r="F3352" s="12"/>
      <c r="H3352" s="8"/>
      <c r="I3352" s="8"/>
    </row>
    <row r="3353" spans="1:9" ht="14.25" customHeight="1" x14ac:dyDescent="0.25">
      <c r="A3353" s="7"/>
      <c r="B3353" s="8"/>
      <c r="C3353" s="8"/>
      <c r="D3353" s="8"/>
      <c r="E3353" s="8"/>
      <c r="F3353" s="12"/>
      <c r="H3353" s="8"/>
      <c r="I3353" s="8"/>
    </row>
    <row r="3354" spans="1:9" ht="14.25" customHeight="1" x14ac:dyDescent="0.25">
      <c r="A3354" s="7"/>
      <c r="B3354" s="8"/>
      <c r="C3354" s="8"/>
      <c r="D3354" s="8"/>
      <c r="E3354" s="8"/>
      <c r="F3354" s="12"/>
      <c r="H3354" s="8"/>
      <c r="I3354" s="8"/>
    </row>
    <row r="3355" spans="1:9" ht="14.25" customHeight="1" x14ac:dyDescent="0.25">
      <c r="A3355" s="7"/>
      <c r="B3355" s="8"/>
      <c r="C3355" s="8"/>
      <c r="D3355" s="8"/>
      <c r="E3355" s="8"/>
      <c r="F3355" s="12"/>
      <c r="H3355" s="8"/>
      <c r="I3355" s="8"/>
    </row>
    <row r="3356" spans="1:9" ht="14.25" customHeight="1" x14ac:dyDescent="0.25">
      <c r="A3356" s="7"/>
      <c r="B3356" s="8"/>
      <c r="C3356" s="8"/>
      <c r="D3356" s="8"/>
      <c r="E3356" s="8"/>
      <c r="F3356" s="12"/>
      <c r="H3356" s="8"/>
      <c r="I3356" s="8"/>
    </row>
    <row r="3357" spans="1:9" ht="14.25" customHeight="1" x14ac:dyDescent="0.25">
      <c r="A3357" s="7"/>
      <c r="B3357" s="8"/>
      <c r="C3357" s="8"/>
      <c r="D3357" s="8"/>
      <c r="E3357" s="8"/>
      <c r="F3357" s="12"/>
      <c r="H3357" s="8"/>
      <c r="I3357" s="8"/>
    </row>
    <row r="3358" spans="1:9" ht="14.25" customHeight="1" x14ac:dyDescent="0.25">
      <c r="A3358" s="7"/>
      <c r="B3358" s="8"/>
      <c r="C3358" s="8"/>
      <c r="D3358" s="8"/>
      <c r="E3358" s="8"/>
      <c r="F3358" s="12"/>
      <c r="H3358" s="8"/>
      <c r="I3358" s="8"/>
    </row>
    <row r="3359" spans="1:9" ht="14.25" customHeight="1" x14ac:dyDescent="0.25">
      <c r="A3359" s="7"/>
      <c r="B3359" s="8"/>
      <c r="C3359" s="8"/>
      <c r="D3359" s="8"/>
      <c r="E3359" s="8"/>
      <c r="F3359" s="12"/>
      <c r="H3359" s="8"/>
      <c r="I3359" s="8"/>
    </row>
    <row r="3360" spans="1:9" ht="14.25" customHeight="1" x14ac:dyDescent="0.25">
      <c r="A3360" s="7"/>
      <c r="B3360" s="8"/>
      <c r="C3360" s="8"/>
      <c r="D3360" s="8"/>
      <c r="E3360" s="8"/>
      <c r="F3360" s="12"/>
      <c r="H3360" s="8"/>
      <c r="I3360" s="8"/>
    </row>
    <row r="3361" spans="1:9" ht="14.25" customHeight="1" x14ac:dyDescent="0.25">
      <c r="A3361" s="7"/>
      <c r="B3361" s="8"/>
      <c r="C3361" s="8"/>
      <c r="D3361" s="8"/>
      <c r="E3361" s="8"/>
      <c r="F3361" s="12"/>
      <c r="H3361" s="8"/>
      <c r="I3361" s="8"/>
    </row>
    <row r="3362" spans="1:9" ht="14.25" customHeight="1" x14ac:dyDescent="0.25">
      <c r="A3362" s="7"/>
      <c r="B3362" s="8"/>
      <c r="C3362" s="8"/>
      <c r="D3362" s="8"/>
      <c r="E3362" s="8"/>
      <c r="F3362" s="12"/>
      <c r="H3362" s="8"/>
      <c r="I3362" s="8"/>
    </row>
    <row r="3363" spans="1:9" ht="14.25" customHeight="1" x14ac:dyDescent="0.25">
      <c r="A3363" s="7"/>
      <c r="B3363" s="8"/>
      <c r="C3363" s="8"/>
      <c r="D3363" s="8"/>
      <c r="E3363" s="8"/>
      <c r="F3363" s="12"/>
      <c r="H3363" s="8"/>
      <c r="I3363" s="8"/>
    </row>
    <row r="3364" spans="1:9" ht="14.25" customHeight="1" x14ac:dyDescent="0.25">
      <c r="A3364" s="7"/>
      <c r="B3364" s="8"/>
      <c r="C3364" s="8"/>
      <c r="D3364" s="8"/>
      <c r="E3364" s="8"/>
      <c r="F3364" s="12"/>
      <c r="H3364" s="8"/>
      <c r="I3364" s="8"/>
    </row>
    <row r="3365" spans="1:9" ht="14.25" customHeight="1" x14ac:dyDescent="0.25">
      <c r="A3365" s="7"/>
      <c r="B3365" s="8"/>
      <c r="C3365" s="8"/>
      <c r="D3365" s="8"/>
      <c r="E3365" s="8"/>
      <c r="F3365" s="12"/>
      <c r="H3365" s="8"/>
      <c r="I3365" s="8"/>
    </row>
    <row r="3366" spans="1:9" ht="14.25" customHeight="1" x14ac:dyDescent="0.25">
      <c r="A3366" s="7"/>
      <c r="B3366" s="8"/>
      <c r="C3366" s="8"/>
      <c r="D3366" s="8"/>
      <c r="E3366" s="8"/>
      <c r="F3366" s="12"/>
      <c r="H3366" s="8"/>
      <c r="I3366" s="8"/>
    </row>
    <row r="3367" spans="1:9" ht="14.25" customHeight="1" x14ac:dyDescent="0.25">
      <c r="A3367" s="7"/>
      <c r="B3367" s="8"/>
      <c r="C3367" s="8"/>
      <c r="D3367" s="8"/>
      <c r="E3367" s="8"/>
      <c r="F3367" s="12"/>
      <c r="H3367" s="8"/>
      <c r="I3367" s="8"/>
    </row>
    <row r="3368" spans="1:9" ht="14.25" customHeight="1" x14ac:dyDescent="0.25">
      <c r="A3368" s="7"/>
      <c r="B3368" s="8"/>
      <c r="C3368" s="8"/>
      <c r="D3368" s="8"/>
      <c r="E3368" s="8"/>
      <c r="F3368" s="12"/>
      <c r="H3368" s="8"/>
      <c r="I3368" s="8"/>
    </row>
    <row r="3369" spans="1:9" ht="14.25" customHeight="1" x14ac:dyDescent="0.25">
      <c r="A3369" s="7"/>
      <c r="B3369" s="8"/>
      <c r="C3369" s="8"/>
      <c r="D3369" s="8"/>
      <c r="E3369" s="8"/>
      <c r="F3369" s="12"/>
      <c r="H3369" s="8"/>
      <c r="I3369" s="8"/>
    </row>
    <row r="3370" spans="1:9" ht="14.25" customHeight="1" x14ac:dyDescent="0.25">
      <c r="A3370" s="7"/>
      <c r="B3370" s="8"/>
      <c r="C3370" s="8"/>
      <c r="D3370" s="8"/>
      <c r="E3370" s="8"/>
      <c r="F3370" s="12"/>
      <c r="H3370" s="8"/>
      <c r="I3370" s="8"/>
    </row>
    <row r="3371" spans="1:9" ht="14.25" customHeight="1" x14ac:dyDescent="0.25">
      <c r="A3371" s="7"/>
      <c r="B3371" s="8"/>
      <c r="C3371" s="8"/>
      <c r="D3371" s="8"/>
      <c r="E3371" s="8"/>
      <c r="F3371" s="12"/>
      <c r="H3371" s="8"/>
      <c r="I3371" s="8"/>
    </row>
    <row r="3372" spans="1:9" ht="14.25" customHeight="1" x14ac:dyDescent="0.25">
      <c r="A3372" s="7"/>
      <c r="B3372" s="8"/>
      <c r="C3372" s="8"/>
      <c r="D3372" s="8"/>
      <c r="E3372" s="8"/>
      <c r="F3372" s="12"/>
      <c r="H3372" s="8"/>
      <c r="I3372" s="8"/>
    </row>
    <row r="3373" spans="1:9" ht="14.25" customHeight="1" x14ac:dyDescent="0.25">
      <c r="A3373" s="7"/>
      <c r="B3373" s="8"/>
      <c r="C3373" s="8"/>
      <c r="D3373" s="8"/>
      <c r="E3373" s="8"/>
      <c r="F3373" s="12"/>
      <c r="H3373" s="8"/>
      <c r="I3373" s="8"/>
    </row>
    <row r="3374" spans="1:9" ht="14.25" customHeight="1" x14ac:dyDescent="0.25">
      <c r="A3374" s="7"/>
      <c r="B3374" s="8"/>
      <c r="C3374" s="8"/>
      <c r="D3374" s="8"/>
      <c r="E3374" s="8"/>
      <c r="F3374" s="12"/>
      <c r="H3374" s="8"/>
      <c r="I3374" s="8"/>
    </row>
    <row r="3375" spans="1:9" ht="14.25" customHeight="1" x14ac:dyDescent="0.25">
      <c r="A3375" s="7"/>
      <c r="B3375" s="8"/>
      <c r="C3375" s="8"/>
      <c r="D3375" s="8"/>
      <c r="E3375" s="8"/>
      <c r="F3375" s="12"/>
      <c r="H3375" s="8"/>
      <c r="I3375" s="8"/>
    </row>
    <row r="3376" spans="1:9" ht="14.25" customHeight="1" x14ac:dyDescent="0.25">
      <c r="A3376" s="7"/>
      <c r="B3376" s="8"/>
      <c r="C3376" s="8"/>
      <c r="D3376" s="8"/>
      <c r="E3376" s="8"/>
      <c r="F3376" s="12"/>
      <c r="H3376" s="8"/>
      <c r="I3376" s="8"/>
    </row>
    <row r="3377" spans="1:9" ht="14.25" customHeight="1" x14ac:dyDescent="0.25">
      <c r="A3377" s="7"/>
      <c r="B3377" s="8"/>
      <c r="C3377" s="8"/>
      <c r="D3377" s="8"/>
      <c r="E3377" s="8"/>
      <c r="F3377" s="12"/>
      <c r="H3377" s="8"/>
      <c r="I3377" s="8"/>
    </row>
    <row r="3378" spans="1:9" ht="14.25" customHeight="1" x14ac:dyDescent="0.25">
      <c r="A3378" s="7"/>
      <c r="B3378" s="8"/>
      <c r="C3378" s="8"/>
      <c r="D3378" s="8"/>
      <c r="E3378" s="8"/>
      <c r="F3378" s="12"/>
      <c r="H3378" s="8"/>
      <c r="I3378" s="8"/>
    </row>
    <row r="3379" spans="1:9" ht="14.25" customHeight="1" x14ac:dyDescent="0.25">
      <c r="A3379" s="7"/>
      <c r="B3379" s="8"/>
      <c r="C3379" s="8"/>
      <c r="D3379" s="8"/>
      <c r="E3379" s="8"/>
      <c r="F3379" s="12"/>
      <c r="H3379" s="8"/>
      <c r="I3379" s="8"/>
    </row>
    <row r="3380" spans="1:9" ht="14.25" customHeight="1" x14ac:dyDescent="0.25">
      <c r="A3380" s="7"/>
      <c r="B3380" s="8"/>
      <c r="C3380" s="8"/>
      <c r="D3380" s="8"/>
      <c r="E3380" s="8"/>
      <c r="F3380" s="12"/>
      <c r="H3380" s="8"/>
      <c r="I3380" s="8"/>
    </row>
    <row r="3381" spans="1:9" ht="14.25" customHeight="1" x14ac:dyDescent="0.25">
      <c r="A3381" s="7"/>
      <c r="B3381" s="8"/>
      <c r="C3381" s="8"/>
      <c r="D3381" s="8"/>
      <c r="E3381" s="8"/>
      <c r="F3381" s="12"/>
      <c r="H3381" s="8"/>
      <c r="I3381" s="8"/>
    </row>
    <row r="3382" spans="1:9" ht="14.25" customHeight="1" x14ac:dyDescent="0.25">
      <c r="A3382" s="7"/>
      <c r="B3382" s="8"/>
      <c r="C3382" s="8"/>
      <c r="D3382" s="8"/>
      <c r="E3382" s="8"/>
      <c r="F3382" s="12"/>
      <c r="H3382" s="8"/>
      <c r="I3382" s="8"/>
    </row>
    <row r="3383" spans="1:9" ht="14.25" customHeight="1" x14ac:dyDescent="0.25">
      <c r="A3383" s="7"/>
      <c r="B3383" s="8"/>
      <c r="C3383" s="8"/>
      <c r="D3383" s="8"/>
      <c r="E3383" s="8"/>
      <c r="F3383" s="12"/>
      <c r="H3383" s="8"/>
      <c r="I3383" s="8"/>
    </row>
    <row r="3384" spans="1:9" ht="14.25" customHeight="1" x14ac:dyDescent="0.25">
      <c r="A3384" s="7"/>
      <c r="B3384" s="8"/>
      <c r="C3384" s="8"/>
      <c r="D3384" s="8"/>
      <c r="E3384" s="8"/>
      <c r="F3384" s="12"/>
      <c r="H3384" s="8"/>
      <c r="I3384" s="8"/>
    </row>
    <row r="3385" spans="1:9" ht="14.25" customHeight="1" x14ac:dyDescent="0.25">
      <c r="A3385" s="7"/>
      <c r="B3385" s="8"/>
      <c r="C3385" s="8"/>
      <c r="D3385" s="8"/>
      <c r="E3385" s="8"/>
      <c r="F3385" s="12"/>
      <c r="H3385" s="8"/>
      <c r="I3385" s="8"/>
    </row>
    <row r="3386" spans="1:9" ht="14.25" customHeight="1" x14ac:dyDescent="0.25">
      <c r="A3386" s="7"/>
      <c r="B3386" s="8"/>
      <c r="C3386" s="8"/>
      <c r="D3386" s="8"/>
      <c r="E3386" s="8"/>
      <c r="F3386" s="12"/>
      <c r="H3386" s="8"/>
      <c r="I3386" s="8"/>
    </row>
    <row r="3387" spans="1:9" ht="14.25" customHeight="1" x14ac:dyDescent="0.25">
      <c r="A3387" s="7"/>
      <c r="B3387" s="8"/>
      <c r="C3387" s="8"/>
      <c r="D3387" s="8"/>
      <c r="E3387" s="8"/>
      <c r="F3387" s="12"/>
      <c r="H3387" s="8"/>
      <c r="I3387" s="8"/>
    </row>
    <row r="3388" spans="1:9" ht="14.25" customHeight="1" x14ac:dyDescent="0.25">
      <c r="A3388" s="7"/>
      <c r="B3388" s="8"/>
      <c r="C3388" s="8"/>
      <c r="D3388" s="8"/>
      <c r="E3388" s="8"/>
      <c r="F3388" s="12"/>
      <c r="H3388" s="8"/>
      <c r="I3388" s="8"/>
    </row>
    <row r="3389" spans="1:9" ht="14.25" customHeight="1" x14ac:dyDescent="0.25">
      <c r="A3389" s="7"/>
      <c r="B3389" s="8"/>
      <c r="C3389" s="8"/>
      <c r="D3389" s="8"/>
      <c r="E3389" s="8"/>
      <c r="F3389" s="12"/>
      <c r="H3389" s="8"/>
      <c r="I3389" s="8"/>
    </row>
    <row r="3390" spans="1:9" ht="14.25" customHeight="1" x14ac:dyDescent="0.25">
      <c r="A3390" s="7"/>
      <c r="B3390" s="8"/>
      <c r="C3390" s="8"/>
      <c r="D3390" s="8"/>
      <c r="E3390" s="8"/>
      <c r="F3390" s="12"/>
      <c r="H3390" s="8"/>
      <c r="I3390" s="8"/>
    </row>
    <row r="3391" spans="1:9" ht="14.25" customHeight="1" x14ac:dyDescent="0.25">
      <c r="A3391" s="7"/>
      <c r="B3391" s="8"/>
      <c r="C3391" s="8"/>
      <c r="D3391" s="8"/>
      <c r="E3391" s="8"/>
      <c r="F3391" s="12"/>
      <c r="H3391" s="8"/>
      <c r="I3391" s="8"/>
    </row>
    <row r="3392" spans="1:9" ht="14.25" customHeight="1" x14ac:dyDescent="0.25">
      <c r="A3392" s="7"/>
      <c r="B3392" s="8"/>
      <c r="C3392" s="8"/>
      <c r="D3392" s="8"/>
      <c r="E3392" s="8"/>
      <c r="F3392" s="12"/>
      <c r="H3392" s="8"/>
      <c r="I3392" s="8"/>
    </row>
    <row r="3393" spans="1:9" ht="14.25" customHeight="1" x14ac:dyDescent="0.25">
      <c r="A3393" s="7"/>
      <c r="B3393" s="8"/>
      <c r="C3393" s="8"/>
      <c r="D3393" s="8"/>
      <c r="E3393" s="8"/>
      <c r="F3393" s="12"/>
      <c r="H3393" s="8"/>
      <c r="I3393" s="8"/>
    </row>
    <row r="3394" spans="1:9" ht="14.25" customHeight="1" x14ac:dyDescent="0.25">
      <c r="A3394" s="7"/>
      <c r="B3394" s="8"/>
      <c r="C3394" s="8"/>
      <c r="D3394" s="8"/>
      <c r="E3394" s="8"/>
      <c r="F3394" s="12"/>
      <c r="H3394" s="8"/>
      <c r="I3394" s="8"/>
    </row>
    <row r="3395" spans="1:9" ht="14.25" customHeight="1" x14ac:dyDescent="0.25">
      <c r="A3395" s="7"/>
      <c r="B3395" s="8"/>
      <c r="C3395" s="8"/>
      <c r="D3395" s="8"/>
      <c r="E3395" s="8"/>
      <c r="F3395" s="12"/>
      <c r="H3395" s="8"/>
      <c r="I3395" s="8"/>
    </row>
    <row r="3396" spans="1:9" ht="14.25" customHeight="1" x14ac:dyDescent="0.25">
      <c r="A3396" s="7"/>
      <c r="B3396" s="8"/>
      <c r="C3396" s="8"/>
      <c r="D3396" s="8"/>
      <c r="E3396" s="8"/>
      <c r="F3396" s="12"/>
      <c r="H3396" s="8"/>
      <c r="I3396" s="8"/>
    </row>
    <row r="3397" spans="1:9" ht="14.25" customHeight="1" x14ac:dyDescent="0.25">
      <c r="A3397" s="7"/>
      <c r="B3397" s="8"/>
      <c r="C3397" s="8"/>
      <c r="D3397" s="8"/>
      <c r="E3397" s="8"/>
      <c r="F3397" s="12"/>
      <c r="H3397" s="8"/>
      <c r="I3397" s="8"/>
    </row>
    <row r="3398" spans="1:9" ht="14.25" customHeight="1" x14ac:dyDescent="0.25">
      <c r="A3398" s="7"/>
      <c r="B3398" s="8"/>
      <c r="C3398" s="8"/>
      <c r="D3398" s="8"/>
      <c r="E3398" s="8"/>
      <c r="F3398" s="12"/>
      <c r="H3398" s="8"/>
      <c r="I3398" s="8"/>
    </row>
    <row r="3399" spans="1:9" ht="14.25" customHeight="1" x14ac:dyDescent="0.25">
      <c r="A3399" s="7"/>
      <c r="B3399" s="8"/>
      <c r="C3399" s="8"/>
      <c r="D3399" s="8"/>
      <c r="E3399" s="8"/>
      <c r="F3399" s="12"/>
      <c r="H3399" s="8"/>
      <c r="I3399" s="8"/>
    </row>
    <row r="3400" spans="1:9" ht="14.25" customHeight="1" x14ac:dyDescent="0.25">
      <c r="A3400" s="7"/>
      <c r="B3400" s="8"/>
      <c r="C3400" s="8"/>
      <c r="D3400" s="8"/>
      <c r="E3400" s="8"/>
      <c r="F3400" s="12"/>
      <c r="H3400" s="8"/>
      <c r="I3400" s="8"/>
    </row>
    <row r="3401" spans="1:9" ht="14.25" customHeight="1" x14ac:dyDescent="0.25">
      <c r="A3401" s="7"/>
      <c r="B3401" s="8"/>
      <c r="C3401" s="8"/>
      <c r="D3401" s="8"/>
      <c r="E3401" s="8"/>
      <c r="F3401" s="12"/>
      <c r="H3401" s="8"/>
      <c r="I3401" s="8"/>
    </row>
    <row r="3402" spans="1:9" ht="14.25" customHeight="1" x14ac:dyDescent="0.25">
      <c r="A3402" s="7"/>
      <c r="B3402" s="8"/>
      <c r="C3402" s="8"/>
      <c r="D3402" s="8"/>
      <c r="E3402" s="8"/>
      <c r="F3402" s="12"/>
      <c r="H3402" s="8"/>
      <c r="I3402" s="8"/>
    </row>
    <row r="3403" spans="1:9" ht="14.25" customHeight="1" x14ac:dyDescent="0.25">
      <c r="A3403" s="7"/>
      <c r="B3403" s="8"/>
      <c r="C3403" s="8"/>
      <c r="D3403" s="8"/>
      <c r="E3403" s="8"/>
      <c r="F3403" s="12"/>
      <c r="H3403" s="8"/>
      <c r="I3403" s="8"/>
    </row>
    <row r="3404" spans="1:9" ht="14.25" customHeight="1" x14ac:dyDescent="0.25">
      <c r="A3404" s="7"/>
      <c r="B3404" s="8"/>
      <c r="C3404" s="8"/>
      <c r="D3404" s="8"/>
      <c r="E3404" s="8"/>
      <c r="F3404" s="12"/>
      <c r="H3404" s="8"/>
      <c r="I3404" s="8"/>
    </row>
    <row r="3405" spans="1:9" ht="14.25" customHeight="1" x14ac:dyDescent="0.25">
      <c r="A3405" s="7"/>
      <c r="B3405" s="8"/>
      <c r="C3405" s="8"/>
      <c r="D3405" s="8"/>
      <c r="E3405" s="8"/>
      <c r="F3405" s="12"/>
      <c r="H3405" s="8"/>
      <c r="I3405" s="8"/>
    </row>
    <row r="3406" spans="1:9" ht="14.25" customHeight="1" x14ac:dyDescent="0.25">
      <c r="A3406" s="7"/>
      <c r="B3406" s="8"/>
      <c r="C3406" s="8"/>
      <c r="D3406" s="8"/>
      <c r="E3406" s="8"/>
      <c r="F3406" s="12"/>
      <c r="H3406" s="8"/>
      <c r="I3406" s="8"/>
    </row>
    <row r="3407" spans="1:9" ht="14.25" customHeight="1" x14ac:dyDescent="0.25">
      <c r="A3407" s="7"/>
      <c r="B3407" s="8"/>
      <c r="C3407" s="8"/>
      <c r="D3407" s="8"/>
      <c r="E3407" s="8"/>
      <c r="F3407" s="12"/>
      <c r="H3407" s="8"/>
      <c r="I3407" s="8"/>
    </row>
    <row r="3408" spans="1:9" ht="14.25" customHeight="1" x14ac:dyDescent="0.25">
      <c r="A3408" s="7"/>
      <c r="B3408" s="8"/>
      <c r="C3408" s="8"/>
      <c r="D3408" s="8"/>
      <c r="E3408" s="8"/>
      <c r="F3408" s="12"/>
      <c r="H3408" s="8"/>
      <c r="I3408" s="8"/>
    </row>
    <row r="3409" spans="1:9" ht="14.25" customHeight="1" x14ac:dyDescent="0.25">
      <c r="A3409" s="7"/>
      <c r="B3409" s="8"/>
      <c r="C3409" s="8"/>
      <c r="D3409" s="8"/>
      <c r="E3409" s="8"/>
      <c r="F3409" s="12"/>
      <c r="H3409" s="8"/>
      <c r="I3409" s="8"/>
    </row>
    <row r="3410" spans="1:9" ht="14.25" customHeight="1" x14ac:dyDescent="0.25">
      <c r="A3410" s="7"/>
      <c r="B3410" s="8"/>
      <c r="C3410" s="8"/>
      <c r="D3410" s="8"/>
      <c r="E3410" s="8"/>
      <c r="F3410" s="12"/>
      <c r="H3410" s="8"/>
      <c r="I3410" s="8"/>
    </row>
    <row r="3411" spans="1:9" ht="14.25" customHeight="1" x14ac:dyDescent="0.25">
      <c r="A3411" s="7"/>
      <c r="B3411" s="8"/>
      <c r="C3411" s="8"/>
      <c r="D3411" s="8"/>
      <c r="E3411" s="8"/>
      <c r="F3411" s="12"/>
      <c r="H3411" s="8"/>
      <c r="I3411" s="8"/>
    </row>
    <row r="3412" spans="1:9" ht="14.25" customHeight="1" x14ac:dyDescent="0.25">
      <c r="A3412" s="7"/>
      <c r="B3412" s="8"/>
      <c r="C3412" s="8"/>
      <c r="D3412" s="8"/>
      <c r="E3412" s="8"/>
      <c r="F3412" s="12"/>
      <c r="H3412" s="8"/>
      <c r="I3412" s="8"/>
    </row>
    <row r="3413" spans="1:9" ht="14.25" customHeight="1" x14ac:dyDescent="0.25">
      <c r="A3413" s="7"/>
      <c r="B3413" s="8"/>
      <c r="C3413" s="8"/>
      <c r="D3413" s="8"/>
      <c r="E3413" s="8"/>
      <c r="F3413" s="12"/>
      <c r="H3413" s="8"/>
      <c r="I3413" s="8"/>
    </row>
    <row r="3414" spans="1:9" ht="14.25" customHeight="1" x14ac:dyDescent="0.25">
      <c r="A3414" s="7"/>
      <c r="B3414" s="8"/>
      <c r="C3414" s="8"/>
      <c r="D3414" s="8"/>
      <c r="E3414" s="8"/>
      <c r="F3414" s="12"/>
      <c r="H3414" s="8"/>
      <c r="I3414" s="8"/>
    </row>
    <row r="3415" spans="1:9" ht="14.25" customHeight="1" x14ac:dyDescent="0.25">
      <c r="A3415" s="7"/>
      <c r="B3415" s="8"/>
      <c r="C3415" s="8"/>
      <c r="D3415" s="8"/>
      <c r="E3415" s="8"/>
      <c r="F3415" s="12"/>
      <c r="H3415" s="8"/>
      <c r="I3415" s="8"/>
    </row>
    <row r="3416" spans="1:9" ht="14.25" customHeight="1" x14ac:dyDescent="0.25">
      <c r="A3416" s="7"/>
      <c r="B3416" s="8"/>
      <c r="C3416" s="8"/>
      <c r="D3416" s="8"/>
      <c r="E3416" s="8"/>
      <c r="F3416" s="12"/>
      <c r="H3416" s="8"/>
      <c r="I3416" s="8"/>
    </row>
    <row r="3417" spans="1:9" ht="14.25" customHeight="1" x14ac:dyDescent="0.25">
      <c r="A3417" s="7"/>
      <c r="B3417" s="8"/>
      <c r="C3417" s="8"/>
      <c r="D3417" s="8"/>
      <c r="E3417" s="8"/>
      <c r="F3417" s="12"/>
      <c r="H3417" s="8"/>
      <c r="I3417" s="8"/>
    </row>
    <row r="3418" spans="1:9" ht="14.25" customHeight="1" x14ac:dyDescent="0.25">
      <c r="A3418" s="7"/>
      <c r="B3418" s="8"/>
      <c r="C3418" s="8"/>
      <c r="D3418" s="8"/>
      <c r="E3418" s="8"/>
      <c r="F3418" s="12"/>
      <c r="H3418" s="8"/>
      <c r="I3418" s="8"/>
    </row>
    <row r="3419" spans="1:9" ht="14.25" customHeight="1" x14ac:dyDescent="0.25">
      <c r="A3419" s="7"/>
      <c r="B3419" s="8"/>
      <c r="C3419" s="8"/>
      <c r="D3419" s="8"/>
      <c r="E3419" s="8"/>
      <c r="F3419" s="12"/>
      <c r="H3419" s="8"/>
      <c r="I3419" s="8"/>
    </row>
    <row r="3420" spans="1:9" ht="14.25" customHeight="1" x14ac:dyDescent="0.25">
      <c r="A3420" s="7"/>
      <c r="B3420" s="8"/>
      <c r="C3420" s="8"/>
      <c r="D3420" s="8"/>
      <c r="E3420" s="8"/>
      <c r="F3420" s="12"/>
      <c r="H3420" s="8"/>
      <c r="I3420" s="8"/>
    </row>
    <row r="3421" spans="1:9" ht="14.25" customHeight="1" x14ac:dyDescent="0.25">
      <c r="A3421" s="7"/>
      <c r="B3421" s="8"/>
      <c r="C3421" s="8"/>
      <c r="D3421" s="8"/>
      <c r="E3421" s="8"/>
      <c r="F3421" s="12"/>
      <c r="H3421" s="8"/>
      <c r="I3421" s="8"/>
    </row>
    <row r="3422" spans="1:9" ht="14.25" customHeight="1" x14ac:dyDescent="0.25">
      <c r="A3422" s="7"/>
      <c r="B3422" s="8"/>
      <c r="C3422" s="8"/>
      <c r="D3422" s="8"/>
      <c r="E3422" s="8"/>
      <c r="F3422" s="12"/>
      <c r="H3422" s="8"/>
      <c r="I3422" s="8"/>
    </row>
    <row r="3423" spans="1:9" ht="14.25" customHeight="1" x14ac:dyDescent="0.25">
      <c r="A3423" s="7"/>
      <c r="B3423" s="8"/>
      <c r="C3423" s="8"/>
      <c r="D3423" s="8"/>
      <c r="E3423" s="8"/>
      <c r="F3423" s="12"/>
      <c r="H3423" s="8"/>
      <c r="I3423" s="8"/>
    </row>
    <row r="3424" spans="1:9" ht="14.25" customHeight="1" x14ac:dyDescent="0.25">
      <c r="A3424" s="7"/>
      <c r="B3424" s="8"/>
      <c r="C3424" s="8"/>
      <c r="D3424" s="8"/>
      <c r="E3424" s="8"/>
      <c r="F3424" s="12"/>
      <c r="H3424" s="8"/>
      <c r="I3424" s="8"/>
    </row>
    <row r="3425" spans="1:9" ht="14.25" customHeight="1" x14ac:dyDescent="0.25">
      <c r="A3425" s="7"/>
      <c r="B3425" s="8"/>
      <c r="C3425" s="8"/>
      <c r="D3425" s="8"/>
      <c r="E3425" s="8"/>
      <c r="F3425" s="12"/>
      <c r="H3425" s="8"/>
      <c r="I3425" s="8"/>
    </row>
    <row r="3426" spans="1:9" ht="14.25" customHeight="1" x14ac:dyDescent="0.25">
      <c r="A3426" s="7"/>
      <c r="B3426" s="8"/>
      <c r="C3426" s="8"/>
      <c r="D3426" s="8"/>
      <c r="E3426" s="8"/>
      <c r="F3426" s="12"/>
      <c r="H3426" s="8"/>
      <c r="I3426" s="8"/>
    </row>
    <row r="3427" spans="1:9" ht="14.25" customHeight="1" x14ac:dyDescent="0.25">
      <c r="A3427" s="7"/>
      <c r="B3427" s="8"/>
      <c r="C3427" s="8"/>
      <c r="D3427" s="8"/>
      <c r="E3427" s="8"/>
      <c r="F3427" s="12"/>
      <c r="H3427" s="8"/>
      <c r="I3427" s="8"/>
    </row>
    <row r="3428" spans="1:9" ht="14.25" customHeight="1" x14ac:dyDescent="0.25">
      <c r="A3428" s="7"/>
      <c r="B3428" s="8"/>
      <c r="C3428" s="8"/>
      <c r="D3428" s="8"/>
      <c r="E3428" s="8"/>
      <c r="F3428" s="12"/>
      <c r="H3428" s="8"/>
      <c r="I3428" s="8"/>
    </row>
    <row r="3429" spans="1:9" ht="14.25" customHeight="1" x14ac:dyDescent="0.25">
      <c r="A3429" s="7"/>
      <c r="B3429" s="8"/>
      <c r="C3429" s="8"/>
      <c r="D3429" s="8"/>
      <c r="E3429" s="8"/>
      <c r="F3429" s="12"/>
      <c r="H3429" s="8"/>
      <c r="I3429" s="8"/>
    </row>
    <row r="3430" spans="1:9" ht="14.25" customHeight="1" x14ac:dyDescent="0.25">
      <c r="A3430" s="7"/>
      <c r="B3430" s="8"/>
      <c r="C3430" s="8"/>
      <c r="D3430" s="8"/>
      <c r="E3430" s="8"/>
      <c r="F3430" s="12"/>
      <c r="H3430" s="8"/>
      <c r="I3430" s="8"/>
    </row>
    <row r="3431" spans="1:9" ht="14.25" customHeight="1" x14ac:dyDescent="0.25">
      <c r="A3431" s="7"/>
      <c r="B3431" s="8"/>
      <c r="C3431" s="8"/>
      <c r="D3431" s="8"/>
      <c r="E3431" s="8"/>
      <c r="F3431" s="12"/>
      <c r="H3431" s="8"/>
      <c r="I3431" s="8"/>
    </row>
    <row r="3432" spans="1:9" ht="14.25" customHeight="1" x14ac:dyDescent="0.25">
      <c r="A3432" s="7"/>
      <c r="B3432" s="8"/>
      <c r="C3432" s="8"/>
      <c r="D3432" s="8"/>
      <c r="E3432" s="8"/>
      <c r="F3432" s="12"/>
      <c r="H3432" s="8"/>
      <c r="I3432" s="8"/>
    </row>
    <row r="3433" spans="1:9" ht="14.25" customHeight="1" x14ac:dyDescent="0.25">
      <c r="A3433" s="7"/>
      <c r="B3433" s="8"/>
      <c r="C3433" s="8"/>
      <c r="D3433" s="8"/>
      <c r="E3433" s="8"/>
      <c r="F3433" s="12"/>
      <c r="H3433" s="8"/>
      <c r="I3433" s="8"/>
    </row>
    <row r="3434" spans="1:9" ht="14.25" customHeight="1" x14ac:dyDescent="0.25">
      <c r="A3434" s="7"/>
      <c r="B3434" s="8"/>
      <c r="C3434" s="8"/>
      <c r="D3434" s="8"/>
      <c r="E3434" s="8"/>
      <c r="F3434" s="12"/>
      <c r="H3434" s="8"/>
      <c r="I3434" s="8"/>
    </row>
    <row r="3435" spans="1:9" ht="14.25" customHeight="1" x14ac:dyDescent="0.25">
      <c r="A3435" s="7"/>
      <c r="B3435" s="8"/>
      <c r="C3435" s="8"/>
      <c r="D3435" s="8"/>
      <c r="E3435" s="8"/>
      <c r="F3435" s="12"/>
      <c r="H3435" s="8"/>
      <c r="I3435" s="8"/>
    </row>
    <row r="3436" spans="1:9" ht="14.25" customHeight="1" x14ac:dyDescent="0.25">
      <c r="A3436" s="7"/>
      <c r="B3436" s="8"/>
      <c r="C3436" s="8"/>
      <c r="D3436" s="8"/>
      <c r="E3436" s="8"/>
      <c r="F3436" s="12"/>
      <c r="H3436" s="8"/>
      <c r="I3436" s="8"/>
    </row>
    <row r="3437" spans="1:9" ht="14.25" customHeight="1" x14ac:dyDescent="0.25">
      <c r="A3437" s="7"/>
      <c r="B3437" s="8"/>
      <c r="C3437" s="8"/>
      <c r="D3437" s="8"/>
      <c r="E3437" s="8"/>
      <c r="F3437" s="12"/>
      <c r="H3437" s="8"/>
      <c r="I3437" s="8"/>
    </row>
    <row r="3438" spans="1:9" ht="14.25" customHeight="1" x14ac:dyDescent="0.25">
      <c r="A3438" s="7"/>
      <c r="B3438" s="8"/>
      <c r="C3438" s="8"/>
      <c r="D3438" s="8"/>
      <c r="E3438" s="8"/>
      <c r="F3438" s="12"/>
      <c r="H3438" s="8"/>
      <c r="I3438" s="8"/>
    </row>
    <row r="3439" spans="1:9" ht="14.25" customHeight="1" x14ac:dyDescent="0.25">
      <c r="A3439" s="7"/>
      <c r="B3439" s="8"/>
      <c r="C3439" s="8"/>
      <c r="D3439" s="8"/>
      <c r="E3439" s="8"/>
      <c r="F3439" s="12"/>
      <c r="H3439" s="8"/>
      <c r="I3439" s="8"/>
    </row>
    <row r="3440" spans="1:9" ht="14.25" customHeight="1" x14ac:dyDescent="0.25">
      <c r="A3440" s="7"/>
      <c r="B3440" s="8"/>
      <c r="C3440" s="8"/>
      <c r="D3440" s="8"/>
      <c r="E3440" s="8"/>
      <c r="F3440" s="12"/>
      <c r="H3440" s="8"/>
      <c r="I3440" s="8"/>
    </row>
    <row r="3441" spans="1:9" ht="14.25" customHeight="1" x14ac:dyDescent="0.25">
      <c r="A3441" s="7"/>
      <c r="B3441" s="8"/>
      <c r="C3441" s="8"/>
      <c r="D3441" s="8"/>
      <c r="E3441" s="8"/>
      <c r="F3441" s="12"/>
      <c r="H3441" s="8"/>
      <c r="I3441" s="8"/>
    </row>
    <row r="3442" spans="1:9" ht="14.25" customHeight="1" x14ac:dyDescent="0.25">
      <c r="A3442" s="7"/>
      <c r="B3442" s="8"/>
      <c r="C3442" s="8"/>
      <c r="D3442" s="8"/>
      <c r="E3442" s="8"/>
      <c r="F3442" s="12"/>
      <c r="H3442" s="8"/>
      <c r="I3442" s="8"/>
    </row>
    <row r="3443" spans="1:9" ht="14.25" customHeight="1" x14ac:dyDescent="0.25">
      <c r="A3443" s="7"/>
      <c r="B3443" s="8"/>
      <c r="C3443" s="8"/>
      <c r="D3443" s="8"/>
      <c r="E3443" s="8"/>
      <c r="F3443" s="12"/>
      <c r="H3443" s="8"/>
      <c r="I3443" s="8"/>
    </row>
    <row r="3444" spans="1:9" ht="14.25" customHeight="1" x14ac:dyDescent="0.25">
      <c r="A3444" s="7"/>
      <c r="B3444" s="8"/>
      <c r="C3444" s="8"/>
      <c r="D3444" s="8"/>
      <c r="E3444" s="8"/>
      <c r="F3444" s="12"/>
      <c r="H3444" s="8"/>
      <c r="I3444" s="8"/>
    </row>
    <row r="3445" spans="1:9" ht="14.25" customHeight="1" x14ac:dyDescent="0.25">
      <c r="A3445" s="7"/>
      <c r="B3445" s="8"/>
      <c r="C3445" s="8"/>
      <c r="D3445" s="8"/>
      <c r="E3445" s="8"/>
      <c r="F3445" s="12"/>
      <c r="H3445" s="8"/>
      <c r="I3445" s="8"/>
    </row>
    <row r="3446" spans="1:9" ht="14.25" customHeight="1" x14ac:dyDescent="0.25">
      <c r="A3446" s="7"/>
      <c r="B3446" s="8"/>
      <c r="C3446" s="8"/>
      <c r="D3446" s="8"/>
      <c r="E3446" s="8"/>
      <c r="F3446" s="12"/>
      <c r="H3446" s="8"/>
      <c r="I3446" s="8"/>
    </row>
    <row r="3447" spans="1:9" ht="14.25" customHeight="1" x14ac:dyDescent="0.25">
      <c r="A3447" s="7"/>
      <c r="B3447" s="8"/>
      <c r="C3447" s="8"/>
      <c r="D3447" s="8"/>
      <c r="E3447" s="8"/>
      <c r="F3447" s="12"/>
      <c r="H3447" s="8"/>
      <c r="I3447" s="8"/>
    </row>
    <row r="3448" spans="1:9" ht="14.25" customHeight="1" x14ac:dyDescent="0.25">
      <c r="A3448" s="7"/>
      <c r="B3448" s="8"/>
      <c r="C3448" s="8"/>
      <c r="D3448" s="8"/>
      <c r="E3448" s="8"/>
      <c r="F3448" s="12"/>
      <c r="H3448" s="8"/>
      <c r="I3448" s="8"/>
    </row>
    <row r="3449" spans="1:9" ht="14.25" customHeight="1" x14ac:dyDescent="0.25">
      <c r="A3449" s="7"/>
      <c r="B3449" s="8"/>
      <c r="C3449" s="8"/>
      <c r="D3449" s="8"/>
      <c r="E3449" s="8"/>
      <c r="F3449" s="12"/>
      <c r="H3449" s="8"/>
      <c r="I3449" s="8"/>
    </row>
    <row r="3450" spans="1:9" ht="14.25" customHeight="1" x14ac:dyDescent="0.25">
      <c r="A3450" s="7"/>
      <c r="B3450" s="8"/>
      <c r="C3450" s="8"/>
      <c r="D3450" s="8"/>
      <c r="E3450" s="8"/>
      <c r="F3450" s="12"/>
      <c r="H3450" s="8"/>
      <c r="I3450" s="8"/>
    </row>
    <row r="3451" spans="1:9" ht="14.25" customHeight="1" x14ac:dyDescent="0.25">
      <c r="A3451" s="7"/>
      <c r="B3451" s="8"/>
      <c r="C3451" s="8"/>
      <c r="D3451" s="8"/>
      <c r="E3451" s="8"/>
      <c r="F3451" s="12"/>
      <c r="H3451" s="8"/>
      <c r="I3451" s="8"/>
    </row>
    <row r="3452" spans="1:9" ht="14.25" customHeight="1" x14ac:dyDescent="0.25">
      <c r="A3452" s="7"/>
      <c r="B3452" s="8"/>
      <c r="C3452" s="8"/>
      <c r="D3452" s="8"/>
      <c r="E3452" s="8"/>
      <c r="F3452" s="12"/>
      <c r="H3452" s="8"/>
      <c r="I3452" s="8"/>
    </row>
    <row r="3453" spans="1:9" ht="14.25" customHeight="1" x14ac:dyDescent="0.25">
      <c r="A3453" s="7"/>
      <c r="B3453" s="8"/>
      <c r="C3453" s="8"/>
      <c r="D3453" s="8"/>
      <c r="E3453" s="8"/>
      <c r="F3453" s="12"/>
      <c r="H3453" s="8"/>
      <c r="I3453" s="8"/>
    </row>
    <row r="3454" spans="1:9" ht="14.25" customHeight="1" x14ac:dyDescent="0.25">
      <c r="A3454" s="7"/>
      <c r="B3454" s="8"/>
      <c r="C3454" s="8"/>
      <c r="D3454" s="8"/>
      <c r="E3454" s="8"/>
      <c r="F3454" s="12"/>
      <c r="H3454" s="8"/>
      <c r="I3454" s="8"/>
    </row>
    <row r="3455" spans="1:9" ht="14.25" customHeight="1" x14ac:dyDescent="0.25">
      <c r="A3455" s="7"/>
      <c r="B3455" s="8"/>
      <c r="C3455" s="8"/>
      <c r="D3455" s="8"/>
      <c r="E3455" s="8"/>
      <c r="F3455" s="12"/>
      <c r="H3455" s="8"/>
      <c r="I3455" s="8"/>
    </row>
    <row r="3456" spans="1:9" ht="14.25" customHeight="1" x14ac:dyDescent="0.25">
      <c r="A3456" s="7"/>
      <c r="B3456" s="8"/>
      <c r="C3456" s="8"/>
      <c r="D3456" s="8"/>
      <c r="E3456" s="8"/>
      <c r="F3456" s="12"/>
      <c r="H3456" s="8"/>
      <c r="I3456" s="8"/>
    </row>
    <row r="3457" spans="1:9" ht="14.25" customHeight="1" x14ac:dyDescent="0.25">
      <c r="A3457" s="7"/>
      <c r="B3457" s="8"/>
      <c r="C3457" s="8"/>
      <c r="D3457" s="8"/>
      <c r="E3457" s="8"/>
      <c r="F3457" s="12"/>
      <c r="H3457" s="8"/>
      <c r="I3457" s="8"/>
    </row>
    <row r="3458" spans="1:9" ht="14.25" customHeight="1" x14ac:dyDescent="0.25">
      <c r="A3458" s="7"/>
      <c r="B3458" s="8"/>
      <c r="C3458" s="8"/>
      <c r="D3458" s="8"/>
      <c r="E3458" s="8"/>
      <c r="F3458" s="12"/>
      <c r="H3458" s="8"/>
      <c r="I3458" s="8"/>
    </row>
    <row r="3459" spans="1:9" ht="14.25" customHeight="1" x14ac:dyDescent="0.25">
      <c r="A3459" s="7"/>
      <c r="B3459" s="8"/>
      <c r="C3459" s="8"/>
      <c r="D3459" s="8"/>
      <c r="E3459" s="8"/>
      <c r="F3459" s="12"/>
      <c r="H3459" s="8"/>
      <c r="I3459" s="8"/>
    </row>
    <row r="3460" spans="1:9" ht="14.25" customHeight="1" x14ac:dyDescent="0.25">
      <c r="A3460" s="7"/>
      <c r="B3460" s="8"/>
      <c r="C3460" s="8"/>
      <c r="D3460" s="8"/>
      <c r="E3460" s="8"/>
      <c r="F3460" s="12"/>
      <c r="H3460" s="8"/>
      <c r="I3460" s="8"/>
    </row>
    <row r="3461" spans="1:9" ht="14.25" customHeight="1" x14ac:dyDescent="0.25">
      <c r="A3461" s="7"/>
      <c r="B3461" s="8"/>
      <c r="C3461" s="8"/>
      <c r="D3461" s="8"/>
      <c r="E3461" s="8"/>
      <c r="F3461" s="12"/>
      <c r="H3461" s="8"/>
      <c r="I3461" s="8"/>
    </row>
    <row r="3462" spans="1:9" ht="14.25" customHeight="1" x14ac:dyDescent="0.25">
      <c r="A3462" s="7"/>
      <c r="B3462" s="8"/>
      <c r="C3462" s="8"/>
      <c r="D3462" s="8"/>
      <c r="E3462" s="8"/>
      <c r="F3462" s="12"/>
      <c r="H3462" s="8"/>
      <c r="I3462" s="8"/>
    </row>
    <row r="3463" spans="1:9" ht="14.25" customHeight="1" x14ac:dyDescent="0.25">
      <c r="A3463" s="7"/>
      <c r="B3463" s="8"/>
      <c r="C3463" s="8"/>
      <c r="D3463" s="8"/>
      <c r="E3463" s="8"/>
      <c r="F3463" s="12"/>
      <c r="H3463" s="8"/>
      <c r="I3463" s="8"/>
    </row>
    <row r="3464" spans="1:9" ht="14.25" customHeight="1" x14ac:dyDescent="0.25">
      <c r="A3464" s="7"/>
      <c r="B3464" s="8"/>
      <c r="C3464" s="8"/>
      <c r="D3464" s="8"/>
      <c r="E3464" s="8"/>
      <c r="F3464" s="12"/>
      <c r="H3464" s="8"/>
      <c r="I3464" s="8"/>
    </row>
    <row r="3465" spans="1:9" ht="14.25" customHeight="1" x14ac:dyDescent="0.25">
      <c r="A3465" s="7"/>
      <c r="B3465" s="8"/>
      <c r="C3465" s="8"/>
      <c r="D3465" s="8"/>
      <c r="E3465" s="8"/>
      <c r="F3465" s="12"/>
      <c r="H3465" s="8"/>
      <c r="I3465" s="8"/>
    </row>
    <row r="3466" spans="1:9" ht="14.25" customHeight="1" x14ac:dyDescent="0.25">
      <c r="A3466" s="7"/>
      <c r="B3466" s="8"/>
      <c r="C3466" s="8"/>
      <c r="D3466" s="8"/>
      <c r="E3466" s="8"/>
      <c r="F3466" s="12"/>
      <c r="H3466" s="8"/>
      <c r="I3466" s="8"/>
    </row>
    <row r="3467" spans="1:9" ht="14.25" customHeight="1" x14ac:dyDescent="0.25">
      <c r="A3467" s="7"/>
      <c r="B3467" s="8"/>
      <c r="C3467" s="8"/>
      <c r="D3467" s="8"/>
      <c r="E3467" s="8"/>
      <c r="F3467" s="12"/>
      <c r="H3467" s="8"/>
      <c r="I3467" s="8"/>
    </row>
    <row r="3468" spans="1:9" ht="14.25" customHeight="1" x14ac:dyDescent="0.25">
      <c r="A3468" s="7"/>
      <c r="B3468" s="8"/>
      <c r="C3468" s="8"/>
      <c r="D3468" s="8"/>
      <c r="E3468" s="8"/>
      <c r="F3468" s="12"/>
      <c r="H3468" s="8"/>
      <c r="I3468" s="8"/>
    </row>
    <row r="3469" spans="1:9" ht="14.25" customHeight="1" x14ac:dyDescent="0.25">
      <c r="A3469" s="7"/>
      <c r="B3469" s="8"/>
      <c r="C3469" s="8"/>
      <c r="D3469" s="8"/>
      <c r="E3469" s="8"/>
      <c r="F3469" s="12"/>
      <c r="H3469" s="8"/>
      <c r="I3469" s="8"/>
    </row>
    <row r="3470" spans="1:9" ht="14.25" customHeight="1" x14ac:dyDescent="0.25">
      <c r="A3470" s="7"/>
      <c r="B3470" s="8"/>
      <c r="C3470" s="8"/>
      <c r="D3470" s="8"/>
      <c r="E3470" s="8"/>
      <c r="F3470" s="12"/>
      <c r="H3470" s="8"/>
      <c r="I3470" s="8"/>
    </row>
    <row r="3471" spans="1:9" ht="14.25" customHeight="1" x14ac:dyDescent="0.25">
      <c r="A3471" s="7"/>
      <c r="B3471" s="8"/>
      <c r="C3471" s="8"/>
      <c r="D3471" s="8"/>
      <c r="E3471" s="8"/>
      <c r="F3471" s="12"/>
      <c r="H3471" s="8"/>
      <c r="I3471" s="8"/>
    </row>
    <row r="3472" spans="1:9" ht="14.25" customHeight="1" x14ac:dyDescent="0.25">
      <c r="A3472" s="7"/>
      <c r="B3472" s="8"/>
      <c r="C3472" s="8"/>
      <c r="D3472" s="8"/>
      <c r="E3472" s="8"/>
      <c r="F3472" s="12"/>
      <c r="H3472" s="8"/>
      <c r="I3472" s="8"/>
    </row>
    <row r="3473" spans="1:9" ht="14.25" customHeight="1" x14ac:dyDescent="0.25">
      <c r="A3473" s="7"/>
      <c r="B3473" s="8"/>
      <c r="C3473" s="8"/>
      <c r="D3473" s="8"/>
      <c r="E3473" s="8"/>
      <c r="F3473" s="12"/>
      <c r="H3473" s="8"/>
      <c r="I3473" s="8"/>
    </row>
    <row r="3474" spans="1:9" ht="14.25" customHeight="1" x14ac:dyDescent="0.25">
      <c r="A3474" s="7"/>
      <c r="B3474" s="8"/>
      <c r="C3474" s="8"/>
      <c r="D3474" s="8"/>
      <c r="E3474" s="8"/>
      <c r="F3474" s="12"/>
      <c r="H3474" s="8"/>
      <c r="I3474" s="8"/>
    </row>
    <row r="3475" spans="1:9" ht="14.25" customHeight="1" x14ac:dyDescent="0.25">
      <c r="A3475" s="7"/>
      <c r="B3475" s="8"/>
      <c r="C3475" s="8"/>
      <c r="D3475" s="8"/>
      <c r="E3475" s="8"/>
      <c r="F3475" s="12"/>
      <c r="H3475" s="8"/>
      <c r="I3475" s="8"/>
    </row>
    <row r="3476" spans="1:9" ht="14.25" customHeight="1" x14ac:dyDescent="0.25">
      <c r="A3476" s="7"/>
      <c r="B3476" s="8"/>
      <c r="C3476" s="8"/>
      <c r="D3476" s="8"/>
      <c r="E3476" s="8"/>
      <c r="F3476" s="12"/>
      <c r="H3476" s="8"/>
      <c r="I3476" s="8"/>
    </row>
    <row r="3477" spans="1:9" ht="14.25" customHeight="1" x14ac:dyDescent="0.25">
      <c r="A3477" s="7"/>
      <c r="B3477" s="8"/>
      <c r="C3477" s="8"/>
      <c r="D3477" s="8"/>
      <c r="E3477" s="8"/>
      <c r="F3477" s="12"/>
      <c r="H3477" s="8"/>
      <c r="I3477" s="8"/>
    </row>
    <row r="3478" spans="1:9" ht="14.25" customHeight="1" x14ac:dyDescent="0.25">
      <c r="A3478" s="7"/>
      <c r="B3478" s="8"/>
      <c r="C3478" s="8"/>
      <c r="D3478" s="8"/>
      <c r="E3478" s="8"/>
      <c r="F3478" s="12"/>
      <c r="H3478" s="8"/>
      <c r="I3478" s="8"/>
    </row>
    <row r="3479" spans="1:9" ht="14.25" customHeight="1" x14ac:dyDescent="0.25">
      <c r="A3479" s="7"/>
      <c r="B3479" s="8"/>
      <c r="C3479" s="8"/>
      <c r="D3479" s="8"/>
      <c r="E3479" s="8"/>
      <c r="F3479" s="12"/>
      <c r="H3479" s="8"/>
      <c r="I3479" s="8"/>
    </row>
    <row r="3480" spans="1:9" ht="14.25" customHeight="1" x14ac:dyDescent="0.25">
      <c r="A3480" s="7"/>
      <c r="B3480" s="8"/>
      <c r="C3480" s="8"/>
      <c r="D3480" s="8"/>
      <c r="E3480" s="8"/>
      <c r="F3480" s="12"/>
      <c r="H3480" s="8"/>
      <c r="I3480" s="8"/>
    </row>
    <row r="3481" spans="1:9" ht="14.25" customHeight="1" x14ac:dyDescent="0.25">
      <c r="A3481" s="7"/>
      <c r="B3481" s="8"/>
      <c r="C3481" s="8"/>
      <c r="D3481" s="8"/>
      <c r="E3481" s="8"/>
      <c r="F3481" s="12"/>
      <c r="H3481" s="8"/>
      <c r="I3481" s="8"/>
    </row>
    <row r="3482" spans="1:9" ht="14.25" customHeight="1" x14ac:dyDescent="0.25">
      <c r="A3482" s="7"/>
      <c r="B3482" s="8"/>
      <c r="C3482" s="8"/>
      <c r="D3482" s="8"/>
      <c r="E3482" s="8"/>
      <c r="F3482" s="12"/>
      <c r="H3482" s="8"/>
      <c r="I3482" s="8"/>
    </row>
    <row r="3483" spans="1:9" ht="14.25" customHeight="1" x14ac:dyDescent="0.25">
      <c r="A3483" s="7"/>
      <c r="B3483" s="8"/>
      <c r="C3483" s="8"/>
      <c r="D3483" s="8"/>
      <c r="E3483" s="8"/>
      <c r="F3483" s="12"/>
      <c r="H3483" s="8"/>
      <c r="I3483" s="8"/>
    </row>
    <row r="3484" spans="1:9" ht="14.25" customHeight="1" x14ac:dyDescent="0.25">
      <c r="A3484" s="7"/>
      <c r="B3484" s="8"/>
      <c r="C3484" s="8"/>
      <c r="D3484" s="8"/>
      <c r="E3484" s="8"/>
      <c r="F3484" s="12"/>
      <c r="H3484" s="8"/>
      <c r="I3484" s="8"/>
    </row>
    <row r="3485" spans="1:9" ht="14.25" customHeight="1" x14ac:dyDescent="0.25">
      <c r="A3485" s="7"/>
      <c r="B3485" s="8"/>
      <c r="C3485" s="8"/>
      <c r="D3485" s="8"/>
      <c r="E3485" s="8"/>
      <c r="F3485" s="12"/>
      <c r="H3485" s="8"/>
      <c r="I3485" s="8"/>
    </row>
    <row r="3486" spans="1:9" ht="14.25" customHeight="1" x14ac:dyDescent="0.25">
      <c r="A3486" s="7"/>
      <c r="B3486" s="8"/>
      <c r="C3486" s="8"/>
      <c r="D3486" s="8"/>
      <c r="E3486" s="8"/>
      <c r="F3486" s="12"/>
      <c r="H3486" s="8"/>
      <c r="I3486" s="8"/>
    </row>
    <row r="3487" spans="1:9" ht="14.25" customHeight="1" x14ac:dyDescent="0.25">
      <c r="A3487" s="7"/>
      <c r="B3487" s="8"/>
      <c r="C3487" s="8"/>
      <c r="D3487" s="8"/>
      <c r="E3487" s="8"/>
      <c r="F3487" s="12"/>
      <c r="H3487" s="8"/>
      <c r="I3487" s="8"/>
    </row>
    <row r="3488" spans="1:9" ht="14.25" customHeight="1" x14ac:dyDescent="0.25">
      <c r="A3488" s="7"/>
      <c r="B3488" s="8"/>
      <c r="C3488" s="8"/>
      <c r="D3488" s="8"/>
      <c r="E3488" s="8"/>
      <c r="F3488" s="12"/>
      <c r="H3488" s="8"/>
      <c r="I3488" s="8"/>
    </row>
    <row r="3489" spans="1:9" ht="14.25" customHeight="1" x14ac:dyDescent="0.25">
      <c r="A3489" s="7"/>
      <c r="B3489" s="8"/>
      <c r="C3489" s="8"/>
      <c r="D3489" s="8"/>
      <c r="E3489" s="8"/>
      <c r="F3489" s="12"/>
      <c r="H3489" s="8"/>
      <c r="I3489" s="8"/>
    </row>
    <row r="3490" spans="1:9" ht="14.25" customHeight="1" x14ac:dyDescent="0.25">
      <c r="A3490" s="7"/>
      <c r="B3490" s="8"/>
      <c r="C3490" s="8"/>
      <c r="D3490" s="8"/>
      <c r="E3490" s="8"/>
      <c r="F3490" s="12"/>
      <c r="H3490" s="8"/>
      <c r="I3490" s="8"/>
    </row>
    <row r="3491" spans="1:9" ht="14.25" customHeight="1" x14ac:dyDescent="0.25">
      <c r="A3491" s="7"/>
      <c r="B3491" s="8"/>
      <c r="C3491" s="8"/>
      <c r="D3491" s="8"/>
      <c r="E3491" s="8"/>
      <c r="F3491" s="12"/>
      <c r="H3491" s="8"/>
      <c r="I3491" s="8"/>
    </row>
    <row r="3492" spans="1:9" ht="14.25" customHeight="1" x14ac:dyDescent="0.25">
      <c r="A3492" s="7"/>
      <c r="B3492" s="8"/>
      <c r="C3492" s="8"/>
      <c r="D3492" s="8"/>
      <c r="E3492" s="8"/>
      <c r="F3492" s="12"/>
      <c r="H3492" s="8"/>
      <c r="I3492" s="8"/>
    </row>
    <row r="3493" spans="1:9" ht="14.25" customHeight="1" x14ac:dyDescent="0.25">
      <c r="A3493" s="7"/>
      <c r="B3493" s="8"/>
      <c r="C3493" s="8"/>
      <c r="D3493" s="8"/>
      <c r="E3493" s="8"/>
      <c r="F3493" s="12"/>
      <c r="H3493" s="8"/>
      <c r="I3493" s="8"/>
    </row>
    <row r="3494" spans="1:9" ht="14.25" customHeight="1" x14ac:dyDescent="0.25">
      <c r="A3494" s="7"/>
      <c r="B3494" s="8"/>
      <c r="C3494" s="8"/>
      <c r="D3494" s="8"/>
      <c r="E3494" s="8"/>
      <c r="F3494" s="12"/>
      <c r="H3494" s="8"/>
      <c r="I3494" s="8"/>
    </row>
    <row r="3495" spans="1:9" ht="14.25" customHeight="1" x14ac:dyDescent="0.25">
      <c r="A3495" s="7"/>
      <c r="B3495" s="8"/>
      <c r="C3495" s="8"/>
      <c r="D3495" s="8"/>
      <c r="E3495" s="8"/>
      <c r="F3495" s="12"/>
      <c r="H3495" s="8"/>
      <c r="I3495" s="8"/>
    </row>
    <row r="3496" spans="1:9" ht="14.25" customHeight="1" x14ac:dyDescent="0.25">
      <c r="A3496" s="7"/>
      <c r="B3496" s="8"/>
      <c r="C3496" s="8"/>
      <c r="D3496" s="8"/>
      <c r="E3496" s="8"/>
      <c r="F3496" s="12"/>
      <c r="H3496" s="8"/>
      <c r="I3496" s="8"/>
    </row>
    <row r="3497" spans="1:9" ht="14.25" customHeight="1" x14ac:dyDescent="0.25">
      <c r="A3497" s="7"/>
      <c r="B3497" s="8"/>
      <c r="C3497" s="8"/>
      <c r="D3497" s="8"/>
      <c r="E3497" s="8"/>
      <c r="F3497" s="12"/>
      <c r="H3497" s="8"/>
      <c r="I3497" s="8"/>
    </row>
    <row r="3498" spans="1:9" ht="14.25" customHeight="1" x14ac:dyDescent="0.25">
      <c r="A3498" s="7"/>
      <c r="B3498" s="8"/>
      <c r="C3498" s="8"/>
      <c r="D3498" s="8"/>
      <c r="E3498" s="8"/>
      <c r="F3498" s="12"/>
      <c r="H3498" s="8"/>
      <c r="I3498" s="8"/>
    </row>
    <row r="3499" spans="1:9" ht="14.25" customHeight="1" x14ac:dyDescent="0.25">
      <c r="A3499" s="7"/>
      <c r="B3499" s="8"/>
      <c r="C3499" s="8"/>
      <c r="D3499" s="8"/>
      <c r="E3499" s="8"/>
      <c r="F3499" s="12"/>
      <c r="H3499" s="8"/>
      <c r="I3499" s="8"/>
    </row>
    <row r="3500" spans="1:9" ht="14.25" customHeight="1" x14ac:dyDescent="0.25">
      <c r="A3500" s="7"/>
      <c r="B3500" s="8"/>
      <c r="C3500" s="8"/>
      <c r="D3500" s="8"/>
      <c r="E3500" s="8"/>
      <c r="F3500" s="12"/>
      <c r="H3500" s="8"/>
      <c r="I3500" s="8"/>
    </row>
    <row r="3501" spans="1:9" ht="14.25" customHeight="1" x14ac:dyDescent="0.25">
      <c r="A3501" s="7"/>
      <c r="B3501" s="8"/>
      <c r="C3501" s="8"/>
      <c r="D3501" s="8"/>
      <c r="E3501" s="8"/>
      <c r="F3501" s="12"/>
      <c r="H3501" s="8"/>
      <c r="I3501" s="8"/>
    </row>
    <row r="3502" spans="1:9" ht="14.25" customHeight="1" x14ac:dyDescent="0.25">
      <c r="A3502" s="7"/>
      <c r="B3502" s="8"/>
      <c r="C3502" s="8"/>
      <c r="D3502" s="8"/>
      <c r="E3502" s="8"/>
      <c r="F3502" s="12"/>
      <c r="H3502" s="8"/>
      <c r="I3502" s="8"/>
    </row>
    <row r="3503" spans="1:9" ht="14.25" customHeight="1" x14ac:dyDescent="0.25">
      <c r="A3503" s="7"/>
      <c r="B3503" s="8"/>
      <c r="C3503" s="8"/>
      <c r="D3503" s="8"/>
      <c r="E3503" s="8"/>
      <c r="F3503" s="12"/>
      <c r="H3503" s="8"/>
      <c r="I3503" s="8"/>
    </row>
    <row r="3504" spans="1:9" ht="14.25" customHeight="1" x14ac:dyDescent="0.25">
      <c r="A3504" s="7"/>
      <c r="B3504" s="8"/>
      <c r="C3504" s="8"/>
      <c r="D3504" s="8"/>
      <c r="E3504" s="8"/>
      <c r="F3504" s="12"/>
      <c r="H3504" s="8"/>
      <c r="I3504" s="8"/>
    </row>
    <row r="3505" spans="1:9" ht="14.25" customHeight="1" x14ac:dyDescent="0.25">
      <c r="A3505" s="7"/>
      <c r="B3505" s="8"/>
      <c r="C3505" s="8"/>
      <c r="D3505" s="8"/>
      <c r="E3505" s="8"/>
      <c r="F3505" s="12"/>
      <c r="H3505" s="8"/>
      <c r="I3505" s="8"/>
    </row>
    <row r="3506" spans="1:9" ht="14.25" customHeight="1" x14ac:dyDescent="0.25">
      <c r="A3506" s="7"/>
      <c r="B3506" s="8"/>
      <c r="C3506" s="8"/>
      <c r="D3506" s="8"/>
      <c r="E3506" s="8"/>
      <c r="F3506" s="12"/>
      <c r="H3506" s="8"/>
      <c r="I3506" s="8"/>
    </row>
    <row r="3507" spans="1:9" ht="14.25" customHeight="1" x14ac:dyDescent="0.25">
      <c r="A3507" s="7"/>
      <c r="B3507" s="8"/>
      <c r="C3507" s="8"/>
      <c r="D3507" s="8"/>
      <c r="E3507" s="8"/>
      <c r="F3507" s="12"/>
      <c r="H3507" s="8"/>
      <c r="I3507" s="8"/>
    </row>
    <row r="3508" spans="1:9" ht="14.25" customHeight="1" x14ac:dyDescent="0.25">
      <c r="A3508" s="7"/>
      <c r="B3508" s="8"/>
      <c r="C3508" s="8"/>
      <c r="D3508" s="8"/>
      <c r="E3508" s="8"/>
      <c r="F3508" s="12"/>
      <c r="H3508" s="8"/>
      <c r="I3508" s="8"/>
    </row>
    <row r="3509" spans="1:9" ht="14.25" customHeight="1" x14ac:dyDescent="0.25">
      <c r="A3509" s="7"/>
      <c r="B3509" s="8"/>
      <c r="C3509" s="8"/>
      <c r="D3509" s="8"/>
      <c r="E3509" s="8"/>
      <c r="F3509" s="12"/>
      <c r="H3509" s="8"/>
      <c r="I3509" s="8"/>
    </row>
    <row r="3510" spans="1:9" ht="14.25" customHeight="1" x14ac:dyDescent="0.25">
      <c r="A3510" s="7"/>
      <c r="B3510" s="8"/>
      <c r="C3510" s="8"/>
      <c r="D3510" s="8"/>
      <c r="E3510" s="8"/>
      <c r="F3510" s="12"/>
      <c r="H3510" s="8"/>
      <c r="I3510" s="8"/>
    </row>
    <row r="3511" spans="1:9" ht="14.25" customHeight="1" x14ac:dyDescent="0.25">
      <c r="A3511" s="7"/>
      <c r="B3511" s="8"/>
      <c r="C3511" s="8"/>
      <c r="D3511" s="8"/>
      <c r="E3511" s="8"/>
      <c r="F3511" s="12"/>
      <c r="H3511" s="8"/>
      <c r="I3511" s="8"/>
    </row>
    <row r="3512" spans="1:9" ht="14.25" customHeight="1" x14ac:dyDescent="0.25">
      <c r="A3512" s="7"/>
      <c r="B3512" s="8"/>
      <c r="C3512" s="8"/>
      <c r="D3512" s="8"/>
      <c r="E3512" s="8"/>
      <c r="F3512" s="12"/>
      <c r="H3512" s="8"/>
      <c r="I3512" s="8"/>
    </row>
    <row r="3513" spans="1:9" ht="14.25" customHeight="1" x14ac:dyDescent="0.25">
      <c r="A3513" s="7"/>
      <c r="B3513" s="8"/>
      <c r="C3513" s="8"/>
      <c r="D3513" s="8"/>
      <c r="E3513" s="8"/>
      <c r="F3513" s="12"/>
      <c r="H3513" s="8"/>
      <c r="I3513" s="8"/>
    </row>
    <row r="3514" spans="1:9" ht="14.25" customHeight="1" x14ac:dyDescent="0.25">
      <c r="A3514" s="7"/>
      <c r="B3514" s="8"/>
      <c r="C3514" s="8"/>
      <c r="D3514" s="8"/>
      <c r="E3514" s="8"/>
      <c r="F3514" s="12"/>
      <c r="H3514" s="8"/>
      <c r="I3514" s="8"/>
    </row>
    <row r="3515" spans="1:9" ht="14.25" customHeight="1" x14ac:dyDescent="0.25">
      <c r="A3515" s="7"/>
      <c r="B3515" s="8"/>
      <c r="C3515" s="8"/>
      <c r="D3515" s="8"/>
      <c r="E3515" s="8"/>
      <c r="F3515" s="12"/>
      <c r="H3515" s="8"/>
      <c r="I3515" s="8"/>
    </row>
    <row r="3516" spans="1:9" ht="14.25" customHeight="1" x14ac:dyDescent="0.25">
      <c r="A3516" s="7"/>
      <c r="B3516" s="8"/>
      <c r="C3516" s="8"/>
      <c r="D3516" s="8"/>
      <c r="E3516" s="8"/>
      <c r="F3516" s="12"/>
      <c r="H3516" s="8"/>
      <c r="I3516" s="8"/>
    </row>
    <row r="3517" spans="1:9" ht="14.25" customHeight="1" x14ac:dyDescent="0.25">
      <c r="A3517" s="7"/>
      <c r="B3517" s="8"/>
      <c r="C3517" s="8"/>
      <c r="D3517" s="8"/>
      <c r="E3517" s="8"/>
      <c r="F3517" s="12"/>
      <c r="H3517" s="8"/>
      <c r="I3517" s="8"/>
    </row>
    <row r="3518" spans="1:9" ht="14.25" customHeight="1" x14ac:dyDescent="0.25">
      <c r="A3518" s="7"/>
      <c r="B3518" s="8"/>
      <c r="C3518" s="8"/>
      <c r="D3518" s="8"/>
      <c r="E3518" s="8"/>
      <c r="F3518" s="12"/>
      <c r="H3518" s="8"/>
      <c r="I3518" s="8"/>
    </row>
    <row r="3519" spans="1:9" ht="14.25" customHeight="1" x14ac:dyDescent="0.25">
      <c r="A3519" s="7"/>
      <c r="B3519" s="8"/>
      <c r="C3519" s="8"/>
      <c r="D3519" s="8"/>
      <c r="E3519" s="8"/>
      <c r="F3519" s="12"/>
      <c r="H3519" s="8"/>
      <c r="I3519" s="8"/>
    </row>
    <row r="3520" spans="1:9" ht="14.25" customHeight="1" x14ac:dyDescent="0.25">
      <c r="A3520" s="7"/>
      <c r="B3520" s="8"/>
      <c r="C3520" s="8"/>
      <c r="D3520" s="8"/>
      <c r="E3520" s="8"/>
      <c r="F3520" s="12"/>
      <c r="H3520" s="8"/>
      <c r="I3520" s="8"/>
    </row>
    <row r="3521" spans="1:9" ht="14.25" customHeight="1" x14ac:dyDescent="0.25">
      <c r="A3521" s="7"/>
      <c r="B3521" s="8"/>
      <c r="C3521" s="8"/>
      <c r="D3521" s="8"/>
      <c r="E3521" s="8"/>
      <c r="F3521" s="12"/>
      <c r="H3521" s="8"/>
      <c r="I3521" s="8"/>
    </row>
    <row r="3522" spans="1:9" ht="14.25" customHeight="1" x14ac:dyDescent="0.25">
      <c r="A3522" s="7"/>
      <c r="B3522" s="8"/>
      <c r="C3522" s="8"/>
      <c r="D3522" s="8"/>
      <c r="E3522" s="8"/>
      <c r="F3522" s="12"/>
      <c r="H3522" s="8"/>
      <c r="I3522" s="8"/>
    </row>
    <row r="3523" spans="1:9" ht="14.25" customHeight="1" x14ac:dyDescent="0.25">
      <c r="A3523" s="7"/>
      <c r="B3523" s="8"/>
      <c r="C3523" s="8"/>
      <c r="D3523" s="8"/>
      <c r="E3523" s="8"/>
      <c r="F3523" s="12"/>
      <c r="H3523" s="8"/>
      <c r="I3523" s="8"/>
    </row>
    <row r="3524" spans="1:9" ht="14.25" customHeight="1" x14ac:dyDescent="0.25">
      <c r="A3524" s="7"/>
      <c r="B3524" s="8"/>
      <c r="C3524" s="8"/>
      <c r="D3524" s="8"/>
      <c r="E3524" s="8"/>
      <c r="F3524" s="12"/>
      <c r="H3524" s="8"/>
      <c r="I3524" s="8"/>
    </row>
    <row r="3525" spans="1:9" ht="14.25" customHeight="1" x14ac:dyDescent="0.25">
      <c r="A3525" s="7"/>
      <c r="B3525" s="8"/>
      <c r="C3525" s="8"/>
      <c r="D3525" s="8"/>
      <c r="E3525" s="8"/>
      <c r="F3525" s="12"/>
      <c r="H3525" s="8"/>
      <c r="I3525" s="8"/>
    </row>
    <row r="3526" spans="1:9" ht="14.25" customHeight="1" x14ac:dyDescent="0.25">
      <c r="A3526" s="7"/>
      <c r="B3526" s="8"/>
      <c r="C3526" s="8"/>
      <c r="D3526" s="8"/>
      <c r="E3526" s="8"/>
      <c r="F3526" s="12"/>
      <c r="H3526" s="8"/>
      <c r="I3526" s="8"/>
    </row>
    <row r="3527" spans="1:9" ht="14.25" customHeight="1" x14ac:dyDescent="0.25">
      <c r="A3527" s="7"/>
      <c r="B3527" s="8"/>
      <c r="C3527" s="8"/>
      <c r="D3527" s="8"/>
      <c r="E3527" s="8"/>
      <c r="F3527" s="12"/>
      <c r="H3527" s="8"/>
      <c r="I3527" s="8"/>
    </row>
    <row r="3528" spans="1:9" ht="14.25" customHeight="1" x14ac:dyDescent="0.25">
      <c r="A3528" s="7"/>
      <c r="B3528" s="8"/>
      <c r="C3528" s="8"/>
      <c r="D3528" s="8"/>
      <c r="E3528" s="8"/>
      <c r="F3528" s="12"/>
      <c r="H3528" s="8"/>
      <c r="I3528" s="8"/>
    </row>
    <row r="3529" spans="1:9" ht="14.25" customHeight="1" x14ac:dyDescent="0.25">
      <c r="A3529" s="7"/>
      <c r="B3529" s="8"/>
      <c r="C3529" s="8"/>
      <c r="D3529" s="8"/>
      <c r="E3529" s="8"/>
      <c r="F3529" s="12"/>
      <c r="H3529" s="8"/>
      <c r="I3529" s="8"/>
    </row>
    <row r="3530" spans="1:9" ht="14.25" customHeight="1" x14ac:dyDescent="0.25">
      <c r="A3530" s="7"/>
      <c r="B3530" s="8"/>
      <c r="C3530" s="8"/>
      <c r="D3530" s="8"/>
      <c r="E3530" s="8"/>
      <c r="F3530" s="12"/>
      <c r="H3530" s="8"/>
      <c r="I3530" s="8"/>
    </row>
    <row r="3531" spans="1:9" ht="14.25" customHeight="1" x14ac:dyDescent="0.25">
      <c r="A3531" s="7"/>
      <c r="B3531" s="8"/>
      <c r="C3531" s="8"/>
      <c r="D3531" s="8"/>
      <c r="E3531" s="8"/>
      <c r="F3531" s="12"/>
      <c r="H3531" s="8"/>
      <c r="I3531" s="8"/>
    </row>
    <row r="3532" spans="1:9" ht="14.25" customHeight="1" x14ac:dyDescent="0.25">
      <c r="A3532" s="7"/>
      <c r="B3532" s="8"/>
      <c r="C3532" s="8"/>
      <c r="D3532" s="8"/>
      <c r="E3532" s="8"/>
      <c r="F3532" s="12"/>
      <c r="H3532" s="8"/>
      <c r="I3532" s="8"/>
    </row>
    <row r="3533" spans="1:9" ht="14.25" customHeight="1" x14ac:dyDescent="0.25">
      <c r="A3533" s="7"/>
      <c r="B3533" s="8"/>
      <c r="C3533" s="8"/>
      <c r="D3533" s="8"/>
      <c r="E3533" s="8"/>
      <c r="F3533" s="12"/>
      <c r="H3533" s="8"/>
      <c r="I3533" s="8"/>
    </row>
    <row r="3534" spans="1:9" ht="14.25" customHeight="1" x14ac:dyDescent="0.25">
      <c r="A3534" s="7"/>
      <c r="B3534" s="8"/>
      <c r="C3534" s="8"/>
      <c r="D3534" s="8"/>
      <c r="E3534" s="8"/>
      <c r="F3534" s="12"/>
      <c r="H3534" s="8"/>
      <c r="I3534" s="8"/>
    </row>
    <row r="3535" spans="1:9" ht="14.25" customHeight="1" x14ac:dyDescent="0.25">
      <c r="A3535" s="7"/>
      <c r="B3535" s="8"/>
      <c r="C3535" s="8"/>
      <c r="D3535" s="8"/>
      <c r="E3535" s="8"/>
      <c r="F3535" s="12"/>
      <c r="H3535" s="8"/>
      <c r="I3535" s="8"/>
    </row>
    <row r="3536" spans="1:9" ht="14.25" customHeight="1" x14ac:dyDescent="0.25">
      <c r="A3536" s="7"/>
      <c r="B3536" s="8"/>
      <c r="C3536" s="8"/>
      <c r="D3536" s="8"/>
      <c r="E3536" s="8"/>
      <c r="F3536" s="12"/>
      <c r="H3536" s="8"/>
      <c r="I3536" s="8"/>
    </row>
    <row r="3537" spans="1:9" ht="14.25" customHeight="1" x14ac:dyDescent="0.25">
      <c r="A3537" s="7"/>
      <c r="B3537" s="8"/>
      <c r="C3537" s="8"/>
      <c r="D3537" s="8"/>
      <c r="E3537" s="8"/>
      <c r="F3537" s="12"/>
      <c r="H3537" s="8"/>
      <c r="I3537" s="8"/>
    </row>
    <row r="3538" spans="1:9" ht="14.25" customHeight="1" x14ac:dyDescent="0.25">
      <c r="A3538" s="7"/>
      <c r="B3538" s="8"/>
      <c r="C3538" s="8"/>
      <c r="D3538" s="8"/>
      <c r="E3538" s="8"/>
      <c r="F3538" s="12"/>
      <c r="H3538" s="8"/>
      <c r="I3538" s="8"/>
    </row>
    <row r="3539" spans="1:9" ht="14.25" customHeight="1" x14ac:dyDescent="0.25">
      <c r="A3539" s="7"/>
      <c r="B3539" s="8"/>
      <c r="C3539" s="8"/>
      <c r="D3539" s="8"/>
      <c r="E3539" s="8"/>
      <c r="F3539" s="12"/>
      <c r="H3539" s="8"/>
      <c r="I3539" s="8"/>
    </row>
    <row r="3540" spans="1:9" ht="14.25" customHeight="1" x14ac:dyDescent="0.25">
      <c r="A3540" s="7"/>
      <c r="B3540" s="8"/>
      <c r="C3540" s="8"/>
      <c r="D3540" s="8"/>
      <c r="E3540" s="8"/>
      <c r="F3540" s="12"/>
      <c r="H3540" s="8"/>
      <c r="I3540" s="8"/>
    </row>
    <row r="3541" spans="1:9" ht="14.25" customHeight="1" x14ac:dyDescent="0.25">
      <c r="A3541" s="7"/>
      <c r="B3541" s="8"/>
      <c r="C3541" s="8"/>
      <c r="D3541" s="8"/>
      <c r="E3541" s="8"/>
      <c r="F3541" s="12"/>
      <c r="H3541" s="8"/>
      <c r="I3541" s="8"/>
    </row>
    <row r="3542" spans="1:9" ht="14.25" customHeight="1" x14ac:dyDescent="0.25">
      <c r="A3542" s="7"/>
      <c r="B3542" s="8"/>
      <c r="C3542" s="8"/>
      <c r="D3542" s="8"/>
      <c r="E3542" s="8"/>
      <c r="F3542" s="12"/>
      <c r="H3542" s="8"/>
      <c r="I3542" s="8"/>
    </row>
    <row r="3543" spans="1:9" ht="14.25" customHeight="1" x14ac:dyDescent="0.25">
      <c r="A3543" s="7"/>
      <c r="B3543" s="8"/>
      <c r="C3543" s="8"/>
      <c r="D3543" s="8"/>
      <c r="E3543" s="8"/>
      <c r="F3543" s="12"/>
      <c r="H3543" s="8"/>
      <c r="I3543" s="8"/>
    </row>
    <row r="3544" spans="1:9" ht="14.25" customHeight="1" x14ac:dyDescent="0.25">
      <c r="A3544" s="7"/>
      <c r="B3544" s="8"/>
      <c r="C3544" s="8"/>
      <c r="D3544" s="8"/>
      <c r="E3544" s="8"/>
      <c r="F3544" s="12"/>
      <c r="H3544" s="8"/>
      <c r="I3544" s="8"/>
    </row>
    <row r="3545" spans="1:9" ht="14.25" customHeight="1" x14ac:dyDescent="0.25">
      <c r="A3545" s="7"/>
      <c r="B3545" s="8"/>
      <c r="C3545" s="8"/>
      <c r="D3545" s="8"/>
      <c r="E3545" s="8"/>
      <c r="F3545" s="12"/>
      <c r="H3545" s="8"/>
      <c r="I3545" s="8"/>
    </row>
    <row r="3546" spans="1:9" ht="14.25" customHeight="1" x14ac:dyDescent="0.25">
      <c r="A3546" s="7"/>
      <c r="B3546" s="8"/>
      <c r="C3546" s="8"/>
      <c r="D3546" s="8"/>
      <c r="E3546" s="8"/>
      <c r="F3546" s="12"/>
      <c r="H3546" s="8"/>
      <c r="I3546" s="8"/>
    </row>
    <row r="3547" spans="1:9" ht="14.25" customHeight="1" x14ac:dyDescent="0.25">
      <c r="A3547" s="7"/>
      <c r="B3547" s="8"/>
      <c r="C3547" s="8"/>
      <c r="D3547" s="8"/>
      <c r="E3547" s="8"/>
      <c r="F3547" s="12"/>
      <c r="H3547" s="8"/>
      <c r="I3547" s="8"/>
    </row>
    <row r="3548" spans="1:9" ht="14.25" customHeight="1" x14ac:dyDescent="0.25">
      <c r="A3548" s="7"/>
      <c r="B3548" s="8"/>
      <c r="C3548" s="8"/>
      <c r="D3548" s="8"/>
      <c r="E3548" s="8"/>
      <c r="F3548" s="12"/>
      <c r="H3548" s="8"/>
      <c r="I3548" s="8"/>
    </row>
    <row r="3549" spans="1:9" ht="14.25" customHeight="1" x14ac:dyDescent="0.25">
      <c r="A3549" s="7"/>
      <c r="B3549" s="8"/>
      <c r="C3549" s="8"/>
      <c r="D3549" s="8"/>
      <c r="E3549" s="8"/>
      <c r="F3549" s="12"/>
      <c r="H3549" s="8"/>
      <c r="I3549" s="8"/>
    </row>
    <row r="3550" spans="1:9" ht="14.25" customHeight="1" x14ac:dyDescent="0.25">
      <c r="A3550" s="7"/>
      <c r="B3550" s="8"/>
      <c r="C3550" s="8"/>
      <c r="D3550" s="8"/>
      <c r="E3550" s="8"/>
      <c r="F3550" s="12"/>
      <c r="H3550" s="8"/>
      <c r="I3550" s="8"/>
    </row>
    <row r="3551" spans="1:9" ht="14.25" customHeight="1" x14ac:dyDescent="0.25">
      <c r="A3551" s="7"/>
      <c r="B3551" s="8"/>
      <c r="C3551" s="8"/>
      <c r="D3551" s="8"/>
      <c r="E3551" s="8"/>
      <c r="F3551" s="12"/>
      <c r="H3551" s="8"/>
      <c r="I3551" s="8"/>
    </row>
    <row r="3552" spans="1:9" ht="14.25" customHeight="1" x14ac:dyDescent="0.25">
      <c r="A3552" s="7"/>
      <c r="B3552" s="8"/>
      <c r="C3552" s="8"/>
      <c r="D3552" s="8"/>
      <c r="E3552" s="8"/>
      <c r="F3552" s="12"/>
      <c r="H3552" s="8"/>
      <c r="I3552" s="8"/>
    </row>
    <row r="3553" spans="1:9" ht="14.25" customHeight="1" x14ac:dyDescent="0.25">
      <c r="A3553" s="7"/>
      <c r="B3553" s="8"/>
      <c r="C3553" s="8"/>
      <c r="D3553" s="8"/>
      <c r="E3553" s="8"/>
      <c r="F3553" s="12"/>
      <c r="H3553" s="8"/>
      <c r="I3553" s="8"/>
    </row>
    <row r="3554" spans="1:9" ht="14.25" customHeight="1" x14ac:dyDescent="0.25">
      <c r="A3554" s="7"/>
      <c r="B3554" s="8"/>
      <c r="C3554" s="8"/>
      <c r="D3554" s="8"/>
      <c r="E3554" s="8"/>
      <c r="F3554" s="12"/>
      <c r="H3554" s="8"/>
      <c r="I3554" s="8"/>
    </row>
    <row r="3555" spans="1:9" ht="14.25" customHeight="1" x14ac:dyDescent="0.25">
      <c r="A3555" s="7"/>
      <c r="B3555" s="8"/>
      <c r="C3555" s="8"/>
      <c r="D3555" s="8"/>
      <c r="E3555" s="8"/>
      <c r="F3555" s="12"/>
      <c r="H3555" s="8"/>
      <c r="I3555" s="8"/>
    </row>
    <row r="3556" spans="1:9" ht="14.25" customHeight="1" x14ac:dyDescent="0.25">
      <c r="A3556" s="7"/>
      <c r="B3556" s="8"/>
      <c r="C3556" s="8"/>
      <c r="D3556" s="8"/>
      <c r="E3556" s="8"/>
      <c r="F3556" s="12"/>
      <c r="H3556" s="8"/>
      <c r="I3556" s="8"/>
    </row>
    <row r="3557" spans="1:9" ht="14.25" customHeight="1" x14ac:dyDescent="0.25">
      <c r="A3557" s="7"/>
      <c r="B3557" s="8"/>
      <c r="C3557" s="8"/>
      <c r="D3557" s="8"/>
      <c r="E3557" s="8"/>
      <c r="F3557" s="12"/>
      <c r="H3557" s="8"/>
      <c r="I3557" s="8"/>
    </row>
    <row r="3558" spans="1:9" ht="14.25" customHeight="1" x14ac:dyDescent="0.25">
      <c r="A3558" s="7"/>
      <c r="B3558" s="8"/>
      <c r="C3558" s="8"/>
      <c r="D3558" s="8"/>
      <c r="E3558" s="8"/>
      <c r="F3558" s="12"/>
      <c r="H3558" s="8"/>
      <c r="I3558" s="8"/>
    </row>
    <row r="3559" spans="1:9" ht="14.25" customHeight="1" x14ac:dyDescent="0.25">
      <c r="A3559" s="7"/>
      <c r="B3559" s="8"/>
      <c r="C3559" s="8"/>
      <c r="D3559" s="8"/>
      <c r="E3559" s="8"/>
      <c r="F3559" s="12"/>
      <c r="H3559" s="8"/>
      <c r="I3559" s="8"/>
    </row>
    <row r="3560" spans="1:9" ht="14.25" customHeight="1" x14ac:dyDescent="0.25">
      <c r="A3560" s="7"/>
      <c r="B3560" s="8"/>
      <c r="C3560" s="8"/>
      <c r="D3560" s="8"/>
      <c r="E3560" s="8"/>
      <c r="F3560" s="12"/>
      <c r="H3560" s="8"/>
      <c r="I3560" s="8"/>
    </row>
    <row r="3561" spans="1:9" ht="14.25" customHeight="1" x14ac:dyDescent="0.25">
      <c r="A3561" s="7"/>
      <c r="B3561" s="8"/>
      <c r="C3561" s="8"/>
      <c r="D3561" s="8"/>
      <c r="E3561" s="8"/>
      <c r="F3561" s="12"/>
      <c r="H3561" s="8"/>
      <c r="I3561" s="8"/>
    </row>
    <row r="3562" spans="1:9" ht="14.25" customHeight="1" x14ac:dyDescent="0.25">
      <c r="A3562" s="7"/>
      <c r="B3562" s="8"/>
      <c r="C3562" s="8"/>
      <c r="D3562" s="8"/>
      <c r="E3562" s="8"/>
      <c r="F3562" s="12"/>
      <c r="H3562" s="8"/>
      <c r="I3562" s="8"/>
    </row>
    <row r="3563" spans="1:9" ht="14.25" customHeight="1" x14ac:dyDescent="0.25">
      <c r="A3563" s="7"/>
      <c r="B3563" s="8"/>
      <c r="C3563" s="8"/>
      <c r="D3563" s="8"/>
      <c r="E3563" s="8"/>
      <c r="F3563" s="12"/>
      <c r="H3563" s="8"/>
      <c r="I3563" s="8"/>
    </row>
    <row r="3564" spans="1:9" ht="14.25" customHeight="1" x14ac:dyDescent="0.25">
      <c r="A3564" s="7"/>
      <c r="B3564" s="8"/>
      <c r="C3564" s="8"/>
      <c r="D3564" s="8"/>
      <c r="E3564" s="8"/>
      <c r="F3564" s="12"/>
      <c r="H3564" s="8"/>
      <c r="I3564" s="8"/>
    </row>
    <row r="3565" spans="1:9" ht="14.25" customHeight="1" x14ac:dyDescent="0.25">
      <c r="A3565" s="7"/>
      <c r="B3565" s="8"/>
      <c r="C3565" s="8"/>
      <c r="D3565" s="8"/>
      <c r="E3565" s="8"/>
      <c r="F3565" s="12"/>
      <c r="H3565" s="8"/>
      <c r="I3565" s="8"/>
    </row>
    <row r="3566" spans="1:9" ht="14.25" customHeight="1" x14ac:dyDescent="0.25">
      <c r="A3566" s="7"/>
      <c r="B3566" s="8"/>
      <c r="C3566" s="8"/>
      <c r="D3566" s="8"/>
      <c r="E3566" s="8"/>
      <c r="F3566" s="12"/>
      <c r="H3566" s="8"/>
      <c r="I3566" s="8"/>
    </row>
    <row r="3567" spans="1:9" ht="14.25" customHeight="1" x14ac:dyDescent="0.25">
      <c r="A3567" s="7"/>
      <c r="B3567" s="8"/>
      <c r="C3567" s="8"/>
      <c r="D3567" s="8"/>
      <c r="E3567" s="8"/>
      <c r="F3567" s="12"/>
      <c r="H3567" s="8"/>
      <c r="I3567" s="8"/>
    </row>
    <row r="3568" spans="1:9" ht="14.25" customHeight="1" x14ac:dyDescent="0.25">
      <c r="A3568" s="7"/>
      <c r="B3568" s="8"/>
      <c r="C3568" s="8"/>
      <c r="D3568" s="8"/>
      <c r="E3568" s="8"/>
      <c r="F3568" s="12"/>
      <c r="H3568" s="8"/>
      <c r="I3568" s="8"/>
    </row>
    <row r="3569" spans="1:9" ht="14.25" customHeight="1" x14ac:dyDescent="0.25">
      <c r="A3569" s="7"/>
      <c r="B3569" s="8"/>
      <c r="C3569" s="8"/>
      <c r="D3569" s="8"/>
      <c r="E3569" s="8"/>
      <c r="F3569" s="12"/>
      <c r="H3569" s="8"/>
      <c r="I3569" s="8"/>
    </row>
    <row r="3570" spans="1:9" ht="14.25" customHeight="1" x14ac:dyDescent="0.25">
      <c r="A3570" s="7"/>
      <c r="B3570" s="8"/>
      <c r="C3570" s="8"/>
      <c r="D3570" s="8"/>
      <c r="E3570" s="8"/>
      <c r="F3570" s="12"/>
      <c r="H3570" s="8"/>
      <c r="I3570" s="8"/>
    </row>
    <row r="3571" spans="1:9" ht="14.25" customHeight="1" x14ac:dyDescent="0.25">
      <c r="A3571" s="7"/>
      <c r="B3571" s="8"/>
      <c r="C3571" s="8"/>
      <c r="D3571" s="8"/>
      <c r="E3571" s="8"/>
      <c r="F3571" s="12"/>
      <c r="H3571" s="8"/>
      <c r="I3571" s="8"/>
    </row>
    <row r="3572" spans="1:9" ht="14.25" customHeight="1" x14ac:dyDescent="0.25">
      <c r="A3572" s="7"/>
      <c r="B3572" s="8"/>
      <c r="C3572" s="8"/>
      <c r="D3572" s="8"/>
      <c r="E3572" s="8"/>
      <c r="F3572" s="12"/>
      <c r="H3572" s="8"/>
      <c r="I3572" s="8"/>
    </row>
    <row r="3573" spans="1:9" ht="14.25" customHeight="1" x14ac:dyDescent="0.25">
      <c r="A3573" s="7"/>
      <c r="B3573" s="8"/>
      <c r="C3573" s="8"/>
      <c r="D3573" s="8"/>
      <c r="E3573" s="8"/>
      <c r="F3573" s="12"/>
      <c r="H3573" s="8"/>
      <c r="I3573" s="8"/>
    </row>
    <row r="3574" spans="1:9" ht="14.25" customHeight="1" x14ac:dyDescent="0.25">
      <c r="A3574" s="7"/>
      <c r="B3574" s="8"/>
      <c r="C3574" s="8"/>
      <c r="D3574" s="8"/>
      <c r="E3574" s="8"/>
      <c r="F3574" s="12"/>
      <c r="H3574" s="8"/>
      <c r="I3574" s="8"/>
    </row>
    <row r="3575" spans="1:9" ht="14.25" customHeight="1" x14ac:dyDescent="0.25">
      <c r="A3575" s="7"/>
      <c r="B3575" s="8"/>
      <c r="C3575" s="8"/>
      <c r="D3575" s="8"/>
      <c r="E3575" s="8"/>
      <c r="F3575" s="12"/>
      <c r="H3575" s="8"/>
      <c r="I3575" s="8"/>
    </row>
    <row r="3576" spans="1:9" ht="14.25" customHeight="1" x14ac:dyDescent="0.25">
      <c r="A3576" s="7"/>
      <c r="B3576" s="8"/>
      <c r="C3576" s="8"/>
      <c r="D3576" s="8"/>
      <c r="E3576" s="8"/>
      <c r="F3576" s="12"/>
      <c r="H3576" s="8"/>
      <c r="I3576" s="8"/>
    </row>
    <row r="3577" spans="1:9" ht="14.25" customHeight="1" x14ac:dyDescent="0.25">
      <c r="A3577" s="7"/>
      <c r="B3577" s="8"/>
      <c r="C3577" s="8"/>
      <c r="D3577" s="8"/>
      <c r="E3577" s="8"/>
      <c r="F3577" s="12"/>
      <c r="H3577" s="8"/>
      <c r="I3577" s="8"/>
    </row>
    <row r="3578" spans="1:9" ht="14.25" customHeight="1" x14ac:dyDescent="0.25">
      <c r="A3578" s="7"/>
      <c r="B3578" s="8"/>
      <c r="C3578" s="8"/>
      <c r="D3578" s="8"/>
      <c r="E3578" s="8"/>
      <c r="F3578" s="12"/>
      <c r="H3578" s="8"/>
      <c r="I3578" s="8"/>
    </row>
    <row r="3579" spans="1:9" ht="14.25" customHeight="1" x14ac:dyDescent="0.25">
      <c r="A3579" s="7"/>
      <c r="B3579" s="8"/>
      <c r="C3579" s="8"/>
      <c r="D3579" s="8"/>
      <c r="E3579" s="8"/>
      <c r="F3579" s="12"/>
      <c r="H3579" s="8"/>
      <c r="I3579" s="8"/>
    </row>
    <row r="3580" spans="1:9" ht="14.25" customHeight="1" x14ac:dyDescent="0.25">
      <c r="A3580" s="7"/>
      <c r="B3580" s="8"/>
      <c r="C3580" s="8"/>
      <c r="D3580" s="8"/>
      <c r="E3580" s="8"/>
      <c r="F3580" s="12"/>
      <c r="H3580" s="8"/>
      <c r="I3580" s="8"/>
    </row>
    <row r="3581" spans="1:9" ht="14.25" customHeight="1" x14ac:dyDescent="0.25">
      <c r="A3581" s="7"/>
      <c r="B3581" s="8"/>
      <c r="C3581" s="8"/>
      <c r="D3581" s="8"/>
      <c r="E3581" s="8"/>
      <c r="F3581" s="12"/>
      <c r="H3581" s="8"/>
      <c r="I3581" s="8"/>
    </row>
    <row r="3582" spans="1:9" ht="14.25" customHeight="1" x14ac:dyDescent="0.25">
      <c r="A3582" s="7"/>
      <c r="B3582" s="8"/>
      <c r="C3582" s="8"/>
      <c r="D3582" s="8"/>
      <c r="E3582" s="8"/>
      <c r="F3582" s="12"/>
      <c r="H3582" s="8"/>
      <c r="I3582" s="8"/>
    </row>
    <row r="3583" spans="1:9" ht="14.25" customHeight="1" x14ac:dyDescent="0.25">
      <c r="A3583" s="7"/>
      <c r="B3583" s="8"/>
      <c r="C3583" s="8"/>
      <c r="D3583" s="8"/>
      <c r="E3583" s="8"/>
      <c r="F3583" s="12"/>
      <c r="H3583" s="8"/>
      <c r="I3583" s="8"/>
    </row>
    <row r="3584" spans="1:9" ht="14.25" customHeight="1" x14ac:dyDescent="0.25">
      <c r="A3584" s="7"/>
      <c r="B3584" s="8"/>
      <c r="C3584" s="8"/>
      <c r="D3584" s="8"/>
      <c r="E3584" s="8"/>
      <c r="F3584" s="12"/>
      <c r="H3584" s="8"/>
      <c r="I3584" s="8"/>
    </row>
    <row r="3585" spans="1:9" ht="14.25" customHeight="1" x14ac:dyDescent="0.25">
      <c r="A3585" s="7"/>
      <c r="B3585" s="8"/>
      <c r="C3585" s="8"/>
      <c r="D3585" s="8"/>
      <c r="E3585" s="8"/>
      <c r="F3585" s="12"/>
      <c r="H3585" s="8"/>
      <c r="I3585" s="8"/>
    </row>
    <row r="3586" spans="1:9" ht="14.25" customHeight="1" x14ac:dyDescent="0.25">
      <c r="A3586" s="7"/>
      <c r="B3586" s="8"/>
      <c r="C3586" s="8"/>
      <c r="D3586" s="8"/>
      <c r="E3586" s="8"/>
      <c r="F3586" s="12"/>
      <c r="H3586" s="8"/>
      <c r="I3586" s="8"/>
    </row>
    <row r="3587" spans="1:9" ht="14.25" customHeight="1" x14ac:dyDescent="0.25">
      <c r="A3587" s="7"/>
      <c r="B3587" s="8"/>
      <c r="C3587" s="8"/>
      <c r="D3587" s="8"/>
      <c r="E3587" s="8"/>
      <c r="F3587" s="12"/>
      <c r="H3587" s="8"/>
      <c r="I3587" s="8"/>
    </row>
    <row r="3588" spans="1:9" ht="14.25" customHeight="1" x14ac:dyDescent="0.25">
      <c r="A3588" s="7"/>
      <c r="B3588" s="8"/>
      <c r="C3588" s="8"/>
      <c r="D3588" s="8"/>
      <c r="E3588" s="8"/>
      <c r="F3588" s="12"/>
      <c r="H3588" s="8"/>
      <c r="I3588" s="8"/>
    </row>
    <row r="3589" spans="1:9" ht="14.25" customHeight="1" x14ac:dyDescent="0.25">
      <c r="A3589" s="7"/>
      <c r="B3589" s="8"/>
      <c r="C3589" s="8"/>
      <c r="D3589" s="8"/>
      <c r="E3589" s="8"/>
      <c r="F3589" s="12"/>
      <c r="H3589" s="8"/>
      <c r="I3589" s="8"/>
    </row>
    <row r="3590" spans="1:9" ht="14.25" customHeight="1" x14ac:dyDescent="0.25">
      <c r="A3590" s="7"/>
      <c r="B3590" s="8"/>
      <c r="C3590" s="8"/>
      <c r="D3590" s="8"/>
      <c r="E3590" s="8"/>
      <c r="F3590" s="12"/>
      <c r="H3590" s="8"/>
      <c r="I3590" s="8"/>
    </row>
    <row r="3591" spans="1:9" ht="14.25" customHeight="1" x14ac:dyDescent="0.25">
      <c r="A3591" s="7"/>
      <c r="B3591" s="8"/>
      <c r="C3591" s="8"/>
      <c r="D3591" s="8"/>
      <c r="E3591" s="8"/>
      <c r="F3591" s="12"/>
      <c r="H3591" s="8"/>
      <c r="I3591" s="8"/>
    </row>
    <row r="3592" spans="1:9" ht="14.25" customHeight="1" x14ac:dyDescent="0.25">
      <c r="A3592" s="7"/>
      <c r="B3592" s="8"/>
      <c r="C3592" s="8"/>
      <c r="D3592" s="8"/>
      <c r="E3592" s="8"/>
      <c r="F3592" s="12"/>
      <c r="H3592" s="8"/>
      <c r="I3592" s="8"/>
    </row>
    <row r="3593" spans="1:9" ht="14.25" customHeight="1" x14ac:dyDescent="0.25">
      <c r="A3593" s="7"/>
      <c r="B3593" s="8"/>
      <c r="C3593" s="8"/>
      <c r="D3593" s="8"/>
      <c r="E3593" s="8"/>
      <c r="F3593" s="12"/>
      <c r="H3593" s="8"/>
      <c r="I3593" s="8"/>
    </row>
    <row r="3594" spans="1:9" ht="14.25" customHeight="1" x14ac:dyDescent="0.25">
      <c r="A3594" s="7"/>
      <c r="B3594" s="8"/>
      <c r="C3594" s="8"/>
      <c r="D3594" s="8"/>
      <c r="E3594" s="8"/>
      <c r="F3594" s="12"/>
      <c r="H3594" s="8"/>
      <c r="I3594" s="8"/>
    </row>
    <row r="3595" spans="1:9" ht="14.25" customHeight="1" x14ac:dyDescent="0.25">
      <c r="A3595" s="7"/>
      <c r="B3595" s="8"/>
      <c r="C3595" s="8"/>
      <c r="D3595" s="8"/>
      <c r="E3595" s="8"/>
      <c r="F3595" s="12"/>
      <c r="H3595" s="8"/>
      <c r="I3595" s="8"/>
    </row>
    <row r="3596" spans="1:9" ht="14.25" customHeight="1" x14ac:dyDescent="0.25">
      <c r="A3596" s="7"/>
      <c r="B3596" s="8"/>
      <c r="C3596" s="8"/>
      <c r="D3596" s="8"/>
      <c r="E3596" s="8"/>
      <c r="F3596" s="12"/>
      <c r="H3596" s="8"/>
      <c r="I3596" s="8"/>
    </row>
    <row r="3597" spans="1:9" ht="14.25" customHeight="1" x14ac:dyDescent="0.25">
      <c r="A3597" s="7"/>
      <c r="B3597" s="8"/>
      <c r="C3597" s="8"/>
      <c r="D3597" s="8"/>
      <c r="E3597" s="8"/>
      <c r="F3597" s="12"/>
      <c r="H3597" s="8"/>
      <c r="I3597" s="8"/>
    </row>
    <row r="3598" spans="1:9" ht="14.25" customHeight="1" x14ac:dyDescent="0.25">
      <c r="A3598" s="7"/>
      <c r="B3598" s="8"/>
      <c r="C3598" s="8"/>
      <c r="D3598" s="8"/>
      <c r="E3598" s="8"/>
      <c r="F3598" s="12"/>
      <c r="H3598" s="8"/>
      <c r="I3598" s="8"/>
    </row>
    <row r="3599" spans="1:9" ht="14.25" customHeight="1" x14ac:dyDescent="0.25">
      <c r="A3599" s="7"/>
      <c r="B3599" s="8"/>
      <c r="C3599" s="8"/>
      <c r="D3599" s="8"/>
      <c r="E3599" s="8"/>
      <c r="F3599" s="12"/>
      <c r="H3599" s="8"/>
      <c r="I3599" s="8"/>
    </row>
    <row r="3600" spans="1:9" ht="14.25" customHeight="1" x14ac:dyDescent="0.25">
      <c r="A3600" s="7"/>
      <c r="B3600" s="8"/>
      <c r="C3600" s="8"/>
      <c r="D3600" s="8"/>
      <c r="E3600" s="8"/>
      <c r="F3600" s="12"/>
      <c r="H3600" s="8"/>
      <c r="I3600" s="8"/>
    </row>
    <row r="3601" spans="1:9" ht="14.25" customHeight="1" x14ac:dyDescent="0.25">
      <c r="A3601" s="7"/>
      <c r="B3601" s="8"/>
      <c r="C3601" s="8"/>
      <c r="D3601" s="8"/>
      <c r="E3601" s="8"/>
      <c r="F3601" s="12"/>
      <c r="H3601" s="8"/>
      <c r="I3601" s="8"/>
    </row>
    <row r="3602" spans="1:9" ht="14.25" customHeight="1" x14ac:dyDescent="0.25">
      <c r="A3602" s="7"/>
      <c r="B3602" s="8"/>
      <c r="C3602" s="8"/>
      <c r="D3602" s="8"/>
      <c r="E3602" s="8"/>
      <c r="F3602" s="12"/>
      <c r="H3602" s="8"/>
      <c r="I3602" s="8"/>
    </row>
    <row r="3603" spans="1:9" ht="14.25" customHeight="1" x14ac:dyDescent="0.25">
      <c r="A3603" s="7"/>
      <c r="B3603" s="8"/>
      <c r="C3603" s="8"/>
      <c r="D3603" s="8"/>
      <c r="E3603" s="8"/>
      <c r="F3603" s="12"/>
      <c r="H3603" s="8"/>
      <c r="I3603" s="8"/>
    </row>
    <row r="3604" spans="1:9" ht="14.25" customHeight="1" x14ac:dyDescent="0.25">
      <c r="A3604" s="7"/>
      <c r="B3604" s="8"/>
      <c r="C3604" s="8"/>
      <c r="D3604" s="8"/>
      <c r="E3604" s="8"/>
      <c r="F3604" s="12"/>
      <c r="H3604" s="8"/>
      <c r="I3604" s="8"/>
    </row>
    <row r="3605" spans="1:9" ht="14.25" customHeight="1" x14ac:dyDescent="0.25">
      <c r="A3605" s="7"/>
      <c r="B3605" s="8"/>
      <c r="C3605" s="8"/>
      <c r="D3605" s="8"/>
      <c r="E3605" s="8"/>
      <c r="F3605" s="12"/>
      <c r="H3605" s="8"/>
      <c r="I3605" s="8"/>
    </row>
    <row r="3606" spans="1:9" ht="14.25" customHeight="1" x14ac:dyDescent="0.25">
      <c r="A3606" s="7"/>
      <c r="B3606" s="8"/>
      <c r="C3606" s="8"/>
      <c r="D3606" s="8"/>
      <c r="E3606" s="8"/>
      <c r="F3606" s="12"/>
      <c r="H3606" s="8"/>
      <c r="I3606" s="8"/>
    </row>
    <row r="3607" spans="1:9" ht="14.25" customHeight="1" x14ac:dyDescent="0.25">
      <c r="A3607" s="7"/>
      <c r="B3607" s="8"/>
      <c r="C3607" s="8"/>
      <c r="D3607" s="8"/>
      <c r="E3607" s="8"/>
      <c r="F3607" s="12"/>
      <c r="H3607" s="8"/>
      <c r="I3607" s="8"/>
    </row>
    <row r="3608" spans="1:9" ht="14.25" customHeight="1" x14ac:dyDescent="0.25">
      <c r="A3608" s="7"/>
      <c r="B3608" s="8"/>
      <c r="C3608" s="8"/>
      <c r="D3608" s="8"/>
      <c r="E3608" s="8"/>
      <c r="F3608" s="12"/>
      <c r="H3608" s="8"/>
      <c r="I3608" s="8"/>
    </row>
    <row r="3609" spans="1:9" ht="14.25" customHeight="1" x14ac:dyDescent="0.25">
      <c r="A3609" s="7"/>
      <c r="B3609" s="8"/>
      <c r="C3609" s="8"/>
      <c r="D3609" s="8"/>
      <c r="E3609" s="8"/>
      <c r="F3609" s="12"/>
      <c r="H3609" s="8"/>
      <c r="I3609" s="8"/>
    </row>
    <row r="3610" spans="1:9" ht="14.25" customHeight="1" x14ac:dyDescent="0.25">
      <c r="A3610" s="7"/>
      <c r="B3610" s="8"/>
      <c r="C3610" s="8"/>
      <c r="D3610" s="8"/>
      <c r="E3610" s="8"/>
      <c r="F3610" s="12"/>
      <c r="H3610" s="8"/>
      <c r="I3610" s="8"/>
    </row>
    <row r="3611" spans="1:9" ht="14.25" customHeight="1" x14ac:dyDescent="0.25">
      <c r="A3611" s="7"/>
      <c r="B3611" s="8"/>
      <c r="C3611" s="8"/>
      <c r="D3611" s="8"/>
      <c r="E3611" s="8"/>
      <c r="F3611" s="12"/>
      <c r="H3611" s="8"/>
      <c r="I3611" s="8"/>
    </row>
    <row r="3612" spans="1:9" ht="14.25" customHeight="1" x14ac:dyDescent="0.25">
      <c r="A3612" s="7"/>
      <c r="B3612" s="8"/>
      <c r="C3612" s="8"/>
      <c r="D3612" s="8"/>
      <c r="E3612" s="8"/>
      <c r="F3612" s="12"/>
      <c r="H3612" s="8"/>
      <c r="I3612" s="8"/>
    </row>
    <row r="3613" spans="1:9" ht="14.25" customHeight="1" x14ac:dyDescent="0.25">
      <c r="A3613" s="7"/>
      <c r="B3613" s="8"/>
      <c r="C3613" s="8"/>
      <c r="D3613" s="8"/>
      <c r="E3613" s="8"/>
      <c r="F3613" s="12"/>
      <c r="H3613" s="8"/>
      <c r="I3613" s="8"/>
    </row>
    <row r="3614" spans="1:9" ht="14.25" customHeight="1" x14ac:dyDescent="0.25">
      <c r="A3614" s="7"/>
      <c r="B3614" s="8"/>
      <c r="C3614" s="8"/>
      <c r="D3614" s="8"/>
      <c r="E3614" s="8"/>
      <c r="F3614" s="12"/>
      <c r="H3614" s="8"/>
      <c r="I3614" s="8"/>
    </row>
    <row r="3615" spans="1:9" ht="14.25" customHeight="1" x14ac:dyDescent="0.25">
      <c r="A3615" s="7"/>
      <c r="B3615" s="8"/>
      <c r="C3615" s="8"/>
      <c r="D3615" s="8"/>
      <c r="E3615" s="8"/>
      <c r="F3615" s="12"/>
      <c r="H3615" s="8"/>
      <c r="I3615" s="8"/>
    </row>
    <row r="3616" spans="1:9" ht="14.25" customHeight="1" x14ac:dyDescent="0.25">
      <c r="A3616" s="7"/>
      <c r="B3616" s="8"/>
      <c r="C3616" s="8"/>
      <c r="D3616" s="8"/>
      <c r="E3616" s="8"/>
      <c r="F3616" s="12"/>
      <c r="H3616" s="8"/>
      <c r="I3616" s="8"/>
    </row>
    <row r="3617" spans="1:9" ht="14.25" customHeight="1" x14ac:dyDescent="0.25">
      <c r="A3617" s="7"/>
      <c r="B3617" s="8"/>
      <c r="C3617" s="8"/>
      <c r="D3617" s="8"/>
      <c r="E3617" s="8"/>
      <c r="F3617" s="12"/>
      <c r="H3617" s="8"/>
      <c r="I3617" s="8"/>
    </row>
    <row r="3618" spans="1:9" ht="14.25" customHeight="1" x14ac:dyDescent="0.25">
      <c r="A3618" s="7"/>
      <c r="B3618" s="8"/>
      <c r="C3618" s="8"/>
      <c r="D3618" s="8"/>
      <c r="E3618" s="8"/>
      <c r="F3618" s="12"/>
      <c r="H3618" s="8"/>
      <c r="I3618" s="8"/>
    </row>
    <row r="3619" spans="1:9" ht="14.25" customHeight="1" x14ac:dyDescent="0.25">
      <c r="A3619" s="7"/>
      <c r="B3619" s="8"/>
      <c r="C3619" s="8"/>
      <c r="D3619" s="8"/>
      <c r="E3619" s="8"/>
      <c r="F3619" s="12"/>
      <c r="H3619" s="8"/>
      <c r="I3619" s="8"/>
    </row>
    <row r="3620" spans="1:9" ht="14.25" customHeight="1" x14ac:dyDescent="0.25">
      <c r="A3620" s="7"/>
      <c r="B3620" s="8"/>
      <c r="C3620" s="8"/>
      <c r="D3620" s="8"/>
      <c r="E3620" s="8"/>
      <c r="F3620" s="12"/>
      <c r="H3620" s="8"/>
      <c r="I3620" s="8"/>
    </row>
    <row r="3621" spans="1:9" ht="14.25" customHeight="1" x14ac:dyDescent="0.25">
      <c r="A3621" s="7"/>
      <c r="B3621" s="8"/>
      <c r="C3621" s="8"/>
      <c r="D3621" s="8"/>
      <c r="E3621" s="8"/>
      <c r="F3621" s="12"/>
      <c r="H3621" s="8"/>
      <c r="I3621" s="8"/>
    </row>
    <row r="3622" spans="1:9" ht="14.25" customHeight="1" x14ac:dyDescent="0.25">
      <c r="A3622" s="7"/>
      <c r="B3622" s="8"/>
      <c r="C3622" s="8"/>
      <c r="D3622" s="8"/>
      <c r="E3622" s="8"/>
      <c r="F3622" s="12"/>
      <c r="H3622" s="8"/>
      <c r="I3622" s="8"/>
    </row>
    <row r="3623" spans="1:9" ht="14.25" customHeight="1" x14ac:dyDescent="0.25">
      <c r="A3623" s="7"/>
      <c r="B3623" s="8"/>
      <c r="C3623" s="8"/>
      <c r="D3623" s="8"/>
      <c r="E3623" s="8"/>
      <c r="F3623" s="12"/>
      <c r="H3623" s="8"/>
      <c r="I3623" s="8"/>
    </row>
    <row r="3624" spans="1:9" ht="14.25" customHeight="1" x14ac:dyDescent="0.25">
      <c r="A3624" s="7"/>
      <c r="B3624" s="8"/>
      <c r="C3624" s="8"/>
      <c r="D3624" s="8"/>
      <c r="E3624" s="8"/>
      <c r="F3624" s="12"/>
      <c r="H3624" s="8"/>
      <c r="I3624" s="8"/>
    </row>
    <row r="3625" spans="1:9" ht="14.25" customHeight="1" x14ac:dyDescent="0.25">
      <c r="A3625" s="7"/>
      <c r="B3625" s="8"/>
      <c r="C3625" s="8"/>
      <c r="D3625" s="8"/>
      <c r="E3625" s="8"/>
      <c r="F3625" s="12"/>
      <c r="H3625" s="8"/>
      <c r="I3625" s="8"/>
    </row>
    <row r="3626" spans="1:9" ht="14.25" customHeight="1" x14ac:dyDescent="0.25">
      <c r="A3626" s="7"/>
      <c r="B3626" s="8"/>
      <c r="C3626" s="8"/>
      <c r="D3626" s="8"/>
      <c r="E3626" s="8"/>
      <c r="F3626" s="12"/>
      <c r="H3626" s="8"/>
      <c r="I3626" s="8"/>
    </row>
    <row r="3627" spans="1:9" ht="14.25" customHeight="1" x14ac:dyDescent="0.25">
      <c r="A3627" s="7"/>
      <c r="B3627" s="8"/>
      <c r="C3627" s="8"/>
      <c r="D3627" s="8"/>
      <c r="E3627" s="8"/>
      <c r="F3627" s="12"/>
      <c r="H3627" s="8"/>
      <c r="I3627" s="8"/>
    </row>
    <row r="3628" spans="1:9" ht="14.25" customHeight="1" x14ac:dyDescent="0.25">
      <c r="A3628" s="7"/>
      <c r="B3628" s="8"/>
      <c r="C3628" s="8"/>
      <c r="D3628" s="8"/>
      <c r="E3628" s="8"/>
      <c r="F3628" s="12"/>
      <c r="H3628" s="8"/>
      <c r="I3628" s="8"/>
    </row>
    <row r="3629" spans="1:9" ht="14.25" customHeight="1" x14ac:dyDescent="0.25">
      <c r="A3629" s="7"/>
      <c r="B3629" s="8"/>
      <c r="C3629" s="8"/>
      <c r="D3629" s="8"/>
      <c r="E3629" s="8"/>
      <c r="F3629" s="12"/>
      <c r="H3629" s="8"/>
      <c r="I3629" s="8"/>
    </row>
    <row r="3630" spans="1:9" ht="14.25" customHeight="1" x14ac:dyDescent="0.25">
      <c r="A3630" s="7"/>
      <c r="B3630" s="8"/>
      <c r="C3630" s="8"/>
      <c r="D3630" s="8"/>
      <c r="E3630" s="8"/>
      <c r="F3630" s="12"/>
      <c r="H3630" s="8"/>
      <c r="I3630" s="8"/>
    </row>
    <row r="3631" spans="1:9" ht="14.25" customHeight="1" x14ac:dyDescent="0.25">
      <c r="A3631" s="7"/>
      <c r="B3631" s="8"/>
      <c r="C3631" s="8"/>
      <c r="D3631" s="8"/>
      <c r="E3631" s="8"/>
      <c r="F3631" s="12"/>
      <c r="H3631" s="8"/>
      <c r="I3631" s="8"/>
    </row>
    <row r="3632" spans="1:9" ht="14.25" customHeight="1" x14ac:dyDescent="0.25">
      <c r="A3632" s="7"/>
      <c r="B3632" s="8"/>
      <c r="C3632" s="8"/>
      <c r="D3632" s="8"/>
      <c r="E3632" s="8"/>
      <c r="F3632" s="12"/>
      <c r="H3632" s="8"/>
      <c r="I3632" s="8"/>
    </row>
    <row r="3633" spans="1:9" ht="14.25" customHeight="1" x14ac:dyDescent="0.25">
      <c r="A3633" s="7"/>
      <c r="B3633" s="8"/>
      <c r="C3633" s="8"/>
      <c r="D3633" s="8"/>
      <c r="E3633" s="8"/>
      <c r="F3633" s="12"/>
      <c r="H3633" s="8"/>
      <c r="I3633" s="8"/>
    </row>
    <row r="3634" spans="1:9" ht="14.25" customHeight="1" x14ac:dyDescent="0.25">
      <c r="A3634" s="7"/>
      <c r="B3634" s="8"/>
      <c r="C3634" s="8"/>
      <c r="D3634" s="8"/>
      <c r="E3634" s="8"/>
      <c r="F3634" s="12"/>
      <c r="H3634" s="8"/>
      <c r="I3634" s="8"/>
    </row>
    <row r="3635" spans="1:9" ht="14.25" customHeight="1" x14ac:dyDescent="0.25">
      <c r="A3635" s="7"/>
      <c r="B3635" s="8"/>
      <c r="C3635" s="8"/>
      <c r="D3635" s="8"/>
      <c r="E3635" s="8"/>
      <c r="F3635" s="12"/>
      <c r="H3635" s="8"/>
      <c r="I3635" s="8"/>
    </row>
    <row r="3636" spans="1:9" ht="14.25" customHeight="1" x14ac:dyDescent="0.25">
      <c r="A3636" s="7"/>
      <c r="B3636" s="8"/>
      <c r="C3636" s="8"/>
      <c r="D3636" s="8"/>
      <c r="E3636" s="8"/>
      <c r="F3636" s="12"/>
      <c r="H3636" s="8"/>
      <c r="I3636" s="8"/>
    </row>
    <row r="3637" spans="1:9" ht="14.25" customHeight="1" x14ac:dyDescent="0.25">
      <c r="A3637" s="7"/>
      <c r="B3637" s="8"/>
      <c r="C3637" s="8"/>
      <c r="D3637" s="8"/>
      <c r="E3637" s="8"/>
      <c r="F3637" s="12"/>
      <c r="H3637" s="8"/>
      <c r="I3637" s="8"/>
    </row>
    <row r="3638" spans="1:9" ht="14.25" customHeight="1" x14ac:dyDescent="0.25">
      <c r="A3638" s="7"/>
      <c r="B3638" s="8"/>
      <c r="C3638" s="8"/>
      <c r="D3638" s="8"/>
      <c r="E3638" s="8"/>
      <c r="F3638" s="12"/>
      <c r="H3638" s="8"/>
      <c r="I3638" s="8"/>
    </row>
    <row r="3639" spans="1:9" ht="14.25" customHeight="1" x14ac:dyDescent="0.25">
      <c r="A3639" s="7"/>
      <c r="B3639" s="8"/>
      <c r="C3639" s="8"/>
      <c r="D3639" s="8"/>
      <c r="E3639" s="8"/>
      <c r="F3639" s="12"/>
      <c r="H3639" s="8"/>
      <c r="I3639" s="8"/>
    </row>
    <row r="3640" spans="1:9" ht="14.25" customHeight="1" x14ac:dyDescent="0.25">
      <c r="A3640" s="7"/>
      <c r="B3640" s="8"/>
      <c r="C3640" s="8"/>
      <c r="D3640" s="8"/>
      <c r="E3640" s="8"/>
      <c r="F3640" s="12"/>
      <c r="H3640" s="8"/>
      <c r="I3640" s="8"/>
    </row>
    <row r="3641" spans="1:9" ht="14.25" customHeight="1" x14ac:dyDescent="0.25">
      <c r="A3641" s="7"/>
      <c r="B3641" s="8"/>
      <c r="C3641" s="8"/>
      <c r="D3641" s="8"/>
      <c r="E3641" s="8"/>
      <c r="F3641" s="12"/>
      <c r="H3641" s="8"/>
      <c r="I3641" s="8"/>
    </row>
    <row r="3642" spans="1:9" ht="14.25" customHeight="1" x14ac:dyDescent="0.25">
      <c r="A3642" s="7"/>
      <c r="B3642" s="8"/>
      <c r="C3642" s="8"/>
      <c r="D3642" s="8"/>
      <c r="E3642" s="8"/>
      <c r="F3642" s="12"/>
      <c r="H3642" s="8"/>
      <c r="I3642" s="8"/>
    </row>
    <row r="3643" spans="1:9" ht="14.25" customHeight="1" x14ac:dyDescent="0.25">
      <c r="A3643" s="7"/>
      <c r="B3643" s="8"/>
      <c r="C3643" s="8"/>
      <c r="D3643" s="8"/>
      <c r="E3643" s="8"/>
      <c r="F3643" s="12"/>
      <c r="H3643" s="8"/>
      <c r="I3643" s="8"/>
    </row>
    <row r="3644" spans="1:9" ht="14.25" customHeight="1" x14ac:dyDescent="0.25">
      <c r="A3644" s="7"/>
      <c r="B3644" s="8"/>
      <c r="C3644" s="8"/>
      <c r="D3644" s="8"/>
      <c r="E3644" s="8"/>
      <c r="F3644" s="12"/>
      <c r="H3644" s="8"/>
      <c r="I3644" s="8"/>
    </row>
    <row r="3645" spans="1:9" ht="14.25" customHeight="1" x14ac:dyDescent="0.25">
      <c r="A3645" s="7"/>
      <c r="B3645" s="8"/>
      <c r="C3645" s="8"/>
      <c r="D3645" s="8"/>
      <c r="E3645" s="8"/>
      <c r="F3645" s="12"/>
      <c r="H3645" s="8"/>
      <c r="I3645" s="8"/>
    </row>
    <row r="3646" spans="1:9" ht="14.25" customHeight="1" x14ac:dyDescent="0.25">
      <c r="A3646" s="7"/>
      <c r="B3646" s="8"/>
      <c r="C3646" s="8"/>
      <c r="D3646" s="8"/>
      <c r="E3646" s="8"/>
      <c r="F3646" s="12"/>
      <c r="H3646" s="8"/>
      <c r="I3646" s="8"/>
    </row>
    <row r="3647" spans="1:9" ht="14.25" customHeight="1" x14ac:dyDescent="0.25">
      <c r="A3647" s="7"/>
      <c r="B3647" s="8"/>
      <c r="C3647" s="8"/>
      <c r="D3647" s="8"/>
      <c r="E3647" s="8"/>
      <c r="F3647" s="12"/>
      <c r="H3647" s="8"/>
      <c r="I3647" s="8"/>
    </row>
    <row r="3648" spans="1:9" ht="14.25" customHeight="1" x14ac:dyDescent="0.25">
      <c r="A3648" s="7"/>
      <c r="B3648" s="8"/>
      <c r="C3648" s="8"/>
      <c r="D3648" s="8"/>
      <c r="E3648" s="8"/>
      <c r="F3648" s="12"/>
      <c r="H3648" s="8"/>
      <c r="I3648" s="8"/>
    </row>
    <row r="3649" spans="1:9" ht="14.25" customHeight="1" x14ac:dyDescent="0.25">
      <c r="A3649" s="7"/>
      <c r="B3649" s="8"/>
      <c r="C3649" s="8"/>
      <c r="D3649" s="8"/>
      <c r="E3649" s="8"/>
      <c r="F3649" s="12"/>
      <c r="H3649" s="8"/>
      <c r="I3649" s="8"/>
    </row>
    <row r="3650" spans="1:9" ht="14.25" customHeight="1" x14ac:dyDescent="0.25">
      <c r="A3650" s="7"/>
      <c r="B3650" s="8"/>
      <c r="C3650" s="8"/>
      <c r="D3650" s="8"/>
      <c r="E3650" s="8"/>
      <c r="F3650" s="12"/>
      <c r="H3650" s="8"/>
      <c r="I3650" s="8"/>
    </row>
    <row r="3651" spans="1:9" ht="14.25" customHeight="1" x14ac:dyDescent="0.25">
      <c r="A3651" s="7"/>
      <c r="B3651" s="8"/>
      <c r="C3651" s="8"/>
      <c r="D3651" s="8"/>
      <c r="E3651" s="8"/>
      <c r="F3651" s="12"/>
      <c r="H3651" s="8"/>
      <c r="I3651" s="8"/>
    </row>
    <row r="3652" spans="1:9" ht="14.25" customHeight="1" x14ac:dyDescent="0.25">
      <c r="A3652" s="7"/>
      <c r="B3652" s="8"/>
      <c r="C3652" s="8"/>
      <c r="D3652" s="8"/>
      <c r="E3652" s="8"/>
      <c r="F3652" s="12"/>
      <c r="H3652" s="8"/>
      <c r="I3652" s="8"/>
    </row>
    <row r="3653" spans="1:9" ht="14.25" customHeight="1" x14ac:dyDescent="0.25">
      <c r="A3653" s="7"/>
      <c r="B3653" s="8"/>
      <c r="C3653" s="8"/>
      <c r="D3653" s="8"/>
      <c r="E3653" s="8"/>
      <c r="F3653" s="12"/>
      <c r="H3653" s="8"/>
      <c r="I3653" s="8"/>
    </row>
    <row r="3654" spans="1:9" ht="14.25" customHeight="1" x14ac:dyDescent="0.25">
      <c r="A3654" s="7"/>
      <c r="B3654" s="8"/>
      <c r="C3654" s="8"/>
      <c r="D3654" s="8"/>
      <c r="E3654" s="8"/>
      <c r="F3654" s="12"/>
      <c r="H3654" s="8"/>
      <c r="I3654" s="8"/>
    </row>
    <row r="3655" spans="1:9" ht="14.25" customHeight="1" x14ac:dyDescent="0.25">
      <c r="A3655" s="7"/>
      <c r="B3655" s="8"/>
      <c r="C3655" s="8"/>
      <c r="D3655" s="8"/>
      <c r="E3655" s="8"/>
      <c r="F3655" s="12"/>
      <c r="H3655" s="8"/>
      <c r="I3655" s="8"/>
    </row>
    <row r="3656" spans="1:9" ht="14.25" customHeight="1" x14ac:dyDescent="0.25">
      <c r="A3656" s="7"/>
      <c r="B3656" s="8"/>
      <c r="C3656" s="8"/>
      <c r="D3656" s="8"/>
      <c r="E3656" s="8"/>
      <c r="F3656" s="12"/>
      <c r="H3656" s="8"/>
      <c r="I3656" s="8"/>
    </row>
    <row r="3657" spans="1:9" ht="14.25" customHeight="1" x14ac:dyDescent="0.25">
      <c r="A3657" s="7"/>
      <c r="B3657" s="8"/>
      <c r="C3657" s="8"/>
      <c r="D3657" s="8"/>
      <c r="E3657" s="8"/>
      <c r="F3657" s="12"/>
      <c r="H3657" s="8"/>
      <c r="I3657" s="8"/>
    </row>
    <row r="3658" spans="1:9" ht="14.25" customHeight="1" x14ac:dyDescent="0.25">
      <c r="A3658" s="7"/>
      <c r="B3658" s="8"/>
      <c r="C3658" s="8"/>
      <c r="D3658" s="8"/>
      <c r="E3658" s="8"/>
      <c r="F3658" s="12"/>
      <c r="H3658" s="8"/>
      <c r="I3658" s="8"/>
    </row>
    <row r="3659" spans="1:9" ht="14.25" customHeight="1" x14ac:dyDescent="0.25">
      <c r="A3659" s="7"/>
      <c r="B3659" s="8"/>
      <c r="C3659" s="8"/>
      <c r="D3659" s="8"/>
      <c r="E3659" s="8"/>
      <c r="F3659" s="12"/>
      <c r="H3659" s="8"/>
      <c r="I3659" s="8"/>
    </row>
    <row r="3660" spans="1:9" ht="14.25" customHeight="1" x14ac:dyDescent="0.25">
      <c r="A3660" s="7"/>
      <c r="B3660" s="8"/>
      <c r="C3660" s="8"/>
      <c r="D3660" s="8"/>
      <c r="E3660" s="8"/>
      <c r="F3660" s="12"/>
      <c r="H3660" s="8"/>
      <c r="I3660" s="8"/>
    </row>
    <row r="3661" spans="1:9" ht="14.25" customHeight="1" x14ac:dyDescent="0.25">
      <c r="A3661" s="7"/>
      <c r="B3661" s="8"/>
      <c r="C3661" s="8"/>
      <c r="D3661" s="8"/>
      <c r="E3661" s="8"/>
      <c r="F3661" s="12"/>
      <c r="H3661" s="8"/>
      <c r="I3661" s="8"/>
    </row>
    <row r="3662" spans="1:9" ht="14.25" customHeight="1" x14ac:dyDescent="0.25">
      <c r="A3662" s="7"/>
      <c r="B3662" s="8"/>
      <c r="C3662" s="8"/>
      <c r="D3662" s="8"/>
      <c r="E3662" s="8"/>
      <c r="F3662" s="12"/>
      <c r="H3662" s="8"/>
      <c r="I3662" s="8"/>
    </row>
    <row r="3663" spans="1:9" ht="14.25" customHeight="1" x14ac:dyDescent="0.25">
      <c r="A3663" s="7"/>
      <c r="B3663" s="8"/>
      <c r="C3663" s="8"/>
      <c r="D3663" s="8"/>
      <c r="E3663" s="8"/>
      <c r="F3663" s="12"/>
      <c r="H3663" s="8"/>
      <c r="I3663" s="8"/>
    </row>
    <row r="3664" spans="1:9" ht="14.25" customHeight="1" x14ac:dyDescent="0.25">
      <c r="A3664" s="7"/>
      <c r="B3664" s="8"/>
      <c r="C3664" s="8"/>
      <c r="D3664" s="8"/>
      <c r="E3664" s="8"/>
      <c r="F3664" s="12"/>
      <c r="H3664" s="8"/>
      <c r="I3664" s="8"/>
    </row>
    <row r="3665" spans="1:9" ht="14.25" customHeight="1" x14ac:dyDescent="0.25">
      <c r="A3665" s="7"/>
      <c r="B3665" s="8"/>
      <c r="C3665" s="8"/>
      <c r="D3665" s="8"/>
      <c r="E3665" s="8"/>
      <c r="F3665" s="12"/>
      <c r="H3665" s="8"/>
      <c r="I3665" s="8"/>
    </row>
    <row r="3666" spans="1:9" ht="14.25" customHeight="1" x14ac:dyDescent="0.25">
      <c r="A3666" s="7"/>
      <c r="B3666" s="8"/>
      <c r="C3666" s="8"/>
      <c r="D3666" s="8"/>
      <c r="E3666" s="8"/>
      <c r="F3666" s="12"/>
      <c r="H3666" s="8"/>
      <c r="I3666" s="8"/>
    </row>
    <row r="3667" spans="1:9" ht="14.25" customHeight="1" x14ac:dyDescent="0.25">
      <c r="A3667" s="7"/>
      <c r="B3667" s="8"/>
      <c r="C3667" s="8"/>
      <c r="D3667" s="8"/>
      <c r="E3667" s="8"/>
      <c r="F3667" s="12"/>
      <c r="H3667" s="8"/>
      <c r="I3667" s="8"/>
    </row>
  </sheetData>
  <autoFilter ref="A3:I574" xr:uid="{00000000-0009-0000-0000-000000000000}"/>
  <conditionalFormatting sqref="B2387:C2387">
    <cfRule type="cellIs" dxfId="93" priority="5" operator="equal">
      <formula>0</formula>
    </cfRule>
    <cfRule type="expression" dxfId="92" priority="6">
      <formula>ISERROR(B2387)</formula>
    </cfRule>
  </conditionalFormatting>
  <conditionalFormatting sqref="B2951:C2951">
    <cfRule type="cellIs" dxfId="91" priority="3" operator="equal">
      <formula>0</formula>
    </cfRule>
    <cfRule type="expression" dxfId="90" priority="4">
      <formula>ISERROR(B2951)</formula>
    </cfRule>
  </conditionalFormatting>
  <conditionalFormatting sqref="F2387">
    <cfRule type="cellIs" dxfId="89" priority="7" operator="equal">
      <formula>0</formula>
    </cfRule>
    <cfRule type="expression" dxfId="88" priority="8">
      <formula>ISERROR(F2387)</formula>
    </cfRule>
  </conditionalFormatting>
  <conditionalFormatting sqref="F2397">
    <cfRule type="cellIs" dxfId="87" priority="9" operator="equal">
      <formula>0</formula>
    </cfRule>
    <cfRule type="expression" dxfId="86" priority="10">
      <formula>ISERROR(F2397)</formula>
    </cfRule>
  </conditionalFormatting>
  <conditionalFormatting sqref="F2951">
    <cfRule type="cellIs" dxfId="85" priority="1" operator="equal">
      <formula>0</formula>
    </cfRule>
    <cfRule type="expression" dxfId="84" priority="2">
      <formula>ISERROR(F2951)</formula>
    </cfRule>
  </conditionalFormatting>
  <hyperlinks>
    <hyperlink ref="F1525" r:id="rId1" xr:uid="{00000000-0004-0000-0000-000000000000}"/>
    <hyperlink ref="F1593" r:id="rId2" xr:uid="{00000000-0004-0000-0000-000001000000}"/>
    <hyperlink ref="F1655" r:id="rId3" xr:uid="{00000000-0004-0000-0000-000002000000}"/>
    <hyperlink ref="F1658" r:id="rId4" xr:uid="{00000000-0004-0000-0000-000003000000}"/>
    <hyperlink ref="F1670" r:id="rId5" xr:uid="{00000000-0004-0000-0000-000004000000}"/>
    <hyperlink ref="F1745" r:id="rId6" xr:uid="{00000000-0004-0000-0000-000005000000}"/>
    <hyperlink ref="F1783" r:id="rId7" xr:uid="{00000000-0004-0000-0000-000006000000}"/>
    <hyperlink ref="F1787" r:id="rId8" xr:uid="{00000000-0004-0000-0000-000007000000}"/>
    <hyperlink ref="F1788" r:id="rId9" xr:uid="{00000000-0004-0000-0000-000008000000}"/>
    <hyperlink ref="F1790" r:id="rId10" xr:uid="{00000000-0004-0000-0000-000009000000}"/>
    <hyperlink ref="F1791" r:id="rId11" xr:uid="{00000000-0004-0000-0000-00000A000000}"/>
    <hyperlink ref="F1806" r:id="rId12" xr:uid="{00000000-0004-0000-0000-00000B000000}"/>
    <hyperlink ref="F1816" r:id="rId13" xr:uid="{00000000-0004-0000-0000-00000C000000}"/>
    <hyperlink ref="F1833" r:id="rId14" xr:uid="{00000000-0004-0000-0000-00000D000000}"/>
    <hyperlink ref="F1848" r:id="rId15" xr:uid="{00000000-0004-0000-0000-00000E000000}"/>
    <hyperlink ref="F1858" r:id="rId16" xr:uid="{00000000-0004-0000-0000-00000F000000}"/>
    <hyperlink ref="F1880" r:id="rId17" xr:uid="{00000000-0004-0000-0000-000010000000}"/>
    <hyperlink ref="F1893" r:id="rId18" xr:uid="{00000000-0004-0000-0000-000011000000}"/>
    <hyperlink ref="F1894" r:id="rId19" xr:uid="{00000000-0004-0000-0000-000012000000}"/>
    <hyperlink ref="F1896" r:id="rId20" xr:uid="{00000000-0004-0000-0000-000013000000}"/>
    <hyperlink ref="F1897" r:id="rId21" xr:uid="{00000000-0004-0000-0000-000014000000}"/>
    <hyperlink ref="F1899" r:id="rId22" xr:uid="{00000000-0004-0000-0000-000015000000}"/>
    <hyperlink ref="F1900" r:id="rId23" xr:uid="{00000000-0004-0000-0000-000016000000}"/>
    <hyperlink ref="F1901" r:id="rId24" xr:uid="{00000000-0004-0000-0000-000017000000}"/>
    <hyperlink ref="F1914" r:id="rId25" xr:uid="{00000000-0004-0000-0000-000018000000}"/>
    <hyperlink ref="F1916" r:id="rId26" xr:uid="{00000000-0004-0000-0000-000019000000}"/>
    <hyperlink ref="F1917" r:id="rId27" xr:uid="{00000000-0004-0000-0000-00001A000000}"/>
    <hyperlink ref="F1918" r:id="rId28" xr:uid="{00000000-0004-0000-0000-00001B000000}"/>
    <hyperlink ref="F1919" r:id="rId29" xr:uid="{00000000-0004-0000-0000-00001C000000}"/>
    <hyperlink ref="F1920" r:id="rId30" xr:uid="{00000000-0004-0000-0000-00001D000000}"/>
    <hyperlink ref="F1922" r:id="rId31" xr:uid="{00000000-0004-0000-0000-00001E000000}"/>
    <hyperlink ref="F1923" r:id="rId32" xr:uid="{00000000-0004-0000-0000-00001F000000}"/>
    <hyperlink ref="F1924" r:id="rId33" xr:uid="{00000000-0004-0000-0000-000020000000}"/>
    <hyperlink ref="F1925" r:id="rId34" xr:uid="{00000000-0004-0000-0000-000021000000}"/>
    <hyperlink ref="F1926" r:id="rId35" xr:uid="{00000000-0004-0000-0000-000022000000}"/>
    <hyperlink ref="F1928" r:id="rId36" xr:uid="{00000000-0004-0000-0000-000023000000}"/>
    <hyperlink ref="F1929" r:id="rId37" xr:uid="{00000000-0004-0000-0000-000024000000}"/>
    <hyperlink ref="F1930" r:id="rId38" xr:uid="{00000000-0004-0000-0000-000025000000}"/>
    <hyperlink ref="F1931" r:id="rId39" xr:uid="{00000000-0004-0000-0000-000026000000}"/>
    <hyperlink ref="F1943" r:id="rId40" xr:uid="{00000000-0004-0000-0000-000027000000}"/>
    <hyperlink ref="F1944" r:id="rId41" xr:uid="{00000000-0004-0000-0000-000028000000}"/>
    <hyperlink ref="F1947" r:id="rId42" xr:uid="{00000000-0004-0000-0000-000029000000}"/>
    <hyperlink ref="F1950" r:id="rId43" xr:uid="{00000000-0004-0000-0000-00002A000000}"/>
    <hyperlink ref="F1960" r:id="rId44" xr:uid="{00000000-0004-0000-0000-00002B000000}"/>
    <hyperlink ref="F2002" r:id="rId45" xr:uid="{00000000-0004-0000-0000-00002C000000}"/>
    <hyperlink ref="F2006" r:id="rId46" xr:uid="{00000000-0004-0000-0000-00002D000000}"/>
    <hyperlink ref="F2049" r:id="rId47" xr:uid="{00000000-0004-0000-0000-00002E000000}"/>
    <hyperlink ref="F2055" r:id="rId48" xr:uid="{00000000-0004-0000-0000-00002F000000}"/>
    <hyperlink ref="F2058" r:id="rId49" xr:uid="{00000000-0004-0000-0000-000030000000}"/>
    <hyperlink ref="F2059" r:id="rId50" xr:uid="{00000000-0004-0000-0000-000031000000}"/>
    <hyperlink ref="F2060" r:id="rId51" xr:uid="{00000000-0004-0000-0000-000032000000}"/>
    <hyperlink ref="F2061" r:id="rId52" xr:uid="{00000000-0004-0000-0000-000033000000}"/>
    <hyperlink ref="F2063" r:id="rId53" xr:uid="{00000000-0004-0000-0000-000034000000}"/>
    <hyperlink ref="F2064" r:id="rId54" xr:uid="{00000000-0004-0000-0000-000035000000}"/>
    <hyperlink ref="F2066" r:id="rId55" xr:uid="{00000000-0004-0000-0000-000036000000}"/>
    <hyperlink ref="F2067" r:id="rId56" xr:uid="{00000000-0004-0000-0000-000037000000}"/>
    <hyperlink ref="F2068" r:id="rId57" xr:uid="{00000000-0004-0000-0000-000038000000}"/>
    <hyperlink ref="F2071" r:id="rId58" xr:uid="{00000000-0004-0000-0000-000039000000}"/>
    <hyperlink ref="F2081" r:id="rId59" xr:uid="{00000000-0004-0000-0000-00003A000000}"/>
    <hyperlink ref="F2117" r:id="rId60" xr:uid="{00000000-0004-0000-0000-00003B000000}"/>
    <hyperlink ref="F2118" r:id="rId61" xr:uid="{00000000-0004-0000-0000-00003C000000}"/>
    <hyperlink ref="F2119" r:id="rId62" xr:uid="{00000000-0004-0000-0000-00003D000000}"/>
    <hyperlink ref="F2120" r:id="rId63" xr:uid="{00000000-0004-0000-0000-00003E000000}"/>
    <hyperlink ref="F2121" r:id="rId64" xr:uid="{00000000-0004-0000-0000-00003F000000}"/>
    <hyperlink ref="F2122" r:id="rId65" xr:uid="{00000000-0004-0000-0000-000040000000}"/>
    <hyperlink ref="F2123" r:id="rId66" xr:uid="{00000000-0004-0000-0000-000041000000}"/>
    <hyperlink ref="F2178" r:id="rId67" xr:uid="{00000000-0004-0000-0000-000042000000}"/>
    <hyperlink ref="F2179" r:id="rId68" xr:uid="{00000000-0004-0000-0000-000043000000}"/>
    <hyperlink ref="F2234" r:id="rId69" xr:uid="{00000000-0004-0000-0000-000044000000}"/>
    <hyperlink ref="F2243" r:id="rId70" xr:uid="{00000000-0004-0000-0000-000045000000}"/>
    <hyperlink ref="F2244" r:id="rId71" xr:uid="{00000000-0004-0000-0000-000046000000}"/>
    <hyperlink ref="F2246" r:id="rId72" xr:uid="{00000000-0004-0000-0000-000047000000}"/>
    <hyperlink ref="F2270" r:id="rId73" xr:uid="{00000000-0004-0000-0000-000048000000}"/>
    <hyperlink ref="F2271" r:id="rId74" xr:uid="{00000000-0004-0000-0000-000049000000}"/>
    <hyperlink ref="F2272" r:id="rId75" xr:uid="{00000000-0004-0000-0000-00004A000000}"/>
    <hyperlink ref="F2278" r:id="rId76" xr:uid="{00000000-0004-0000-0000-00004B000000}"/>
    <hyperlink ref="F2279" r:id="rId77" xr:uid="{00000000-0004-0000-0000-00004C000000}"/>
    <hyperlink ref="F2280" r:id="rId78" xr:uid="{00000000-0004-0000-0000-00004D000000}"/>
    <hyperlink ref="F2281" r:id="rId79" xr:uid="{00000000-0004-0000-0000-00004E000000}"/>
    <hyperlink ref="F2282" r:id="rId80" xr:uid="{00000000-0004-0000-0000-00004F000000}"/>
    <hyperlink ref="F2283" r:id="rId81" xr:uid="{00000000-0004-0000-0000-000050000000}"/>
    <hyperlink ref="F2291" r:id="rId82" xr:uid="{00000000-0004-0000-0000-000051000000}"/>
    <hyperlink ref="F2292" r:id="rId83" xr:uid="{00000000-0004-0000-0000-000052000000}"/>
    <hyperlink ref="F2296" r:id="rId84" xr:uid="{00000000-0004-0000-0000-000053000000}"/>
    <hyperlink ref="F2303" r:id="rId85" xr:uid="{00000000-0004-0000-0000-000054000000}"/>
    <hyperlink ref="F2304" r:id="rId86" xr:uid="{00000000-0004-0000-0000-000055000000}"/>
    <hyperlink ref="F2317" r:id="rId87" xr:uid="{00000000-0004-0000-0000-000056000000}"/>
    <hyperlink ref="F2361" r:id="rId88" xr:uid="{00000000-0004-0000-0000-000057000000}"/>
    <hyperlink ref="F2362" r:id="rId89" xr:uid="{00000000-0004-0000-0000-000058000000}"/>
    <hyperlink ref="F2370" r:id="rId90" xr:uid="{00000000-0004-0000-0000-000059000000}"/>
    <hyperlink ref="F2371" r:id="rId91" xr:uid="{00000000-0004-0000-0000-00005A000000}"/>
    <hyperlink ref="F2372" r:id="rId92" xr:uid="{00000000-0004-0000-0000-00005B000000}"/>
    <hyperlink ref="F2373" r:id="rId93" xr:uid="{00000000-0004-0000-0000-00005C000000}"/>
    <hyperlink ref="F2374" r:id="rId94" xr:uid="{00000000-0004-0000-0000-00005D000000}"/>
    <hyperlink ref="F2375" r:id="rId95" xr:uid="{00000000-0004-0000-0000-00005E000000}"/>
    <hyperlink ref="F2382" r:id="rId96" xr:uid="{00000000-0004-0000-0000-00005F000000}"/>
    <hyperlink ref="F2384" r:id="rId97" xr:uid="{00000000-0004-0000-0000-000060000000}"/>
    <hyperlink ref="F2385" r:id="rId98" xr:uid="{00000000-0004-0000-0000-000061000000}"/>
    <hyperlink ref="F2393" r:id="rId99" xr:uid="{00000000-0004-0000-0000-000062000000}"/>
    <hyperlink ref="F2425" r:id="rId100" xr:uid="{00000000-0004-0000-0000-000063000000}"/>
    <hyperlink ref="F2426" r:id="rId101" xr:uid="{00000000-0004-0000-0000-000064000000}"/>
    <hyperlink ref="F2504" r:id="rId102" xr:uid="{00000000-0004-0000-0000-000065000000}"/>
    <hyperlink ref="F2505" r:id="rId103" xr:uid="{00000000-0004-0000-0000-000066000000}"/>
    <hyperlink ref="F2514" r:id="rId104" xr:uid="{00000000-0004-0000-0000-000067000000}"/>
    <hyperlink ref="F2515" r:id="rId105" xr:uid="{00000000-0004-0000-0000-000068000000}"/>
    <hyperlink ref="F2516" r:id="rId106" xr:uid="{00000000-0004-0000-0000-000069000000}"/>
    <hyperlink ref="F2517" r:id="rId107" xr:uid="{00000000-0004-0000-0000-00006A000000}"/>
    <hyperlink ref="F2519" r:id="rId108" xr:uid="{00000000-0004-0000-0000-00006B000000}"/>
    <hyperlink ref="F2520" r:id="rId109" xr:uid="{00000000-0004-0000-0000-00006C000000}"/>
    <hyperlink ref="F2521" r:id="rId110" xr:uid="{00000000-0004-0000-0000-00006D000000}"/>
    <hyperlink ref="F2525" r:id="rId111" xr:uid="{00000000-0004-0000-0000-00006E000000}"/>
    <hyperlink ref="F2527" r:id="rId112" xr:uid="{00000000-0004-0000-0000-00006F000000}"/>
    <hyperlink ref="F2535" r:id="rId113" xr:uid="{00000000-0004-0000-0000-000070000000}"/>
    <hyperlink ref="F2584" r:id="rId114" xr:uid="{00000000-0004-0000-0000-000071000000}"/>
    <hyperlink ref="F2588" r:id="rId115" xr:uid="{00000000-0004-0000-0000-000072000000}"/>
    <hyperlink ref="F2589" r:id="rId116" xr:uid="{00000000-0004-0000-0000-000073000000}"/>
    <hyperlink ref="F2593" r:id="rId117" xr:uid="{00000000-0004-0000-0000-000074000000}"/>
    <hyperlink ref="F2596" r:id="rId118" xr:uid="{00000000-0004-0000-0000-000075000000}"/>
    <hyperlink ref="F2599" r:id="rId119" xr:uid="{00000000-0004-0000-0000-000076000000}"/>
    <hyperlink ref="F2600" r:id="rId120" xr:uid="{00000000-0004-0000-0000-000077000000}"/>
    <hyperlink ref="F2601" r:id="rId121" xr:uid="{00000000-0004-0000-0000-000078000000}"/>
    <hyperlink ref="F2602" r:id="rId122" xr:uid="{00000000-0004-0000-0000-000079000000}"/>
    <hyperlink ref="F2604" r:id="rId123" xr:uid="{00000000-0004-0000-0000-00007A000000}"/>
    <hyperlink ref="F2606" r:id="rId124" xr:uid="{00000000-0004-0000-0000-00007B000000}"/>
    <hyperlink ref="F2607" r:id="rId125" xr:uid="{00000000-0004-0000-0000-00007C000000}"/>
    <hyperlink ref="F2608" r:id="rId126" xr:uid="{00000000-0004-0000-0000-00007D000000}"/>
    <hyperlink ref="F2609" r:id="rId127" xr:uid="{00000000-0004-0000-0000-00007E000000}"/>
    <hyperlink ref="F2610" r:id="rId128" xr:uid="{00000000-0004-0000-0000-00007F000000}"/>
    <hyperlink ref="F2611" r:id="rId129" xr:uid="{00000000-0004-0000-0000-000080000000}"/>
    <hyperlink ref="F2628" r:id="rId130" xr:uid="{00000000-0004-0000-0000-000081000000}"/>
    <hyperlink ref="F2629" r:id="rId131" xr:uid="{00000000-0004-0000-0000-000082000000}"/>
    <hyperlink ref="F2630" r:id="rId132" xr:uid="{00000000-0004-0000-0000-000083000000}"/>
    <hyperlink ref="F2631" r:id="rId133" xr:uid="{00000000-0004-0000-0000-000084000000}"/>
    <hyperlink ref="F2632" r:id="rId134" xr:uid="{00000000-0004-0000-0000-000085000000}"/>
    <hyperlink ref="F2646" r:id="rId135" xr:uid="{00000000-0004-0000-0000-000086000000}"/>
    <hyperlink ref="F2647" r:id="rId136" xr:uid="{00000000-0004-0000-0000-000087000000}"/>
    <hyperlink ref="F2657" r:id="rId137" xr:uid="{00000000-0004-0000-0000-000088000000}"/>
    <hyperlink ref="F2659" r:id="rId138" xr:uid="{00000000-0004-0000-0000-000089000000}"/>
    <hyperlink ref="F2660" r:id="rId139" xr:uid="{00000000-0004-0000-0000-00008A000000}"/>
    <hyperlink ref="F2702" r:id="rId140" xr:uid="{00000000-0004-0000-0000-00008B000000}"/>
    <hyperlink ref="F2709" r:id="rId141" xr:uid="{00000000-0004-0000-0000-00008C000000}"/>
    <hyperlink ref="F2716" r:id="rId142" xr:uid="{00000000-0004-0000-0000-00008D000000}"/>
    <hyperlink ref="F2728" r:id="rId143" xr:uid="{00000000-0004-0000-0000-00008E000000}"/>
    <hyperlink ref="F2756" r:id="rId144" xr:uid="{00000000-0004-0000-0000-00008F000000}"/>
    <hyperlink ref="F2757" r:id="rId145" xr:uid="{00000000-0004-0000-0000-000090000000}"/>
    <hyperlink ref="F2766" r:id="rId146" xr:uid="{00000000-0004-0000-0000-000091000000}"/>
    <hyperlink ref="F2767" r:id="rId147" xr:uid="{00000000-0004-0000-0000-000092000000}"/>
    <hyperlink ref="F2770" r:id="rId148" xr:uid="{00000000-0004-0000-0000-000093000000}"/>
    <hyperlink ref="F2772" r:id="rId149" display="javascript:void(0);" xr:uid="{21E08A28-9A6E-4A87-976F-FAD96605079F}"/>
    <hyperlink ref="F2773" r:id="rId150" display="javascript:void(0);" xr:uid="{01B66F64-1F6E-4CE1-8AF4-E52D46C757C9}"/>
    <hyperlink ref="F2774" r:id="rId151" display="javascript:void(0);" xr:uid="{00889C34-F270-4F0B-90D0-C65EEDC2DD37}"/>
    <hyperlink ref="F2775" r:id="rId152" display="javascript:void(0);" xr:uid="{3FA427F4-17E2-4A7D-A03C-66F4C5C2A6B2}"/>
    <hyperlink ref="F2776" r:id="rId153" display="javascript:void(0);" xr:uid="{7C2F9E16-96A4-4021-9A11-8FAFC169AF05}"/>
    <hyperlink ref="F2778" r:id="rId154" display="javascript:void(0);" xr:uid="{36F6E4DA-888F-4853-8CD8-15A60F7293D2}"/>
    <hyperlink ref="F2779" r:id="rId155" display="javascript:void(0);" xr:uid="{1C6CE3C3-1DDE-4BCC-944A-8C8705131AE9}"/>
    <hyperlink ref="F2782" r:id="rId156" xr:uid="{FEB1F671-39A2-473A-8548-13215E60D74C}"/>
    <hyperlink ref="F2783" r:id="rId157" display="javascript:void(0);" xr:uid="{206EBF97-36C0-4265-9C7D-8B4FDC04A3F4}"/>
    <hyperlink ref="F2785" r:id="rId158" display="javascript:void(0);" xr:uid="{E7B229D2-E1DC-41BA-BB2B-5911E44B1A39}"/>
    <hyperlink ref="F2786" r:id="rId159" display="javascript:void(0);" xr:uid="{AD325753-BFEE-41E5-A06A-2841609A538F}"/>
    <hyperlink ref="F2787" r:id="rId160" display="javascript:void(0);" xr:uid="{DE2323D9-C53A-4DDE-9C4C-4629D8AA0EC3}"/>
    <hyperlink ref="F2788" r:id="rId161" xr:uid="{945B575D-516D-4947-8201-1BDFFD3AD8F4}"/>
    <hyperlink ref="F2789" r:id="rId162" xr:uid="{2D149BFB-E8AC-6F44-A031-11B37C2AB7C8}"/>
    <hyperlink ref="F2790" r:id="rId163" xr:uid="{E82DB844-41A6-474B-A926-066A08619A01}"/>
    <hyperlink ref="F2791" r:id="rId164" display="javascript:void(0);" xr:uid="{F3DFFAEF-DFE1-4CEA-A0DF-B919ED3DB332}"/>
    <hyperlink ref="F2792" r:id="rId165" display="javascript:void(0);" xr:uid="{4E734C92-A087-4E42-93F6-B35F14383DC3}"/>
    <hyperlink ref="F2793" r:id="rId166" display="javascript:void(0);" xr:uid="{BA704B8E-0BFB-49E2-8D2D-956F54C4D97A}"/>
    <hyperlink ref="F2794" r:id="rId167" display="javascript:void(0);" xr:uid="{EE8F0310-D172-4AB4-AB78-D87F61879962}"/>
    <hyperlink ref="F2795" r:id="rId168" display="javascript:void(0);" xr:uid="{C3D9C3CD-C952-43EB-A4BD-A020CAB2E2C3}"/>
    <hyperlink ref="F2796" r:id="rId169" display="javascript:void(0);" xr:uid="{8FB323FA-11F2-4E7D-A428-647E09B3683C}"/>
    <hyperlink ref="F2797" r:id="rId170" display="javascript:void(0);" xr:uid="{0D86DCE1-8402-4BDD-B25B-6C53E3EFC372}"/>
    <hyperlink ref="F2798" r:id="rId171" display="javascript:void(0);" xr:uid="{0C553BAA-CE6B-4F7E-8C13-59CF2FDA8756}"/>
    <hyperlink ref="F2799" r:id="rId172" display="javascript:void(0);" xr:uid="{987489CE-3435-45E5-B08E-5C3E21186D2A}"/>
    <hyperlink ref="F2800" r:id="rId173" display="javascript:void(0);" xr:uid="{22570764-AE7F-41BC-9C86-85036EB8323B}"/>
    <hyperlink ref="F2801" r:id="rId174" display="javascript:void(0);" xr:uid="{8B0408C0-5859-416F-A292-BCEA26488294}"/>
    <hyperlink ref="F2802" r:id="rId175" display="javascript:void(0);" xr:uid="{A8D00F21-839B-4959-A5F2-A26DB20C4538}"/>
    <hyperlink ref="F2803" r:id="rId176" display="javascript:void(0);" xr:uid="{C1B39197-D903-4620-A472-7808A9A2AA26}"/>
    <hyperlink ref="F2804" r:id="rId177" display="javascript:void(0);" xr:uid="{683C1FF4-F103-4A17-A4FB-14B6A8741A9B}"/>
    <hyperlink ref="F2805" r:id="rId178" display="javascript:void(0);" xr:uid="{87293C7A-C32B-4F03-9621-B84BEDCCE6C9}"/>
    <hyperlink ref="F2806" r:id="rId179" display="javascript:void(0);" xr:uid="{589F256F-399A-4ED4-A805-AEE3CE4D96B5}"/>
    <hyperlink ref="F2807" r:id="rId180" display="javascript:void(0);" xr:uid="{1AD1469A-3338-4722-AAB7-EECC8B25FEA7}"/>
    <hyperlink ref="F2808" r:id="rId181" display="javascript:void(0);" xr:uid="{5C0AB804-5922-4482-A1C5-BF3B979AB276}"/>
    <hyperlink ref="F2809" r:id="rId182" display="javascript:void(0);" xr:uid="{891ECE92-6F68-4884-B05B-AAE133217A28}"/>
    <hyperlink ref="F2810" r:id="rId183" display="javascript:void(0);" xr:uid="{A633640E-974A-4297-9E35-8EFF0AB8F924}"/>
    <hyperlink ref="F2811" r:id="rId184" display="javascript:void(0);" xr:uid="{F97514CF-F404-48F9-996D-1AFBF612FCBB}"/>
    <hyperlink ref="F2812" r:id="rId185" display="javascript:void(0);" xr:uid="{5D7B3A9E-7721-4BC2-907B-8F028223DBE1}"/>
    <hyperlink ref="F2813" r:id="rId186" display="javascript:void(0);" xr:uid="{34708C93-E37C-4058-B40C-6F82D185C54C}"/>
    <hyperlink ref="F2814" r:id="rId187" display="javascript:void(0);" xr:uid="{F2A81B6B-48EA-475E-980B-D13309440652}"/>
    <hyperlink ref="F2815" r:id="rId188" display="javascript:void(0);" xr:uid="{4A8DF59A-91F8-4479-B682-FE630E8CB991}"/>
    <hyperlink ref="F2816" r:id="rId189" display="javascript:void(0);" xr:uid="{A4BAD3FE-1994-4D76-A0F9-6B3B089AC862}"/>
    <hyperlink ref="F2817" r:id="rId190" display="javascript:void(0);" xr:uid="{9EA46D79-942B-42C8-B1F1-F40C9E9078F2}"/>
    <hyperlink ref="F2819" r:id="rId191" display="javascript:void(0);" xr:uid="{E6772F77-AC06-43DD-8C5F-406C578505E8}"/>
    <hyperlink ref="F2820" r:id="rId192" display="javascript:void(0);" xr:uid="{D2FE632A-C8E8-4950-974B-151C9E6F44A5}"/>
    <hyperlink ref="F2821" r:id="rId193" display="javascript:void(0);" xr:uid="{736EA8A6-7DB3-49D8-9C6E-F0519CF39D87}"/>
    <hyperlink ref="F2822" r:id="rId194" display="javascript:void(0);" xr:uid="{6E687603-6710-4440-8E77-CB622F87E9F9}"/>
    <hyperlink ref="F2823" r:id="rId195" xr:uid="{7A524781-6A89-334B-BECB-B100C67E56D2}"/>
    <hyperlink ref="F2824" r:id="rId196" xr:uid="{61983210-0C5A-5046-BD5B-89EF5E9B95CA}"/>
    <hyperlink ref="F2825" r:id="rId197" display="javascript:void(0);" xr:uid="{2DA7EE0F-FF78-42BF-9E10-715F60D83D2C}"/>
    <hyperlink ref="F2826" r:id="rId198" display="javascript:void(0);" xr:uid="{0D47EC48-E26B-465C-939D-7D9B79F426B4}"/>
    <hyperlink ref="F2827" r:id="rId199" display="javascript:void(0);" xr:uid="{40C108D7-E230-46B3-A91C-FF29EF736630}"/>
    <hyperlink ref="F2828" r:id="rId200" display="javascript:void(0);" xr:uid="{70E22AD4-ECB3-49AD-AAEF-2EE9E46E95AA}"/>
    <hyperlink ref="F2829" r:id="rId201" display="javascript:void(0);" xr:uid="{6FBE18CC-9933-4937-88A0-B6F440FB01C6}"/>
    <hyperlink ref="F2831" r:id="rId202" display="javascript:void(0);" xr:uid="{4BCA3FBC-6DD9-458A-8BAC-8041B3A65A78}"/>
    <hyperlink ref="F2832" r:id="rId203" display="javascript:void(0);" xr:uid="{6A6EC8FD-D8ED-48DC-A576-4A156E046960}"/>
    <hyperlink ref="F2833" r:id="rId204" display="javascript:void(0);" xr:uid="{767F3149-BDB5-4BCD-A19A-0AB175F14C4D}"/>
    <hyperlink ref="F2835" r:id="rId205" display="javascript:void(0);" xr:uid="{F06433F2-85FE-4392-A8FB-562A6FAB3BF7}"/>
    <hyperlink ref="F2836" r:id="rId206" display="javascript:void(0);" xr:uid="{CF9AD1F3-02ED-4E5B-A56A-F4192B09F138}"/>
    <hyperlink ref="F2837" r:id="rId207" xr:uid="{06A8117E-2DB4-8F4D-A23F-14F658D28DBD}"/>
    <hyperlink ref="F2838" r:id="rId208" xr:uid="{A8605BBE-2AB7-9741-98F1-87BA1B039845}"/>
    <hyperlink ref="F2839" r:id="rId209" display="javascript:void(0);" xr:uid="{8E8A7DA0-4469-47FB-9264-4F91F2DAF02E}"/>
    <hyperlink ref="F2840" r:id="rId210" xr:uid="{8C585FA0-0484-5D4D-BC4A-B091D76C7E9F}"/>
    <hyperlink ref="F2841" r:id="rId211" display="javascript:void(0);" xr:uid="{85E6DA24-135F-46C8-ABAD-A767E661C0A6}"/>
    <hyperlink ref="F2842" r:id="rId212" display="javascript:void(0);" xr:uid="{4B6C4D22-664E-41F6-89B2-791A84707ADF}"/>
    <hyperlink ref="F2844" r:id="rId213" display="javascript:void(0);" xr:uid="{90807374-B5B2-488D-BBD1-0DE101AFCA60}"/>
    <hyperlink ref="F2845" r:id="rId214" display="javascript:void(0);" xr:uid="{A21DF438-EEA8-4F40-ADDB-8649D3386A2F}"/>
    <hyperlink ref="F2846" r:id="rId215" display="javascript:void(0);" xr:uid="{99E33595-6919-4EA2-BB79-3027ADC52D68}"/>
    <hyperlink ref="F2847" r:id="rId216" display="javascript:void(0);" xr:uid="{342266A9-C0C2-471C-B800-418A986A09DD}"/>
    <hyperlink ref="F2848" r:id="rId217" display="javascript:void(0);" xr:uid="{5E0A2AA6-1033-4013-8C1F-BCB91E6AC02C}"/>
    <hyperlink ref="F2849" r:id="rId218" display="javascript:void(0);" xr:uid="{9D808890-BAA8-4B87-B29B-E38F489247BA}"/>
    <hyperlink ref="F2850" r:id="rId219" display="javascript:void(0);" xr:uid="{A9A773B1-47D3-4E2C-8643-F127F555D1C8}"/>
    <hyperlink ref="F2852" r:id="rId220" display="javascript:void(0);" xr:uid="{9B8CE662-8EE0-4323-A612-02E46C65B142}"/>
    <hyperlink ref="F2853" r:id="rId221" display="javascript:void(0);" xr:uid="{0518E96F-BE67-4AB0-BE67-62F73A34191C}"/>
    <hyperlink ref="F2854" r:id="rId222" display="javascript:void(0);" xr:uid="{370CABC7-3902-4BEF-B9C7-B88854EE6E71}"/>
    <hyperlink ref="F2856" r:id="rId223" display="javascript:void(0);" xr:uid="{7B341BAA-E831-486F-B04E-3086C8E746B1}"/>
    <hyperlink ref="F2857" r:id="rId224" display="javascript:void(0);" xr:uid="{D5523BC2-9494-44BC-9C79-8CEC368BC3F2}"/>
    <hyperlink ref="F2858" r:id="rId225" display="javascript:void(0);" xr:uid="{9734B4C1-5D37-4F34-BD27-3D0AE9BA41C8}"/>
    <hyperlink ref="F2859" r:id="rId226" display="javascript:void(0);" xr:uid="{3A06EB5F-D539-4473-93B5-ABFC15B40320}"/>
    <hyperlink ref="F2860" r:id="rId227" display="javascript:void(0);" xr:uid="{324925D8-EAAE-4A31-96D6-7403FA47E20F}"/>
    <hyperlink ref="F2861" r:id="rId228" display="javascript:void(0);" xr:uid="{2BA2D795-D438-476D-B89B-DC7ABEA7119F}"/>
    <hyperlink ref="F2862" r:id="rId229" display="javascript:void(0);" xr:uid="{4FD29FB2-7C92-42BB-9C39-6EE03B1F72EB}"/>
    <hyperlink ref="F2863" r:id="rId230" display="javascript:void(0);" xr:uid="{FD6CC8F4-2CD6-485C-B3C0-C0ACC90CDD36}"/>
    <hyperlink ref="F2866" r:id="rId231" display="javascript:void(0);" xr:uid="{9A10DBF9-E42F-45E6-AB2B-4EC102012E90}"/>
    <hyperlink ref="F2851" r:id="rId232" display="javascript:void(0);" xr:uid="{0B3DC3E2-8E21-4728-B34C-56F835616F6C}"/>
    <hyperlink ref="F2867" r:id="rId233" display="javascript:void(0);" xr:uid="{0E9D0AC8-4782-4027-8008-E3F2D2B02732}"/>
    <hyperlink ref="F2868" r:id="rId234" display="javascript:void(0);" xr:uid="{33F6258A-96A9-4BD1-94A1-95E5F06ED045}"/>
    <hyperlink ref="F2869" r:id="rId235" display="javascript:void(0);" xr:uid="{5AEB5D7A-A1F2-46D6-B67A-C05084D4C09A}"/>
    <hyperlink ref="F2870" r:id="rId236" display="javascript:void(0);" xr:uid="{14254BCD-78E9-43FB-ADEE-51036568C880}"/>
    <hyperlink ref="F2871" r:id="rId237" display="javascript:void(0);" xr:uid="{0B1EA5A3-E6A0-4BD0-96DD-DA114EFE61C2}"/>
    <hyperlink ref="F2873" r:id="rId238" display="javascript:void(0);" xr:uid="{FCA86924-FB1C-4032-B4B9-F7B8CCCCDA7F}"/>
    <hyperlink ref="F2874" r:id="rId239" display="javascript:void(0);" xr:uid="{3999AE47-3451-4EFF-908C-F478F7C32CC2}"/>
    <hyperlink ref="F2875" r:id="rId240" display="javascript:void(0);" xr:uid="{DE0AE455-4429-406A-B98C-DE94CC0F31E4}"/>
    <hyperlink ref="F2876" r:id="rId241" display="javascript:void(0);" xr:uid="{E1953C02-7E1A-4B21-BDE4-709FC1B4C68D}"/>
    <hyperlink ref="F2877" r:id="rId242" display="javascript:void(0);" xr:uid="{9CEB0997-08E5-490C-9094-D48F3CB9EC04}"/>
    <hyperlink ref="F2878" r:id="rId243" display="javascript:void(0);" xr:uid="{48AC72A8-865E-422C-9CDD-D00BEDB58F30}"/>
    <hyperlink ref="F2879" r:id="rId244" display="javascript:void(0);" xr:uid="{8DA5EC05-2700-4AA6-B11A-E299A646C6AD}"/>
    <hyperlink ref="F2880" r:id="rId245" display="javascript:void(0);" xr:uid="{68FA9B22-1713-4511-B7CE-E0D30046E473}"/>
    <hyperlink ref="F2881" r:id="rId246" display="javascript:void(0);" xr:uid="{D77019D0-08B7-4959-A9BB-E1CF40F32AC1}"/>
    <hyperlink ref="F2882" r:id="rId247" display="javascript:void(0);" xr:uid="{61AF883F-1758-4BAD-A400-0B35E866FFA7}"/>
    <hyperlink ref="F2883" r:id="rId248" display="javascript:void(0);" xr:uid="{58EE9F01-40AB-43DA-8F5F-3422AF7DD9AF}"/>
    <hyperlink ref="F2884" r:id="rId249" display="javascript:void(0);" xr:uid="{D893DDA7-4FB7-44D7-9E89-B8F0A666D6DE}"/>
    <hyperlink ref="F2885" r:id="rId250" display="javascript:void(0);" xr:uid="{2156A5DC-D355-4C39-90F2-D3178A120CE8}"/>
    <hyperlink ref="F2886" r:id="rId251" display="javascript:void(0);" xr:uid="{CFD2F31F-37EE-4352-9D5B-330CDF76FDE0}"/>
    <hyperlink ref="F2887" r:id="rId252" display="javascript:void(0);" xr:uid="{0899D155-E870-4C5F-BF9B-B0E11D9E735A}"/>
    <hyperlink ref="F2888" r:id="rId253" display="javascript:void(0);" xr:uid="{44E6BF41-1339-4113-BA47-EC478BB4E92B}"/>
    <hyperlink ref="F2890" r:id="rId254" display="javascript:void(0);" xr:uid="{33A2DBA9-D7D8-4498-A52E-DEA2ACED2C1B}"/>
    <hyperlink ref="F2889" r:id="rId255" display="javascript:void(0);" xr:uid="{F23865A7-3C54-46E1-AFBE-821D1634D593}"/>
    <hyperlink ref="F2891" r:id="rId256" display="javascript:void(0);" xr:uid="{09EA4206-3AA5-45A0-B126-ED3DA45E970B}"/>
    <hyperlink ref="F2892" r:id="rId257" display="javascript:void(0);" xr:uid="{9497C541-7070-4335-8DC4-E9B3C654D187}"/>
    <hyperlink ref="F2893" r:id="rId258" display="javascript:void(0);" xr:uid="{38396936-D8FB-4D84-B373-AD7C54DFB472}"/>
    <hyperlink ref="F2894" r:id="rId259" display="javascript:void(0);" xr:uid="{9D00B89E-BDE7-43A4-827B-D9BDB9CD5663}"/>
    <hyperlink ref="F2895" r:id="rId260" display="javascript:void(0);" xr:uid="{DF914AE2-8E01-45D5-B3AF-96FE01D43F73}"/>
    <hyperlink ref="F2896" r:id="rId261" display="javascript:void(0);" xr:uid="{93C80B25-C42C-4FEA-998E-15E42AA863D6}"/>
    <hyperlink ref="F2897" r:id="rId262" display="javascript:void(0);" xr:uid="{0DACF6CF-7B3D-4DCA-9FAA-9912E8AE109D}"/>
    <hyperlink ref="F2898" r:id="rId263" display="javascript:void(0);" xr:uid="{3521F42D-4C4E-4B8C-91F6-297095BE1A44}"/>
    <hyperlink ref="F2899" r:id="rId264" display="javascript:void(0);" xr:uid="{C118BF2D-97D7-41A9-BDB8-0FFA18272E87}"/>
    <hyperlink ref="F2900" r:id="rId265" display="javascript:void(0);" xr:uid="{8973FD37-E800-490F-A41D-76348E958DC9}"/>
    <hyperlink ref="F2901" r:id="rId266" display="javascript:void(0);" xr:uid="{9B0A8F7A-621C-413F-988F-0F8154FB8480}"/>
    <hyperlink ref="F2902" r:id="rId267" display="javascript:void(0);" xr:uid="{FE27918B-42E7-402C-BC86-3389C10389D4}"/>
    <hyperlink ref="F2903" r:id="rId268" display="javascript:void(0);" xr:uid="{C01BFFF9-2F6E-45FF-B254-B9C79212D5A5}"/>
    <hyperlink ref="F2904" r:id="rId269" display="javascript:void(0);" xr:uid="{6736F89E-C448-443D-9D09-F4E34086D86E}"/>
    <hyperlink ref="F2906" r:id="rId270" display="javascript:void(0);" xr:uid="{98CA1DCB-7F31-4463-AB9C-FB2A3B7F4665}"/>
    <hyperlink ref="F2905" r:id="rId271" display="javascript:void(0);" xr:uid="{A62514D3-6279-48A1-8572-9AD2CCE657FB}"/>
    <hyperlink ref="F2907" r:id="rId272" display="javascript:void(0);" xr:uid="{738F50EB-A8CD-45F4-8E72-BBC6EFD1B7BB}"/>
    <hyperlink ref="F2908" r:id="rId273" display="javascript:void(0);" xr:uid="{2DD93316-543E-4287-9573-889E476CDB90}"/>
    <hyperlink ref="F2909" r:id="rId274" display="javascript:void(0);" xr:uid="{122AAF87-CCED-4CC3-B5F4-8C4B88408454}"/>
    <hyperlink ref="F2910" r:id="rId275" display="javascript:void(0);" xr:uid="{8539126A-FB69-465B-9FEF-B7AA327E7B89}"/>
    <hyperlink ref="F2911" r:id="rId276" display="javascript:void(0);" xr:uid="{149EE89D-478F-449D-B228-3B7B1AC52B51}"/>
    <hyperlink ref="F2912" r:id="rId277" display="javascript:void(0);" xr:uid="{D0C1DFD9-36DD-4FD4-8B5B-E7C2D011902B}"/>
    <hyperlink ref="F2913" r:id="rId278" display="javascript:void(0);" xr:uid="{62D015C6-C4E6-40DB-B689-38FA31AC97C8}"/>
    <hyperlink ref="F2914" r:id="rId279" display="javascript:void(0);" xr:uid="{74962E0C-785A-4DC4-9E96-8D5A1120F4EC}"/>
    <hyperlink ref="F2915" r:id="rId280" display="javascript:void(0);" xr:uid="{208313E8-567D-4AA4-8E37-910721FF6C5F}"/>
    <hyperlink ref="F2916" r:id="rId281" display="javascript:void(0);" xr:uid="{7A696B50-1A32-4463-9DE8-8E2AD86550E9}"/>
    <hyperlink ref="F2917" r:id="rId282" display="javascript:void(0);" xr:uid="{6EA0DB91-7D25-4AA1-899C-0FB0BD085C80}"/>
    <hyperlink ref="F2919" r:id="rId283" display="javascript:void(0);" xr:uid="{69D5A2F6-3FE4-4B89-ACCD-4E44A846C900}"/>
    <hyperlink ref="F2920" r:id="rId284" display="javascript:void(0);" xr:uid="{E88AEF03-971E-4B2A-A7D0-2E9280EA1222}"/>
    <hyperlink ref="F2922" r:id="rId285" display="javascript:void(0);" xr:uid="{27683D3C-9D48-46AA-90BB-5D44A495A3AA}"/>
    <hyperlink ref="F2923" r:id="rId286" display="javascript:void(0);" xr:uid="{264B96A4-AEB9-40E5-B190-8501F4DEEE7B}"/>
    <hyperlink ref="F2924" r:id="rId287" display="javascript:void(0);" xr:uid="{66C7A663-5BFA-4C8D-A32D-398E7BF700A2}"/>
    <hyperlink ref="F2925" r:id="rId288" display="javascript:void(0);" xr:uid="{F1D33B78-2D76-41AF-BA67-330DD758BEFA}"/>
    <hyperlink ref="F2927" r:id="rId289" display="javascript:void(0);" xr:uid="{91C1BF60-B462-49D2-B201-DD573550B3CE}"/>
    <hyperlink ref="F2929" r:id="rId290" tooltip="This external link will open in a new window" display="http://web.de/" xr:uid="{AF26F5BF-DA94-4D7D-9886-B9909DBDCA5D}"/>
    <hyperlink ref="F2930" r:id="rId291" tooltip="This external link will open in a new window" display="http://hotmail.com/" xr:uid="{7440F6C3-F02B-4EE7-9DD0-10222122C4E8}"/>
    <hyperlink ref="F2932" r:id="rId292" display="javascript:void(0);" xr:uid="{36D40320-E3AB-4071-A20B-3666952E4E84}"/>
    <hyperlink ref="F2931" r:id="rId293" display="javascript:void(0);" xr:uid="{3D78CF26-6DE1-44DF-9DCC-3AEA9D2B8D7E}"/>
    <hyperlink ref="F2933" r:id="rId294" display="javascript:void(0);" xr:uid="{0A0D028D-037E-4B97-8692-5D7253F6184E}"/>
    <hyperlink ref="F2934" r:id="rId295" display="javascript:void(0);" xr:uid="{59A0D047-6C41-4408-BE7E-367016BB1A45}"/>
    <hyperlink ref="F2935" r:id="rId296" display="javascript:void(0);" xr:uid="{C2C9DC40-E8EC-4DE6-8966-EE1EF1E6D04D}"/>
    <hyperlink ref="F2936" r:id="rId297" display="javascript:void(0);" xr:uid="{819ACBC5-603F-480D-AB6E-1214F193A776}"/>
    <hyperlink ref="F2937" r:id="rId298" display="javascript:void(0);" xr:uid="{4DC7403E-9974-476C-BA6F-05E9C8B97E31}"/>
    <hyperlink ref="F2938" r:id="rId299" display="javascript:void(0);" xr:uid="{851A9591-F010-43DF-B9C9-113796A8A8BB}"/>
    <hyperlink ref="F2940" r:id="rId300" display="javascript:void(0);" xr:uid="{FB3B80DA-13DD-4FDE-A172-7D95CFB88D4E}"/>
    <hyperlink ref="F2941" r:id="rId301" display="javascript:void(0);" xr:uid="{CE08C6E6-6C8E-4871-AE0A-981C58232A95}"/>
    <hyperlink ref="F2942" r:id="rId302" display="javascript:void(0);" xr:uid="{A908C634-C50B-4D9E-957E-07193B93DC52}"/>
    <hyperlink ref="F2945" r:id="rId303" display="javascript:void(0);" xr:uid="{A19E62E3-CF55-42F3-BAC3-F3A381344305}"/>
    <hyperlink ref="F2946" r:id="rId304" display="javascript:void(0);" xr:uid="{6390D4C6-531E-4F7E-8503-A6B5DB865A4F}"/>
    <hyperlink ref="F2947" r:id="rId305" display="javascript:void(0);" xr:uid="{1DE18816-BE7A-4FD5-ADAC-A2B1608CBB7A}"/>
    <hyperlink ref="F2949" r:id="rId306" display="javascript:void(0);" xr:uid="{DA996726-78BF-4F51-8539-5CE07590E54F}"/>
    <hyperlink ref="F2950" r:id="rId307" display="javascript:void(0);" xr:uid="{99564994-71A7-4E79-A080-A6614F0E2005}"/>
    <hyperlink ref="F2951" r:id="rId308" xr:uid="{12F5D406-DDAF-4147-8935-C1C9AB561682}"/>
    <hyperlink ref="F2952" r:id="rId309" display="javascript:void(0);" xr:uid="{30E09EA9-E8DF-4479-B2EA-4AF276386466}"/>
    <hyperlink ref="F2953" r:id="rId310" display="javascript:void(0);" xr:uid="{FE37A69B-BBC3-4CDC-BA13-EE8A10814F61}"/>
    <hyperlink ref="F2954" r:id="rId311" display="javascript:void(0);" xr:uid="{EAD60597-30C4-46A0-A1FF-0A22E296FBD2}"/>
    <hyperlink ref="F2955" r:id="rId312" display="javascript:void(0);" xr:uid="{ADA2C592-16CB-4E0D-8F77-A4077DA0ACFE}"/>
    <hyperlink ref="F2957" r:id="rId313" display="javascript:void(0);" xr:uid="{8C1D7B95-AAFF-4C7E-B926-A7A2CD9F79EE}"/>
    <hyperlink ref="F2958" r:id="rId314" display="javascript:void(0);" xr:uid="{59F1B498-7249-419B-8476-5C6DF34D55EA}"/>
    <hyperlink ref="F2959" r:id="rId315" display="javascript:void(0);" xr:uid="{02738C33-9B35-4FB9-A26D-BA5E1018A9E3}"/>
    <hyperlink ref="F2961" r:id="rId316" display="javascript:void(0);" xr:uid="{44373CD5-3449-4DFB-9822-E280D4F869F1}"/>
    <hyperlink ref="F2962" r:id="rId317" display="javascript:void(0);" xr:uid="{D636256C-49EF-46D7-B41F-311A1A3FD118}"/>
  </hyperlinks>
  <pageMargins left="0.7" right="0.7" top="0.75" bottom="0.75" header="0" footer="0"/>
  <pageSetup paperSize="9" orientation="landscape" r:id="rId3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2F3"/>
  </sheetPr>
  <dimension ref="A1:P1000"/>
  <sheetViews>
    <sheetView view="pageLayout" topLeftCell="A6" zoomScaleNormal="100" workbookViewId="0">
      <selection activeCell="P7" sqref="P7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4" customWidth="1"/>
    <col min="17" max="26" width="7" customWidth="1"/>
  </cols>
  <sheetData>
    <row r="1" spans="1:16" ht="23.25" customHeight="1" x14ac:dyDescent="0.25">
      <c r="A1" s="36" t="s">
        <v>11637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11279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Dominik</v>
      </c>
      <c r="B7" s="46" t="str">
        <f>VLOOKUP(D7,'Master Data'!A:F,3,FALSE)</f>
        <v>Mann</v>
      </c>
      <c r="C7" s="47" t="str">
        <f>VLOOKUP(D7,'Master Data'!A:F,6,FALSE)</f>
        <v>dominik.mann@icloud.com</v>
      </c>
      <c r="D7" s="34" t="s">
        <v>9218</v>
      </c>
      <c r="E7" s="46"/>
      <c r="F7" s="46" t="str">
        <f>VLOOKUP(D7,'Master Data'!A:F,4,FALSE)</f>
        <v>m</v>
      </c>
      <c r="G7" s="46" t="str">
        <f>VLOOKUP(D7,'Master Data'!A:F,5,FALSE)</f>
        <v>Normal</v>
      </c>
      <c r="H7" s="106">
        <v>160</v>
      </c>
      <c r="I7" s="49" t="s">
        <v>11941</v>
      </c>
      <c r="J7" s="49" t="s">
        <v>11754</v>
      </c>
      <c r="K7" s="49" t="s">
        <v>11941</v>
      </c>
      <c r="L7" s="49" t="s">
        <v>11754</v>
      </c>
      <c r="M7" s="49" t="s">
        <v>11941</v>
      </c>
      <c r="N7" s="49"/>
      <c r="O7" s="49"/>
      <c r="P7" s="49"/>
    </row>
    <row r="8" spans="1:16" ht="23.25" customHeight="1" x14ac:dyDescent="0.25">
      <c r="A8" s="46" t="str">
        <f>VLOOKUP(D8,'Master Data'!A:F,2,FALSE)</f>
        <v xml:space="preserve">Daniel </v>
      </c>
      <c r="B8" s="46" t="str">
        <f>VLOOKUP(D8,'Master Data'!A:F,3,FALSE)</f>
        <v>Hoffmann</v>
      </c>
      <c r="C8" s="47" t="str">
        <f>VLOOKUP(D8,'Master Data'!A:F,6,FALSE)</f>
        <v>daniel.pascal.hoffmann@gmail.com</v>
      </c>
      <c r="D8" s="34" t="s">
        <v>5728</v>
      </c>
      <c r="E8" s="46"/>
      <c r="F8" s="46" t="str">
        <f>VLOOKUP(D8,'Master Data'!A:F,4,FALSE)</f>
        <v>m</v>
      </c>
      <c r="G8" s="46" t="str">
        <f>VLOOKUP(D8,'Master Data'!A:F,5,FALSE)</f>
        <v>Normal</v>
      </c>
      <c r="H8" s="103">
        <v>240</v>
      </c>
      <c r="I8" s="49" t="s">
        <v>11941</v>
      </c>
      <c r="J8" s="49" t="s">
        <v>11941</v>
      </c>
      <c r="K8" s="49" t="s">
        <v>11941</v>
      </c>
      <c r="L8" s="49"/>
      <c r="M8" s="49" t="s">
        <v>11941</v>
      </c>
      <c r="N8" s="49"/>
      <c r="O8" s="49"/>
      <c r="P8" s="49"/>
    </row>
    <row r="9" spans="1:16" ht="23.25" customHeight="1" x14ac:dyDescent="0.25">
      <c r="A9" s="46" t="str">
        <f>VLOOKUP(D9,'Master Data'!A:F,2,FALSE)</f>
        <v>Selina</v>
      </c>
      <c r="B9" s="46" t="str">
        <f>VLOOKUP(D9,'Master Data'!A:F,3,FALSE)</f>
        <v>Schenker</v>
      </c>
      <c r="C9" s="47" t="str">
        <f>VLOOKUP(D9,'Master Data'!A:F,6,FALSE)</f>
        <v>selina.schenker@live.de</v>
      </c>
      <c r="D9" s="33" t="s">
        <v>8644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03">
        <v>240</v>
      </c>
      <c r="I9" s="49" t="s">
        <v>11941</v>
      </c>
      <c r="J9" s="49" t="s">
        <v>11941</v>
      </c>
      <c r="K9" s="49" t="s">
        <v>11941</v>
      </c>
      <c r="L9" s="49"/>
      <c r="M9" s="49" t="s">
        <v>11941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Onur</v>
      </c>
      <c r="B10" s="46" t="str">
        <f>VLOOKUP(D10,'Master Data'!A:F,3,FALSE)</f>
        <v>Erdem</v>
      </c>
      <c r="C10" s="47" t="str">
        <f>VLOOKUP(D10,'Master Data'!A:F,6,FALSE)</f>
        <v>erdem-onur@hotmail.com</v>
      </c>
      <c r="D10" s="30" t="s">
        <v>10025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3"/>
      <c r="I10" s="49" t="s">
        <v>11941</v>
      </c>
      <c r="J10" s="49" t="s">
        <v>11941</v>
      </c>
      <c r="K10" s="49" t="s">
        <v>11941</v>
      </c>
      <c r="L10" s="49"/>
      <c r="M10" s="49" t="s">
        <v>11941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Alexandra</v>
      </c>
      <c r="B11" s="46" t="str">
        <f>VLOOKUP(D11,'Master Data'!A:F,3,FALSE)</f>
        <v>Daniel</v>
      </c>
      <c r="C11" s="47" t="str">
        <f>VLOOKUP(D11,'Master Data'!A:F,6,FALSE)</f>
        <v>danielalexandra970@gmail.com</v>
      </c>
      <c r="D11" s="30" t="s">
        <v>8841</v>
      </c>
      <c r="E11" s="46"/>
      <c r="F11" s="46" t="str">
        <f>VLOOKUP(D11,'Master Data'!A:F,4,FALSE)</f>
        <v>w</v>
      </c>
      <c r="G11" s="46" t="str">
        <f>VLOOKUP(D11,'Master Data'!A:F,5,FALSE)</f>
        <v>Paar</v>
      </c>
      <c r="H11" s="103">
        <v>160</v>
      </c>
      <c r="I11" s="49" t="s">
        <v>11941</v>
      </c>
      <c r="J11" s="49" t="s">
        <v>11941</v>
      </c>
      <c r="K11" s="49" t="s">
        <v>11941</v>
      </c>
      <c r="L11" s="49"/>
      <c r="M11" s="49" t="s">
        <v>11941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Laszlo</v>
      </c>
      <c r="B12" s="46" t="str">
        <f>VLOOKUP(D12,'Master Data'!A:F,3,FALSE)</f>
        <v>Lukacs</v>
      </c>
      <c r="C12" s="47" t="str">
        <f>VLOOKUP(D12,'Master Data'!A:F,6,FALSE)</f>
        <v>laci91128@gmail.com</v>
      </c>
      <c r="D12" s="30" t="s">
        <v>9433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6">
        <v>410</v>
      </c>
      <c r="I12" s="49" t="s">
        <v>11754</v>
      </c>
      <c r="J12" s="49" t="s">
        <v>11941</v>
      </c>
      <c r="K12" s="49" t="s">
        <v>11941</v>
      </c>
      <c r="L12" s="49"/>
      <c r="M12" s="49" t="s">
        <v>11941</v>
      </c>
      <c r="N12" s="49" t="s">
        <v>11754</v>
      </c>
      <c r="O12" s="49"/>
      <c r="P12" s="49"/>
    </row>
    <row r="13" spans="1:16" ht="23.25" customHeight="1" x14ac:dyDescent="0.25">
      <c r="A13" s="46" t="str">
        <f>VLOOKUP(D13,'Master Data'!A:F,2,FALSE)</f>
        <v>Alicja</v>
      </c>
      <c r="B13" s="46" t="str">
        <f>VLOOKUP(D13,'Master Data'!A:F,3,FALSE)</f>
        <v>Dziedzic</v>
      </c>
      <c r="C13" s="47" t="str">
        <f>VLOOKUP(D13,'Master Data'!A:F,6,FALSE)</f>
        <v>alicja.dziedzic99@gmail.com</v>
      </c>
      <c r="D13" s="19" t="s">
        <v>9199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6">
        <v>190</v>
      </c>
      <c r="I13" s="49" t="s">
        <v>11941</v>
      </c>
      <c r="J13" s="49" t="s">
        <v>11941</v>
      </c>
      <c r="K13" s="49" t="s">
        <v>11941</v>
      </c>
      <c r="L13" s="49"/>
      <c r="M13" s="49" t="s">
        <v>11941</v>
      </c>
      <c r="N13" s="49"/>
      <c r="O13" s="49" t="s">
        <v>11754</v>
      </c>
      <c r="P13" s="49"/>
    </row>
    <row r="14" spans="1:16" ht="23.25" customHeight="1" x14ac:dyDescent="0.25">
      <c r="A14" s="46" t="str">
        <f>VLOOKUP(D14,'Master Data'!A:F,2,FALSE)</f>
        <v>Karolina</v>
      </c>
      <c r="B14" s="46" t="str">
        <f>VLOOKUP(D14,'Master Data'!A:F,3,FALSE)</f>
        <v>Dziedzic</v>
      </c>
      <c r="C14" s="47" t="str">
        <f>VLOOKUP(D14,'Master Data'!A:F,6,FALSE)</f>
        <v>kdziedzic09@gmail.com</v>
      </c>
      <c r="D14" s="30" t="s">
        <v>9193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3">
        <v>285</v>
      </c>
      <c r="I14" s="49" t="s">
        <v>11941</v>
      </c>
      <c r="J14" s="49" t="s">
        <v>11941</v>
      </c>
      <c r="K14" s="49" t="s">
        <v>11941</v>
      </c>
      <c r="L14" s="49"/>
      <c r="M14" s="49" t="s">
        <v>11941</v>
      </c>
      <c r="N14" s="49" t="s">
        <v>11754</v>
      </c>
      <c r="O14" s="49"/>
      <c r="P14" s="49"/>
    </row>
    <row r="15" spans="1:16" ht="23.25" customHeight="1" x14ac:dyDescent="0.25">
      <c r="A15" s="46" t="str">
        <f>VLOOKUP(D15,'Master Data'!A:F,2,FALSE)</f>
        <v>Lisa</v>
      </c>
      <c r="B15" s="46" t="str">
        <f>VLOOKUP(D15,'Master Data'!A:F,3,FALSE)</f>
        <v>Velte</v>
      </c>
      <c r="C15" s="47" t="str">
        <f>VLOOKUP(D15,'Master Data'!A:F,6,FALSE)</f>
        <v>lisa_velte@hotmail.com</v>
      </c>
      <c r="D15" s="19" t="s">
        <v>10199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12">
        <v>190</v>
      </c>
      <c r="I15" s="49" t="s">
        <v>11754</v>
      </c>
      <c r="J15" s="49" t="s">
        <v>11941</v>
      </c>
      <c r="K15" s="49" t="s">
        <v>11754</v>
      </c>
      <c r="L15" s="49"/>
      <c r="M15" s="49" t="s">
        <v>11941</v>
      </c>
      <c r="N15" s="49" t="s">
        <v>11754</v>
      </c>
      <c r="O15" s="49"/>
      <c r="P15" s="49" t="s">
        <v>11754</v>
      </c>
    </row>
    <row r="16" spans="1:16" ht="23.25" customHeight="1" x14ac:dyDescent="0.25">
      <c r="A16" s="46" t="str">
        <f>VLOOKUP(D16,'Master Data'!A:F,2,FALSE)</f>
        <v xml:space="preserve">Marina </v>
      </c>
      <c r="B16" s="46" t="str">
        <f>VLOOKUP(D16,'Master Data'!A:F,3,FALSE)</f>
        <v>Despotovic</v>
      </c>
      <c r="C16" s="47" t="str">
        <f>VLOOKUP(D16,'Master Data'!A:F,6,FALSE)</f>
        <v>marina.despotovic@gmx.ch</v>
      </c>
      <c r="D16" s="19" t="s">
        <v>10196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6">
        <v>190</v>
      </c>
      <c r="I16" s="49" t="s">
        <v>11754</v>
      </c>
      <c r="J16" s="49" t="s">
        <v>11941</v>
      </c>
      <c r="K16" s="49" t="s">
        <v>11941</v>
      </c>
      <c r="L16" s="49"/>
      <c r="M16" s="49" t="s">
        <v>11941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Nikola</v>
      </c>
      <c r="B17" s="46" t="str">
        <f>VLOOKUP(D17,'Master Data'!A:F,3,FALSE)</f>
        <v>Jevtic</v>
      </c>
      <c r="C17" s="47" t="str">
        <f>VLOOKUP(D17,'Master Data'!A:F,6,FALSE)</f>
        <v>nikola.jevtic@bluewin.ch</v>
      </c>
      <c r="D17" s="7" t="s">
        <v>6857</v>
      </c>
      <c r="E17" s="46"/>
      <c r="F17" s="46" t="str">
        <f>VLOOKUP(D17,'Master Data'!A:F,4,FALSE)</f>
        <v>m</v>
      </c>
      <c r="G17" s="46" t="str">
        <f>VLOOKUP(D17,'Master Data'!A:F,5,FALSE)</f>
        <v>Normal</v>
      </c>
      <c r="H17" s="106">
        <v>285</v>
      </c>
      <c r="I17" s="49" t="s">
        <v>11941</v>
      </c>
      <c r="J17" s="49" t="s">
        <v>11754</v>
      </c>
      <c r="K17" s="49" t="s">
        <v>11941</v>
      </c>
      <c r="L17" s="49"/>
      <c r="M17" s="49" t="s">
        <v>11941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Tobias</v>
      </c>
      <c r="B18" s="46" t="str">
        <f>VLOOKUP(D18,'Master Data'!A:F,3,FALSE)</f>
        <v>Thommen</v>
      </c>
      <c r="C18" s="47" t="str">
        <f>VLOOKUP(D18,'Master Data'!A:F,6,FALSE)</f>
        <v>tobithommen@hotmail.com</v>
      </c>
      <c r="D18" s="30" t="s">
        <v>11175</v>
      </c>
      <c r="E18" s="46"/>
      <c r="F18" s="46" t="str">
        <f>VLOOKUP(D18,'Master Data'!A:F,4,FALSE)</f>
        <v>m</v>
      </c>
      <c r="G18" s="46" t="str">
        <f>VLOOKUP(D18,'Master Data'!A:F,5,FALSE)</f>
        <v>Normal</v>
      </c>
      <c r="H18" s="103">
        <v>240</v>
      </c>
      <c r="I18" s="49" t="s">
        <v>11941</v>
      </c>
      <c r="J18" s="49" t="s">
        <v>11754</v>
      </c>
      <c r="K18" s="49" t="s">
        <v>11754</v>
      </c>
      <c r="L18" s="49"/>
      <c r="M18" s="49" t="s">
        <v>11941</v>
      </c>
      <c r="N18" s="49" t="s">
        <v>11754</v>
      </c>
      <c r="O18" s="49" t="s">
        <v>11754</v>
      </c>
      <c r="P18" s="49"/>
    </row>
    <row r="19" spans="1:16" ht="23.25" customHeight="1" x14ac:dyDescent="0.25">
      <c r="A19" s="46" t="str">
        <f>VLOOKUP(D19,'Master Data'!A:F,2,FALSE)</f>
        <v>Myriam</v>
      </c>
      <c r="B19" s="46" t="str">
        <f>VLOOKUP(D19,'Master Data'!A:F,3,FALSE)</f>
        <v>Aouadi</v>
      </c>
      <c r="C19" s="47" t="str">
        <f>VLOOKUP(D19,'Master Data'!A:F,6,FALSE)</f>
        <v>aouadme@gmail.com</v>
      </c>
      <c r="D19" s="30" t="s">
        <v>5648</v>
      </c>
      <c r="E19" s="46"/>
      <c r="F19" s="46" t="str">
        <f>VLOOKUP(D19,'Master Data'!A:F,4,FALSE)</f>
        <v>w</v>
      </c>
      <c r="G19" s="46" t="str">
        <f>VLOOKUP(D19,'Master Data'!A:F,5,FALSE)</f>
        <v>Normal</v>
      </c>
      <c r="H19" s="106">
        <v>410</v>
      </c>
      <c r="I19" s="49" t="s">
        <v>11941</v>
      </c>
      <c r="J19" s="49" t="s">
        <v>11941</v>
      </c>
      <c r="K19" s="49" t="s">
        <v>11754</v>
      </c>
      <c r="L19" s="49"/>
      <c r="M19" s="49" t="s">
        <v>11941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Burak</v>
      </c>
      <c r="B20" s="46" t="str">
        <f>VLOOKUP(D20,'Master Data'!A:F,3,FALSE)</f>
        <v>Yildirim</v>
      </c>
      <c r="C20" s="47" t="str">
        <f>VLOOKUP(D20,'Master Data'!A:F,6,FALSE)</f>
        <v>burak.yildirim@gmx.ch</v>
      </c>
      <c r="D20" s="30" t="s">
        <v>11101</v>
      </c>
      <c r="E20" s="46"/>
      <c r="F20" s="46" t="str">
        <f>VLOOKUP(D20,'Master Data'!A:F,4,FALSE)</f>
        <v>m</v>
      </c>
      <c r="G20" s="46" t="str">
        <f>VLOOKUP(D20,'Master Data'!A:F,5,FALSE)</f>
        <v>Normal</v>
      </c>
      <c r="H20" s="103"/>
      <c r="I20" s="49" t="s">
        <v>11754</v>
      </c>
      <c r="J20" s="49" t="s">
        <v>11941</v>
      </c>
      <c r="K20" s="49" t="s">
        <v>11941</v>
      </c>
      <c r="L20" s="49"/>
      <c r="M20" s="49" t="s">
        <v>11941</v>
      </c>
      <c r="N20" s="49"/>
      <c r="O20" s="49" t="s">
        <v>11754</v>
      </c>
      <c r="P20" s="49"/>
    </row>
    <row r="21" spans="1:16" ht="23.25" customHeight="1" x14ac:dyDescent="0.25">
      <c r="A21" s="46" t="str">
        <f>VLOOKUP(D21,'Master Data'!A:F,2,FALSE)</f>
        <v>Estelle</v>
      </c>
      <c r="B21" s="46" t="str">
        <f>VLOOKUP(D21,'Master Data'!A:F,3,FALSE)</f>
        <v>Pierrot</v>
      </c>
      <c r="C21" s="47" t="str">
        <f>VLOOKUP(D21,'Master Data'!A:F,6,FALSE)</f>
        <v>stella110@hotmail.fr</v>
      </c>
      <c r="D21" s="30" t="s">
        <v>9894</v>
      </c>
      <c r="E21" s="46"/>
      <c r="F21" s="46" t="str">
        <f>VLOOKUP(D21,'Master Data'!A:F,4,FALSE)</f>
        <v>w</v>
      </c>
      <c r="G21" s="46" t="str">
        <f>VLOOKUP(D21,'Master Data'!A:F,5,FALSE)</f>
        <v>Normal</v>
      </c>
      <c r="H21" s="103">
        <v>410</v>
      </c>
      <c r="I21" s="49" t="s">
        <v>11941</v>
      </c>
      <c r="J21" s="49" t="s">
        <v>11941</v>
      </c>
      <c r="K21" s="49" t="s">
        <v>11941</v>
      </c>
      <c r="L21" s="49"/>
      <c r="M21" s="49" t="s">
        <v>11941</v>
      </c>
      <c r="N21" s="49"/>
      <c r="O21" s="49"/>
      <c r="P21" s="49"/>
    </row>
    <row r="22" spans="1:16" ht="23.25" customHeight="1" x14ac:dyDescent="0.25">
      <c r="A22" s="46" t="str">
        <f>VLOOKUP(D22,'Master Data'!A:F,2,FALSE)</f>
        <v>Malin</v>
      </c>
      <c r="B22" s="46" t="str">
        <f>VLOOKUP(D22,'Master Data'!A:F,3,FALSE)</f>
        <v>Kirschke</v>
      </c>
      <c r="C22" s="47" t="str">
        <f>VLOOKUP(D22,'Master Data'!A:F,6,FALSE)</f>
        <v>malin@m-kirschke.de</v>
      </c>
      <c r="D22" s="30" t="s">
        <v>10944</v>
      </c>
      <c r="E22" s="46"/>
      <c r="F22" s="46" t="str">
        <f>VLOOKUP(D22,'Master Data'!A:F,4,FALSE)</f>
        <v>w</v>
      </c>
      <c r="G22" s="46" t="str">
        <f>VLOOKUP(D22,'Master Data'!A:F,5,FALSE)</f>
        <v>Normal</v>
      </c>
      <c r="H22" s="103">
        <v>190</v>
      </c>
      <c r="I22" s="49" t="s">
        <v>11754</v>
      </c>
      <c r="J22" s="49" t="s">
        <v>11754</v>
      </c>
      <c r="K22" s="49" t="s">
        <v>11754</v>
      </c>
      <c r="L22" s="49"/>
      <c r="M22" s="49" t="s">
        <v>11941</v>
      </c>
      <c r="N22" s="49"/>
      <c r="O22" s="49" t="s">
        <v>11754</v>
      </c>
      <c r="P22" s="49" t="s">
        <v>11754</v>
      </c>
    </row>
    <row r="23" spans="1:16" ht="23.25" customHeight="1" x14ac:dyDescent="0.25">
      <c r="A23" s="46" t="str">
        <f>VLOOKUP(D23,'Master Data'!A:F,2,FALSE)</f>
        <v>Syria</v>
      </c>
      <c r="B23" s="46" t="str">
        <f>VLOOKUP(D23,'Master Data'!A:F,3,FALSE)</f>
        <v>Savary</v>
      </c>
      <c r="C23" s="47" t="str">
        <f>VLOOKUP(D23,'Master Data'!A:F,6,FALSE)</f>
        <v>syria.savary@hotmail.ch</v>
      </c>
      <c r="D23" s="19" t="s">
        <v>10007</v>
      </c>
      <c r="E23" s="46"/>
      <c r="F23" s="46" t="str">
        <f>VLOOKUP(D23,'Master Data'!A:F,4,FALSE)</f>
        <v>w</v>
      </c>
      <c r="G23" s="46" t="str">
        <f>VLOOKUP(D23,'Master Data'!A:F,5,FALSE)</f>
        <v>Paar</v>
      </c>
      <c r="H23" s="106">
        <v>340</v>
      </c>
      <c r="I23" s="49" t="s">
        <v>11941</v>
      </c>
      <c r="J23" s="49" t="s">
        <v>11941</v>
      </c>
      <c r="K23" s="49" t="s">
        <v>11941</v>
      </c>
      <c r="L23" s="49" t="s">
        <v>11754</v>
      </c>
      <c r="M23" s="49" t="s">
        <v>11941</v>
      </c>
      <c r="N23" s="49" t="s">
        <v>11754</v>
      </c>
      <c r="O23" s="49"/>
      <c r="P23" s="49"/>
    </row>
    <row r="24" spans="1:16" ht="23.25" customHeight="1" x14ac:dyDescent="0.25">
      <c r="A24" s="46" t="str">
        <f>VLOOKUP(D24,'Master Data'!A:F,2,FALSE)</f>
        <v>Johanna</v>
      </c>
      <c r="B24" s="46" t="str">
        <f>VLOOKUP(D24,'Master Data'!A:F,3,FALSE)</f>
        <v>Broschei</v>
      </c>
      <c r="C24" s="47" t="str">
        <f>VLOOKUP(D24,'Master Data'!A:F,6,FALSE)</f>
        <v>jo.broschei@web.de</v>
      </c>
      <c r="D24" s="34" t="s">
        <v>11536</v>
      </c>
      <c r="E24" s="46"/>
      <c r="F24" s="46" t="str">
        <f>VLOOKUP(D24,'Master Data'!A:F,4,FALSE)</f>
        <v>w</v>
      </c>
      <c r="G24" s="46" t="str">
        <f>VLOOKUP(D24,'Master Data'!A:F,5,FALSE)</f>
        <v>Normal</v>
      </c>
      <c r="H24" s="103">
        <v>190</v>
      </c>
      <c r="I24" s="49" t="s">
        <v>11754</v>
      </c>
      <c r="J24" s="49" t="s">
        <v>11941</v>
      </c>
      <c r="K24" s="49" t="s">
        <v>11941</v>
      </c>
      <c r="L24" s="49" t="s">
        <v>11754</v>
      </c>
      <c r="M24" s="49" t="s">
        <v>11941</v>
      </c>
      <c r="N24" s="49"/>
      <c r="O24" s="49"/>
      <c r="P24" s="49"/>
    </row>
    <row r="25" spans="1:16" ht="23.25" customHeight="1" x14ac:dyDescent="0.25">
      <c r="A25" s="46" t="str">
        <f>VLOOKUP(D25,'Master Data'!A:F,2,FALSE)</f>
        <v>Mathias</v>
      </c>
      <c r="B25" s="46" t="str">
        <f>VLOOKUP(D25,'Master Data'!A:F,3,FALSE)</f>
        <v>Landsrath</v>
      </c>
      <c r="C25" s="47" t="str">
        <f>VLOOKUP(D25,'Master Data'!A:F,6,FALSE)</f>
        <v>matila@gmx.de</v>
      </c>
      <c r="D25" s="34" t="s">
        <v>4067</v>
      </c>
      <c r="E25" s="46"/>
      <c r="F25" s="46" t="str">
        <f>VLOOKUP(D25,'Master Data'!A:F,4,FALSE)</f>
        <v>m</v>
      </c>
      <c r="G25" s="46" t="str">
        <f>VLOOKUP(D25,'Master Data'!A:F,5,FALSE)</f>
        <v>Normal</v>
      </c>
      <c r="H25" s="103"/>
      <c r="I25" s="49" t="s">
        <v>11754</v>
      </c>
      <c r="J25" s="49" t="s">
        <v>11941</v>
      </c>
      <c r="K25" s="49" t="s">
        <v>11754</v>
      </c>
      <c r="L25" s="49"/>
      <c r="M25" s="49" t="s">
        <v>11941</v>
      </c>
      <c r="N25" s="49" t="s">
        <v>11754</v>
      </c>
      <c r="O25" s="49"/>
      <c r="P25" s="49"/>
    </row>
    <row r="26" spans="1:16" ht="23.25" customHeight="1" x14ac:dyDescent="0.25">
      <c r="A26" s="46" t="str">
        <f>VLOOKUP(D26,'Master Data'!A:F,2,FALSE)</f>
        <v>Michelle</v>
      </c>
      <c r="B26" s="46" t="str">
        <f>VLOOKUP(D26,'Master Data'!A:F,3,FALSE)</f>
        <v>Harder</v>
      </c>
      <c r="C26" s="47" t="str">
        <f>VLOOKUP(D26,'Master Data'!A:F,6,FALSE)</f>
        <v>michelle.harder@sunrise.ch</v>
      </c>
      <c r="D26" s="30" t="s">
        <v>9483</v>
      </c>
      <c r="E26" s="46"/>
      <c r="F26" s="46" t="str">
        <f>VLOOKUP(D26,'Master Data'!A:F,4,FALSE)</f>
        <v>w</v>
      </c>
      <c r="G26" s="46" t="str">
        <f>VLOOKUP(D26,'Master Data'!A:F,5,FALSE)</f>
        <v>Normal</v>
      </c>
      <c r="H26" s="103">
        <v>135</v>
      </c>
      <c r="I26" s="49" t="s">
        <v>11941</v>
      </c>
      <c r="J26" s="49" t="s">
        <v>11754</v>
      </c>
      <c r="K26" s="49" t="s">
        <v>11941</v>
      </c>
      <c r="L26" s="49" t="s">
        <v>11754</v>
      </c>
      <c r="M26" s="49" t="s">
        <v>11941</v>
      </c>
      <c r="N26" s="49"/>
      <c r="O26" s="49"/>
      <c r="P26" s="49" t="s">
        <v>11754</v>
      </c>
    </row>
    <row r="27" spans="1:16" ht="23.25" customHeight="1" x14ac:dyDescent="0.25">
      <c r="A27" s="46" t="str">
        <f>VLOOKUP(D27,'Master Data'!A:F,2,FALSE)</f>
        <v>Umut</v>
      </c>
      <c r="B27" s="46" t="str">
        <f>VLOOKUP(D27,'Master Data'!A:F,3,FALSE)</f>
        <v>Paldir</v>
      </c>
      <c r="C27" s="47" t="str">
        <f>VLOOKUP(D27,'Master Data'!A:F,6,FALSE)</f>
        <v>umut.paldir@gmail.com</v>
      </c>
      <c r="D27" s="30" t="s">
        <v>8111</v>
      </c>
      <c r="E27" s="46"/>
      <c r="F27" s="46" t="str">
        <f>VLOOKUP(D27,'Master Data'!A:F,4,FALSE)</f>
        <v>m</v>
      </c>
      <c r="G27" s="46" t="str">
        <f>VLOOKUP(D27,'Master Data'!A:F,5,FALSE)</f>
        <v>Normal</v>
      </c>
      <c r="H27" s="103">
        <v>190</v>
      </c>
      <c r="I27" s="49" t="s">
        <v>11941</v>
      </c>
      <c r="J27" s="49" t="s">
        <v>11754</v>
      </c>
      <c r="K27" s="49" t="s">
        <v>11754</v>
      </c>
      <c r="L27" s="49"/>
      <c r="M27" s="49" t="s">
        <v>11941</v>
      </c>
      <c r="N27" s="49"/>
      <c r="O27" s="49" t="s">
        <v>11754</v>
      </c>
      <c r="P27" s="49" t="s">
        <v>11754</v>
      </c>
    </row>
    <row r="28" spans="1:16" ht="23.25" customHeight="1" x14ac:dyDescent="0.25">
      <c r="A28" s="46" t="str">
        <f>VLOOKUP(D28,'Master Data'!A:F,2,FALSE)</f>
        <v>Haimo</v>
      </c>
      <c r="B28" s="46" t="str">
        <f>VLOOKUP(D28,'Master Data'!A:F,3,FALSE)</f>
        <v>Jöhri</v>
      </c>
      <c r="C28" s="47" t="str">
        <f>VLOOKUP(D28,'Master Data'!A:F,6,FALSE)</f>
        <v>paps1408@gmail.com</v>
      </c>
      <c r="D28" s="30" t="s">
        <v>6346</v>
      </c>
      <c r="E28" s="46" t="s">
        <v>11298</v>
      </c>
      <c r="F28" s="46" t="str">
        <f>VLOOKUP(D28,'Master Data'!A:F,4,FALSE)</f>
        <v>m</v>
      </c>
      <c r="G28" s="46" t="str">
        <f>VLOOKUP(D28,'Master Data'!A:F,5,FALSE)</f>
        <v>Normal</v>
      </c>
      <c r="H28" s="103">
        <v>410</v>
      </c>
      <c r="I28" s="49" t="s">
        <v>11941</v>
      </c>
      <c r="J28" s="49" t="s">
        <v>11941</v>
      </c>
      <c r="K28" s="49" t="s">
        <v>11941</v>
      </c>
      <c r="L28" s="49"/>
      <c r="M28" s="49" t="s">
        <v>11941</v>
      </c>
      <c r="N28" s="49"/>
      <c r="O28" s="49"/>
      <c r="P28" s="49" t="s">
        <v>11754</v>
      </c>
    </row>
    <row r="29" spans="1:16" ht="23.25" customHeight="1" x14ac:dyDescent="0.25">
      <c r="A29" s="46" t="str">
        <f>VLOOKUP(D29,'Master Data'!A:F,2,FALSE)</f>
        <v>Sara</v>
      </c>
      <c r="B29" s="46" t="str">
        <f>VLOOKUP(D29,'Master Data'!A:F,3,FALSE)</f>
        <v>Bettonte</v>
      </c>
      <c r="C29" s="47" t="str">
        <f>VLOOKUP(D29,'Master Data'!A:F,6,FALSE)</f>
        <v>mattiabert93@gmail.com</v>
      </c>
      <c r="D29" s="30" t="s">
        <v>7429</v>
      </c>
      <c r="E29" s="46"/>
      <c r="F29" s="46" t="str">
        <f>VLOOKUP(D29,'Master Data'!A:F,4,FALSE)</f>
        <v>w</v>
      </c>
      <c r="G29" s="46" t="str">
        <f>VLOOKUP(D29,'Master Data'!A:F,5,FALSE)</f>
        <v>Paar</v>
      </c>
      <c r="H29" s="106">
        <v>190</v>
      </c>
      <c r="I29" s="49" t="s">
        <v>11754</v>
      </c>
      <c r="J29" s="49" t="s">
        <v>11754</v>
      </c>
      <c r="K29" s="49" t="s">
        <v>11941</v>
      </c>
      <c r="L29" s="49"/>
      <c r="M29" s="49" t="s">
        <v>11941</v>
      </c>
      <c r="N29" s="49" t="s">
        <v>11754</v>
      </c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5055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83" priority="1" operator="equal">
      <formula>0</formula>
    </cfRule>
    <cfRule type="expression" dxfId="82" priority="2">
      <formula>ISERROR(A7)</formula>
    </cfRule>
  </conditionalFormatting>
  <pageMargins left="0.41666666666666669" right="0.41666666666666669" top="0.78740157499999996" bottom="0.78740157499999996" header="0" footer="0"/>
  <pageSetup paperSize="9" scale="76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colBreaks count="1" manualBreakCount="1">
    <brk id="16" max="3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2F3"/>
  </sheetPr>
  <dimension ref="A1:P1000"/>
  <sheetViews>
    <sheetView view="pageLayout" topLeftCell="A17" zoomScale="120" zoomScaleNormal="100" zoomScalePageLayoutView="120" workbookViewId="0">
      <selection activeCell="P5" sqref="P5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4" width="4" customWidth="1"/>
    <col min="15" max="16" width="3.42578125" customWidth="1"/>
    <col min="17" max="26" width="7" customWidth="1"/>
  </cols>
  <sheetData>
    <row r="1" spans="1:16" ht="23.25" customHeight="1" x14ac:dyDescent="0.25">
      <c r="A1" s="36" t="s">
        <v>11638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11291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Carmen</v>
      </c>
      <c r="B7" s="46" t="str">
        <f>VLOOKUP(D7,'Master Data'!A:F,3,FALSE)</f>
        <v>Magno</v>
      </c>
      <c r="C7" s="47" t="str">
        <f>VLOOKUP(D7,'Master Data'!A:F,6,FALSE)</f>
        <v>carmen_magno4@hotmail.com</v>
      </c>
      <c r="D7" s="34" t="s">
        <v>9585</v>
      </c>
      <c r="E7" s="46"/>
      <c r="F7" s="46" t="str">
        <f>VLOOKUP(D7,'Master Data'!A:F,4,FALSE)</f>
        <v>w</v>
      </c>
      <c r="G7" s="46" t="str">
        <f>VLOOKUP(D7,'Master Data'!A:F,5,FALSE)</f>
        <v>Paar</v>
      </c>
      <c r="H7" s="106">
        <v>160</v>
      </c>
      <c r="I7" s="49" t="s">
        <v>11941</v>
      </c>
      <c r="J7" s="49" t="s">
        <v>11941</v>
      </c>
      <c r="K7" s="49" t="s">
        <v>11754</v>
      </c>
      <c r="L7" s="49"/>
      <c r="M7" s="49" t="s">
        <v>11941</v>
      </c>
      <c r="N7" s="49" t="s">
        <v>11754</v>
      </c>
      <c r="O7" s="49" t="s">
        <v>11754</v>
      </c>
      <c r="P7" s="48" t="s">
        <v>11754</v>
      </c>
    </row>
    <row r="8" spans="1:16" ht="23.25" customHeight="1" x14ac:dyDescent="0.25">
      <c r="A8" s="46" t="str">
        <f>VLOOKUP(D8,'Master Data'!A:F,2,FALSE)</f>
        <v>Lukas</v>
      </c>
      <c r="B8" s="46" t="str">
        <f>VLOOKUP(D8,'Master Data'!A:F,3,FALSE)</f>
        <v>Kofmehl</v>
      </c>
      <c r="C8" s="47" t="str">
        <f>VLOOKUP(D8,'Master Data'!A:F,6,FALSE)</f>
        <v>lkofmehl.lk@gmail.ch</v>
      </c>
      <c r="D8" s="33" t="s">
        <v>9589</v>
      </c>
      <c r="E8" s="46"/>
      <c r="F8" s="46" t="str">
        <f>VLOOKUP(D8,'Master Data'!A:F,4,FALSE)</f>
        <v>m</v>
      </c>
      <c r="G8" s="46" t="str">
        <f>VLOOKUP(D8,'Master Data'!A:F,5,FALSE)</f>
        <v>Paar</v>
      </c>
      <c r="H8" s="106">
        <v>160</v>
      </c>
      <c r="I8" s="49" t="s">
        <v>11941</v>
      </c>
      <c r="J8" s="49" t="s">
        <v>11941</v>
      </c>
      <c r="K8" s="49" t="s">
        <v>11754</v>
      </c>
      <c r="L8" s="49"/>
      <c r="M8" s="49" t="s">
        <v>11941</v>
      </c>
      <c r="N8" s="49" t="s">
        <v>11754</v>
      </c>
      <c r="O8" s="49" t="s">
        <v>11754</v>
      </c>
      <c r="P8" s="48" t="s">
        <v>11754</v>
      </c>
    </row>
    <row r="9" spans="1:16" ht="23.25" customHeight="1" x14ac:dyDescent="0.25">
      <c r="A9" s="46" t="str">
        <f>VLOOKUP(D9,'Master Data'!A:F,2,FALSE)</f>
        <v>Eliane</v>
      </c>
      <c r="B9" s="46" t="str">
        <f>VLOOKUP(D9,'Master Data'!A:F,3,FALSE)</f>
        <v>Schneeberger</v>
      </c>
      <c r="C9" s="47" t="str">
        <f>VLOOKUP(D9,'Master Data'!A:F,6,FALSE)</f>
        <v>eliane.schneeberger@gmail.com</v>
      </c>
      <c r="D9" s="30" t="s">
        <v>10385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06">
        <v>285</v>
      </c>
      <c r="I9" s="49" t="s">
        <v>11941</v>
      </c>
      <c r="J9" s="49" t="s">
        <v>11941</v>
      </c>
      <c r="K9" s="49" t="s">
        <v>11941</v>
      </c>
      <c r="L9" s="49"/>
      <c r="M9" s="49" t="s">
        <v>11941</v>
      </c>
      <c r="N9" s="49" t="s">
        <v>11754</v>
      </c>
      <c r="O9" s="49" t="s">
        <v>11754</v>
      </c>
      <c r="P9" s="48"/>
    </row>
    <row r="10" spans="1:16" ht="23.25" customHeight="1" x14ac:dyDescent="0.25">
      <c r="A10" s="46" t="str">
        <f>VLOOKUP(D10,'Master Data'!A:F,2,FALSE)</f>
        <v>Alexandra</v>
      </c>
      <c r="B10" s="46" t="str">
        <f>VLOOKUP(D10,'Master Data'!A:F,3,FALSE)</f>
        <v>Meyer</v>
      </c>
      <c r="C10" s="47" t="str">
        <f>VLOOKUP(D10,'Master Data'!A:F,6,FALSE)</f>
        <v>lexxx.lexxx@gmail.com</v>
      </c>
      <c r="D10" s="30" t="s">
        <v>9426</v>
      </c>
      <c r="E10" s="46" t="s">
        <v>11665</v>
      </c>
      <c r="F10" s="46" t="str">
        <f>VLOOKUP(D10,'Master Data'!A:F,4,FALSE)</f>
        <v>w</v>
      </c>
      <c r="G10" s="46" t="str">
        <f>VLOOKUP(D10,'Master Data'!A:F,5,FALSE)</f>
        <v>Normal</v>
      </c>
      <c r="H10" s="103">
        <v>285</v>
      </c>
      <c r="I10" s="49" t="s">
        <v>11941</v>
      </c>
      <c r="J10" s="49" t="s">
        <v>11941</v>
      </c>
      <c r="K10" s="49" t="s">
        <v>11754</v>
      </c>
      <c r="L10" s="49" t="s">
        <v>11754</v>
      </c>
      <c r="M10" s="49" t="s">
        <v>11941</v>
      </c>
      <c r="N10" s="49"/>
      <c r="O10" s="49" t="s">
        <v>11754</v>
      </c>
      <c r="P10" s="48"/>
    </row>
    <row r="11" spans="1:16" ht="23.25" customHeight="1" x14ac:dyDescent="0.25">
      <c r="A11" s="46" t="str">
        <f>VLOOKUP(D11,'Master Data'!A:F,2,FALSE)</f>
        <v>Katrin</v>
      </c>
      <c r="B11" s="46" t="str">
        <f>VLOOKUP(D11,'Master Data'!A:F,3,FALSE)</f>
        <v>Schläpfer</v>
      </c>
      <c r="C11" s="47" t="str">
        <f>VLOOKUP(D11,'Master Data'!A:F,6,FALSE)</f>
        <v>katrin.schlaepfer@edubs.ch</v>
      </c>
      <c r="D11" s="30" t="s">
        <v>9916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6">
        <v>190</v>
      </c>
      <c r="I11" s="49" t="s">
        <v>11941</v>
      </c>
      <c r="J11" s="49" t="s">
        <v>11941</v>
      </c>
      <c r="K11" s="49" t="s">
        <v>11941</v>
      </c>
      <c r="L11" s="49"/>
      <c r="M11" s="49" t="s">
        <v>11941</v>
      </c>
      <c r="N11" s="49"/>
      <c r="O11" s="49"/>
      <c r="P11" s="48"/>
    </row>
    <row r="12" spans="1:16" ht="23.25" customHeight="1" x14ac:dyDescent="0.25">
      <c r="A12" s="46" t="str">
        <f>VLOOKUP(D12,'Master Data'!A:F,2,FALSE)</f>
        <v>Elisa</v>
      </c>
      <c r="B12" s="46" t="str">
        <f>VLOOKUP(D12,'Master Data'!A:F,3,FALSE)</f>
        <v>Benitez</v>
      </c>
      <c r="C12" s="47" t="str">
        <f>VLOOKUP(D12,'Master Data'!A:F,6,FALSE)</f>
        <v>ebenitezgarcia@gmail.com</v>
      </c>
      <c r="D12" s="30" t="s">
        <v>8290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6">
        <v>190</v>
      </c>
      <c r="I12" s="49" t="s">
        <v>11941</v>
      </c>
      <c r="J12" s="49" t="s">
        <v>11941</v>
      </c>
      <c r="K12" s="49" t="s">
        <v>11754</v>
      </c>
      <c r="L12" s="49"/>
      <c r="M12" s="49" t="s">
        <v>11941</v>
      </c>
      <c r="N12" s="49"/>
      <c r="O12" s="49"/>
      <c r="P12" s="48"/>
    </row>
    <row r="13" spans="1:16" ht="23.25" customHeight="1" x14ac:dyDescent="0.25">
      <c r="A13" s="46" t="str">
        <f>VLOOKUP(D13,'Master Data'!A:F,2,FALSE)</f>
        <v>Fabio</v>
      </c>
      <c r="B13" s="46" t="str">
        <f>VLOOKUP(D13,'Master Data'!A:F,3,FALSE)</f>
        <v>Vaschetto</v>
      </c>
      <c r="C13" s="47" t="str">
        <f>VLOOKUP(D13,'Master Data'!A:F,6,FALSE)</f>
        <v>fabio.vaschetto@gmail.com</v>
      </c>
      <c r="D13" s="30" t="s">
        <v>10240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6">
        <v>190</v>
      </c>
      <c r="I13" s="49" t="s">
        <v>11941</v>
      </c>
      <c r="J13" s="49" t="s">
        <v>11941</v>
      </c>
      <c r="K13" s="49" t="s">
        <v>11941</v>
      </c>
      <c r="L13" s="49"/>
      <c r="M13" s="49" t="s">
        <v>11754</v>
      </c>
      <c r="N13" s="49"/>
      <c r="O13" s="49"/>
      <c r="P13" s="48"/>
    </row>
    <row r="14" spans="1:16" ht="23.25" customHeight="1" x14ac:dyDescent="0.25">
      <c r="A14" s="46" t="str">
        <f>VLOOKUP(D14,'Master Data'!A:F,2,FALSE)</f>
        <v>Kristijan</v>
      </c>
      <c r="B14" s="46" t="str">
        <f>VLOOKUP(D14,'Master Data'!A:F,3,FALSE)</f>
        <v>Markovic</v>
      </c>
      <c r="C14" s="47" t="str">
        <f>VLOOKUP(D14,'Master Data'!A:F,6,FALSE)</f>
        <v>kristijan1.markovic@gmail.com</v>
      </c>
      <c r="D14" s="30" t="s">
        <v>8480</v>
      </c>
      <c r="E14" s="46"/>
      <c r="F14" s="46" t="str">
        <f>VLOOKUP(D14,'Master Data'!A:F,4,FALSE)</f>
        <v>m</v>
      </c>
      <c r="G14" s="46" t="str">
        <f>VLOOKUP(D14,'Master Data'!A:F,5,FALSE)</f>
        <v>Paar</v>
      </c>
      <c r="H14" s="106">
        <v>190</v>
      </c>
      <c r="I14" s="49" t="s">
        <v>11941</v>
      </c>
      <c r="J14" s="49" t="s">
        <v>11754</v>
      </c>
      <c r="K14" s="49" t="s">
        <v>11754</v>
      </c>
      <c r="L14" s="49" t="s">
        <v>11754</v>
      </c>
      <c r="M14" s="49" t="s">
        <v>11941</v>
      </c>
      <c r="N14" s="49"/>
      <c r="O14" s="49"/>
      <c r="P14" s="48"/>
    </row>
    <row r="15" spans="1:16" ht="23.25" customHeight="1" x14ac:dyDescent="0.25">
      <c r="A15" s="46" t="str">
        <f>VLOOKUP(D15,'Master Data'!A:F,2,FALSE)</f>
        <v>Lucyann</v>
      </c>
      <c r="B15" s="46" t="str">
        <f>VLOOKUP(D15,'Master Data'!A:F,3,FALSE)</f>
        <v>Ceballos</v>
      </c>
      <c r="C15" s="47" t="str">
        <f>VLOOKUP(D15,'Master Data'!A:F,6,FALSE)</f>
        <v>ceballos.lucyann@gmail.com</v>
      </c>
      <c r="D15" s="30" t="s">
        <v>10254</v>
      </c>
      <c r="E15" s="46" t="s">
        <v>11796</v>
      </c>
      <c r="F15" s="46" t="str">
        <f>VLOOKUP(D15,'Master Data'!A:F,4,FALSE)</f>
        <v>w</v>
      </c>
      <c r="G15" s="46" t="str">
        <f>VLOOKUP(D15,'Master Data'!A:F,5,FALSE)</f>
        <v>Normal</v>
      </c>
      <c r="H15" s="103">
        <v>240</v>
      </c>
      <c r="I15" s="49" t="s">
        <v>11754</v>
      </c>
      <c r="J15" s="49" t="s">
        <v>11941</v>
      </c>
      <c r="K15" s="49" t="s">
        <v>11941</v>
      </c>
      <c r="L15" s="49"/>
      <c r="M15" s="49" t="s">
        <v>11941</v>
      </c>
      <c r="N15" s="49"/>
      <c r="O15" s="49"/>
      <c r="P15" s="48"/>
    </row>
    <row r="16" spans="1:16" ht="23.25" customHeight="1" x14ac:dyDescent="0.25">
      <c r="A16" s="46" t="str">
        <f>VLOOKUP(D16,'Master Data'!A:F,2,FALSE)</f>
        <v>Lana</v>
      </c>
      <c r="B16" s="46" t="str">
        <f>VLOOKUP(D16,'Master Data'!A:F,3,FALSE)</f>
        <v>Vinigradova</v>
      </c>
      <c r="C16" s="47" t="str">
        <f>VLOOKUP(D16,'Master Data'!A:F,6,FALSE)</f>
        <v>lanavin@gmail.com</v>
      </c>
      <c r="D16" s="30" t="s">
        <v>11356</v>
      </c>
      <c r="E16" s="46" t="s">
        <v>11796</v>
      </c>
      <c r="F16" s="46" t="str">
        <f>VLOOKUP(D16,'Master Data'!A:F,4,FALSE)</f>
        <v>w</v>
      </c>
      <c r="G16" s="46" t="str">
        <f>VLOOKUP(D16,'Master Data'!A:F,5,FALSE)</f>
        <v>Normal</v>
      </c>
      <c r="H16" s="106">
        <v>190</v>
      </c>
      <c r="I16" s="49" t="s">
        <v>11941</v>
      </c>
      <c r="J16" s="49" t="s">
        <v>11941</v>
      </c>
      <c r="K16" s="49" t="s">
        <v>11941</v>
      </c>
      <c r="L16" s="49"/>
      <c r="M16" s="49" t="s">
        <v>11754</v>
      </c>
      <c r="N16" s="49" t="s">
        <v>11754</v>
      </c>
      <c r="O16" s="49" t="s">
        <v>11754</v>
      </c>
      <c r="P16" s="49" t="s">
        <v>11754</v>
      </c>
    </row>
    <row r="17" spans="1:16" ht="23.25" customHeight="1" x14ac:dyDescent="0.25">
      <c r="A17" s="46" t="str">
        <f>VLOOKUP(D17,'Master Data'!A:F,2,FALSE)</f>
        <v>Sara</v>
      </c>
      <c r="B17" s="46" t="str">
        <f>VLOOKUP(D17,'Master Data'!A:F,3,FALSE)</f>
        <v>Branca</v>
      </c>
      <c r="C17" s="47" t="str">
        <f>VLOOKUP(D17,'Master Data'!A:F,6,FALSE)</f>
        <v>sara.branca@hotmail.com</v>
      </c>
      <c r="D17" s="30" t="s">
        <v>11571</v>
      </c>
      <c r="E17" s="46"/>
      <c r="F17" s="46" t="str">
        <f>VLOOKUP(D17,'Master Data'!A:F,4,FALSE)</f>
        <v>w</v>
      </c>
      <c r="G17" s="46" t="str">
        <f>VLOOKUP(D17,'Master Data'!A:F,5,FALSE)</f>
        <v>Normal</v>
      </c>
      <c r="H17" s="103">
        <v>160</v>
      </c>
      <c r="I17" s="49" t="s">
        <v>11941</v>
      </c>
      <c r="J17" s="49" t="s">
        <v>11941</v>
      </c>
      <c r="K17" s="49" t="s">
        <v>11941</v>
      </c>
      <c r="L17" s="49"/>
      <c r="M17" s="49" t="s">
        <v>11754</v>
      </c>
      <c r="N17" s="49"/>
      <c r="O17" s="49"/>
      <c r="P17" s="48"/>
    </row>
    <row r="18" spans="1:16" ht="23.25" customHeight="1" x14ac:dyDescent="0.25">
      <c r="A18" s="46" t="str">
        <f>VLOOKUP(D18,'Master Data'!A:F,2,FALSE)</f>
        <v>Melina</v>
      </c>
      <c r="B18" s="46" t="str">
        <f>VLOOKUP(D18,'Master Data'!A:F,3,FALSE)</f>
        <v>Götschi</v>
      </c>
      <c r="C18" s="47" t="str">
        <f>VLOOKUP(D18,'Master Data'!A:F,6,FALSE)</f>
        <v>melinagoetschi@outlook.com</v>
      </c>
      <c r="D18" s="30" t="s">
        <v>10634</v>
      </c>
      <c r="E18" s="46" t="s">
        <v>11665</v>
      </c>
      <c r="F18" s="46" t="str">
        <f>VLOOKUP(D18,'Master Data'!A:F,4,FALSE)</f>
        <v>w</v>
      </c>
      <c r="G18" s="46" t="str">
        <f>VLOOKUP(D18,'Master Data'!A:F,5,FALSE)</f>
        <v>Normal</v>
      </c>
      <c r="H18" s="103"/>
      <c r="I18" s="49" t="s">
        <v>11754</v>
      </c>
      <c r="J18" s="49" t="s">
        <v>11941</v>
      </c>
      <c r="K18" s="49" t="s">
        <v>11941</v>
      </c>
      <c r="L18" s="49"/>
      <c r="M18" s="49" t="s">
        <v>11941</v>
      </c>
      <c r="N18" s="49" t="s">
        <v>11754</v>
      </c>
      <c r="O18" s="49"/>
      <c r="P18" s="48"/>
    </row>
    <row r="19" spans="1:16" ht="23.25" customHeight="1" x14ac:dyDescent="0.25">
      <c r="A19" s="46" t="str">
        <f>VLOOKUP(D19,'Master Data'!A:F,2,FALSE)</f>
        <v>Jacov</v>
      </c>
      <c r="B19" s="46" t="str">
        <f>VLOOKUP(D19,'Master Data'!A:F,3,FALSE)</f>
        <v>Bludnikov</v>
      </c>
      <c r="C19" s="47" t="str">
        <f>VLOOKUP(D19,'Master Data'!A:F,6,FALSE)</f>
        <v>04jakov.bludnikov@gmail.com</v>
      </c>
      <c r="D19" s="30" t="s">
        <v>10013</v>
      </c>
      <c r="E19" s="46"/>
      <c r="F19" s="46" t="str">
        <f>VLOOKUP(D19,'Master Data'!A:F,4,FALSE)</f>
        <v>m</v>
      </c>
      <c r="G19" s="46" t="str">
        <f>VLOOKUP(D19,'Master Data'!A:F,5,FALSE)</f>
        <v>Paar</v>
      </c>
      <c r="H19" s="103">
        <v>160</v>
      </c>
      <c r="I19" s="49" t="s">
        <v>11941</v>
      </c>
      <c r="J19" s="49" t="s">
        <v>11941</v>
      </c>
      <c r="K19" s="49" t="s">
        <v>11941</v>
      </c>
      <c r="L19" s="49"/>
      <c r="M19" s="49" t="s">
        <v>11941</v>
      </c>
      <c r="N19" s="49"/>
      <c r="O19" s="49"/>
      <c r="P19" s="48"/>
    </row>
    <row r="20" spans="1:16" ht="23.25" customHeight="1" x14ac:dyDescent="0.25">
      <c r="A20" s="46" t="str">
        <f>VLOOKUP(D20,'Master Data'!A:F,2,FALSE)</f>
        <v>Bianca</v>
      </c>
      <c r="B20" s="46" t="str">
        <f>VLOOKUP(D20,'Master Data'!A:F,3,FALSE)</f>
        <v>Eichler</v>
      </c>
      <c r="C20" s="47" t="str">
        <f>VLOOKUP(D20,'Master Data'!A:F,6,FALSE)</f>
        <v>bianca_eich.woelpp@hotmail.de</v>
      </c>
      <c r="D20" s="19" t="s">
        <v>9683</v>
      </c>
      <c r="E20" s="46"/>
      <c r="F20" s="46" t="str">
        <f>VLOOKUP(D20,'Master Data'!A:F,4,FALSE)</f>
        <v>w</v>
      </c>
      <c r="G20" s="46" t="str">
        <f>VLOOKUP(D20,'Master Data'!A:F,5,FALSE)</f>
        <v>Normal</v>
      </c>
      <c r="H20" s="103">
        <v>190</v>
      </c>
      <c r="I20" s="49" t="s">
        <v>11941</v>
      </c>
      <c r="J20" s="49" t="s">
        <v>11941</v>
      </c>
      <c r="K20" s="49" t="s">
        <v>11754</v>
      </c>
      <c r="L20" s="49"/>
      <c r="M20" s="49" t="s">
        <v>11941</v>
      </c>
      <c r="N20" s="49"/>
      <c r="O20" s="49"/>
      <c r="P20" s="48"/>
    </row>
    <row r="21" spans="1:16" ht="23.25" customHeight="1" x14ac:dyDescent="0.25">
      <c r="A21" s="46" t="str">
        <f>VLOOKUP(D21,'Master Data'!A:F,2,FALSE)</f>
        <v>Sabrina</v>
      </c>
      <c r="B21" s="46" t="str">
        <f>VLOOKUP(D21,'Master Data'!A:F,3,FALSE)</f>
        <v>Grube</v>
      </c>
      <c r="C21" s="47" t="str">
        <f>VLOOKUP(D21,'Master Data'!A:F,6,FALSE)</f>
        <v>Sabrina.Grube@gmx.net</v>
      </c>
      <c r="D21" s="30" t="s">
        <v>9659</v>
      </c>
      <c r="E21" s="46" t="s">
        <v>11759</v>
      </c>
      <c r="F21" s="46" t="str">
        <f>VLOOKUP(D21,'Master Data'!A:F,4,FALSE)</f>
        <v>w</v>
      </c>
      <c r="G21" s="46" t="str">
        <f>VLOOKUP(D21,'Master Data'!A:F,5,FALSE)</f>
        <v>Normal</v>
      </c>
      <c r="H21" s="103">
        <v>190</v>
      </c>
      <c r="I21" s="49" t="s">
        <v>11754</v>
      </c>
      <c r="J21" s="49" t="s">
        <v>11941</v>
      </c>
      <c r="K21" s="49" t="s">
        <v>11941</v>
      </c>
      <c r="L21" s="49"/>
      <c r="M21" s="49" t="s">
        <v>11754</v>
      </c>
      <c r="N21" s="49"/>
      <c r="O21" s="49"/>
      <c r="P21" s="48"/>
    </row>
    <row r="22" spans="1:16" ht="23.25" customHeight="1" x14ac:dyDescent="0.25">
      <c r="A22" s="46" t="str">
        <f>VLOOKUP(D22,'Master Data'!A:F,2,FALSE)</f>
        <v>Björn</v>
      </c>
      <c r="B22" s="46" t="str">
        <f>VLOOKUP(D22,'Master Data'!A:F,3,FALSE)</f>
        <v>Friebe</v>
      </c>
      <c r="C22" s="47">
        <f>VLOOKUP(D22,'Master Data'!A:F,6,FALSE)</f>
        <v>0</v>
      </c>
      <c r="D22" s="30" t="s">
        <v>5885</v>
      </c>
      <c r="E22" s="46"/>
      <c r="F22" s="46" t="str">
        <f>VLOOKUP(D22,'Master Data'!A:F,4,FALSE)</f>
        <v>m</v>
      </c>
      <c r="G22" s="46" t="str">
        <f>VLOOKUP(D22,'Master Data'!A:F,5,FALSE)</f>
        <v>Paar</v>
      </c>
      <c r="H22" s="103">
        <v>410</v>
      </c>
      <c r="I22" s="49" t="s">
        <v>11941</v>
      </c>
      <c r="J22" s="49" t="s">
        <v>11941</v>
      </c>
      <c r="K22" s="49" t="s">
        <v>11941</v>
      </c>
      <c r="L22" s="49"/>
      <c r="M22" s="49" t="s">
        <v>11760</v>
      </c>
      <c r="N22" s="49"/>
      <c r="O22" s="49"/>
      <c r="P22" s="48"/>
    </row>
    <row r="23" spans="1:16" ht="23.25" customHeight="1" x14ac:dyDescent="0.25">
      <c r="A23" s="46" t="str">
        <f>VLOOKUP(D23,'Master Data'!A:F,2,FALSE)</f>
        <v>Lea</v>
      </c>
      <c r="B23" s="46" t="str">
        <f>VLOOKUP(D23,'Master Data'!A:F,3,FALSE)</f>
        <v>Weibel</v>
      </c>
      <c r="C23" s="47" t="str">
        <f>VLOOKUP(D23,'Master Data'!A:F,6,FALSE)</f>
        <v>lw23@bluewin.ch</v>
      </c>
      <c r="D23" s="34" t="s">
        <v>9860</v>
      </c>
      <c r="E23" s="46"/>
      <c r="F23" s="46" t="str">
        <f>VLOOKUP(D23,'Master Data'!A:F,4,FALSE)</f>
        <v>w</v>
      </c>
      <c r="G23" s="46" t="str">
        <f>VLOOKUP(D23,'Master Data'!A:F,5,FALSE)</f>
        <v>Normal</v>
      </c>
      <c r="H23" s="106">
        <v>190</v>
      </c>
      <c r="I23" s="49" t="s">
        <v>11941</v>
      </c>
      <c r="J23" s="49" t="s">
        <v>11941</v>
      </c>
      <c r="K23" s="49" t="s">
        <v>11941</v>
      </c>
      <c r="L23" s="49"/>
      <c r="M23" s="49" t="s">
        <v>11941</v>
      </c>
      <c r="N23" s="49"/>
      <c r="O23" s="49" t="s">
        <v>11754</v>
      </c>
      <c r="P23" s="48"/>
    </row>
    <row r="24" spans="1:16" ht="23.25" customHeight="1" x14ac:dyDescent="0.25">
      <c r="A24" s="46" t="str">
        <f>VLOOKUP(D24,'Master Data'!A:F,2,FALSE)</f>
        <v>Marco Alessandro</v>
      </c>
      <c r="B24" s="46" t="str">
        <f>VLOOKUP(D24,'Master Data'!A:F,3,FALSE)</f>
        <v>Pedrazzoli</v>
      </c>
      <c r="C24" s="47" t="str">
        <f>VLOOKUP(D24,'Master Data'!A:F,6,FALSE)</f>
        <v>pedrazzolimarco07@gmail.com</v>
      </c>
      <c r="D24" s="30" t="s">
        <v>10076</v>
      </c>
      <c r="E24" s="46" t="s">
        <v>11665</v>
      </c>
      <c r="F24" s="46" t="str">
        <f>VLOOKUP(D24,'Master Data'!A:F,4,FALSE)</f>
        <v>m</v>
      </c>
      <c r="G24" s="46" t="str">
        <f>VLOOKUP(D24,'Master Data'!A:F,5,FALSE)</f>
        <v>Normal</v>
      </c>
      <c r="H24" s="106">
        <v>150</v>
      </c>
      <c r="I24" s="49" t="s">
        <v>11941</v>
      </c>
      <c r="J24" s="49" t="s">
        <v>11941</v>
      </c>
      <c r="K24" s="49" t="s">
        <v>11754</v>
      </c>
      <c r="L24" s="49"/>
      <c r="M24" s="49" t="s">
        <v>11941</v>
      </c>
      <c r="N24" s="49"/>
      <c r="O24" s="49"/>
      <c r="P24" s="48"/>
    </row>
    <row r="25" spans="1:16" ht="23.25" customHeight="1" x14ac:dyDescent="0.25">
      <c r="A25" s="46" t="str">
        <f>VLOOKUP(D25,'Master Data'!A:F,2,FALSE)</f>
        <v>Magdalena</v>
      </c>
      <c r="B25" s="46" t="str">
        <f>VLOOKUP(D25,'Master Data'!A:F,3,FALSE)</f>
        <v>Siedlok</v>
      </c>
      <c r="C25" s="47" t="str">
        <f>VLOOKUP(D25,'Master Data'!A:F,6,FALSE)</f>
        <v>magdalena.siedlok@gmail.com</v>
      </c>
      <c r="D25" s="30" t="s">
        <v>11810</v>
      </c>
      <c r="E25" s="46" t="s">
        <v>11815</v>
      </c>
      <c r="F25" s="46" t="str">
        <f>VLOOKUP(D25,'Master Data'!A:F,4,FALSE)</f>
        <v>w</v>
      </c>
      <c r="G25" s="46" t="str">
        <f>VLOOKUP(D25,'Master Data'!A:F,5,FALSE)</f>
        <v>Normal</v>
      </c>
      <c r="H25" s="103">
        <v>145</v>
      </c>
      <c r="I25" s="49" t="s">
        <v>11760</v>
      </c>
      <c r="J25" s="49" t="s">
        <v>11760</v>
      </c>
      <c r="K25" s="49" t="s">
        <v>11754</v>
      </c>
      <c r="L25" s="49" t="s">
        <v>11754</v>
      </c>
      <c r="M25" s="49" t="s">
        <v>11754</v>
      </c>
      <c r="N25" s="49" t="s">
        <v>11754</v>
      </c>
      <c r="O25" s="49" t="s">
        <v>11754</v>
      </c>
      <c r="P25" s="49" t="s">
        <v>11754</v>
      </c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8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8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8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8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8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3675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81" priority="1" operator="equal">
      <formula>0</formula>
    </cfRule>
    <cfRule type="expression" dxfId="80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 &amp;Rinfo@salsaflow-dc.com www.salsaflow-dc.com</oddFooter>
  </headerFooter>
  <rowBreaks count="1" manualBreakCount="1">
    <brk id="31" max="16383" man="1"/>
  </rowBreaks>
  <colBreaks count="1" manualBreakCount="1">
    <brk id="1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2F3"/>
  </sheetPr>
  <dimension ref="A1:P1000"/>
  <sheetViews>
    <sheetView view="pageLayout" topLeftCell="A6" zoomScaleNormal="100" workbookViewId="0">
      <selection activeCell="I6" sqref="I6:P6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9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4.42578125" customWidth="1"/>
    <col min="17" max="26" width="7" customWidth="1"/>
  </cols>
  <sheetData>
    <row r="1" spans="1:16" ht="23.25" customHeight="1" x14ac:dyDescent="0.25">
      <c r="A1" s="36" t="s">
        <v>11639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7308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Simone</v>
      </c>
      <c r="B7" s="46" t="str">
        <f>VLOOKUP(D7,'Master Data'!A:F,3,FALSE)</f>
        <v>Frey</v>
      </c>
      <c r="C7" s="47" t="str">
        <f>VLOOKUP(D7,'Master Data'!A:F,6,FALSE)</f>
        <v>simone-frey@hotmail.de</v>
      </c>
      <c r="D7" s="19" t="s">
        <v>11126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6">
        <v>190</v>
      </c>
      <c r="I7" s="49" t="s">
        <v>11941</v>
      </c>
      <c r="J7" s="49" t="s">
        <v>11754</v>
      </c>
      <c r="K7" s="49"/>
      <c r="L7" s="49" t="s">
        <v>11754</v>
      </c>
      <c r="M7" s="49" t="s">
        <v>11941</v>
      </c>
      <c r="N7" s="49"/>
      <c r="O7" s="49"/>
      <c r="P7" s="49" t="s">
        <v>11754</v>
      </c>
    </row>
    <row r="8" spans="1:16" ht="23.25" customHeight="1" x14ac:dyDescent="0.25">
      <c r="A8" s="46" t="str">
        <f>VLOOKUP(D8,'Master Data'!A:F,2,FALSE)</f>
        <v>Nadja</v>
      </c>
      <c r="B8" s="46" t="str">
        <f>VLOOKUP(D8,'Master Data'!A:F,3,FALSE)</f>
        <v>Agreda</v>
      </c>
      <c r="C8" s="47" t="str">
        <f>VLOOKUP(D8,'Master Data'!A:F,6,FALSE)</f>
        <v>nadja_agreda@hotmail.com</v>
      </c>
      <c r="D8" s="19" t="s">
        <v>11134</v>
      </c>
      <c r="E8" s="46" t="s">
        <v>11603</v>
      </c>
      <c r="F8" s="46" t="str">
        <f>VLOOKUP(D8,'Master Data'!A:F,4,FALSE)</f>
        <v>w</v>
      </c>
      <c r="G8" s="46" t="str">
        <f>VLOOKUP(D8,'Master Data'!A:F,5,FALSE)</f>
        <v>Paar</v>
      </c>
      <c r="H8" s="103">
        <v>160</v>
      </c>
      <c r="I8" s="49"/>
      <c r="J8" s="49" t="s">
        <v>11941</v>
      </c>
      <c r="K8" s="49"/>
      <c r="L8" s="49"/>
      <c r="M8" s="49" t="s">
        <v>11941</v>
      </c>
      <c r="N8" s="49"/>
      <c r="O8" s="49"/>
      <c r="P8" s="49"/>
    </row>
    <row r="9" spans="1:16" ht="23.25" customHeight="1" x14ac:dyDescent="0.25">
      <c r="A9" s="46" t="str">
        <f>VLOOKUP(D9,'Master Data'!A:F,2,FALSE)</f>
        <v>Christian</v>
      </c>
      <c r="B9" s="46" t="str">
        <f>VLOOKUP(D9,'Master Data'!A:F,3,FALSE)</f>
        <v>Perren</v>
      </c>
      <c r="C9" s="47">
        <f>VLOOKUP(D9,'Master Data'!A:F,6,FALSE)</f>
        <v>0</v>
      </c>
      <c r="D9" s="30" t="s">
        <v>11138</v>
      </c>
      <c r="E9" s="46" t="s">
        <v>11603</v>
      </c>
      <c r="F9" s="46" t="str">
        <f>VLOOKUP(D9,'Master Data'!A:F,4,FALSE)</f>
        <v>m</v>
      </c>
      <c r="G9" s="46" t="str">
        <f>VLOOKUP(D9,'Master Data'!A:F,5,FALSE)</f>
        <v>Paar</v>
      </c>
      <c r="H9" s="103">
        <v>160</v>
      </c>
      <c r="I9" s="49"/>
      <c r="J9" s="49" t="s">
        <v>11941</v>
      </c>
      <c r="K9" s="49"/>
      <c r="L9" s="49"/>
      <c r="M9" s="49" t="s">
        <v>11941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Yasmin</v>
      </c>
      <c r="B10" s="46" t="str">
        <f>VLOOKUP(D10,'Master Data'!A:F,3,FALSE)</f>
        <v>Blum</v>
      </c>
      <c r="C10" s="47" t="str">
        <f>VLOOKUP(D10,'Master Data'!A:F,6,FALSE)</f>
        <v>blumyas@gmail.com</v>
      </c>
      <c r="D10" s="19" t="s">
        <v>11486</v>
      </c>
      <c r="E10" s="46" t="s">
        <v>12037</v>
      </c>
      <c r="F10" s="46" t="str">
        <f>VLOOKUP(D10,'Master Data'!A:F,4,FALSE)</f>
        <v>w</v>
      </c>
      <c r="G10" s="46" t="str">
        <f>VLOOKUP(D10,'Master Data'!A:F,5,FALSE)</f>
        <v>Normal</v>
      </c>
      <c r="H10" s="106">
        <v>170</v>
      </c>
      <c r="I10" s="49"/>
      <c r="J10" s="49" t="s">
        <v>11941</v>
      </c>
      <c r="K10" s="49"/>
      <c r="L10" s="49"/>
      <c r="M10" s="49" t="s">
        <v>11754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Marija</v>
      </c>
      <c r="B11" s="46" t="str">
        <f>VLOOKUP(D11,'Master Data'!A:F,3,FALSE)</f>
        <v>Milenkovic</v>
      </c>
      <c r="C11" s="47" t="str">
        <f>VLOOKUP(D11,'Master Data'!A:F,6,FALSE)</f>
        <v>marijamilenkovic7@hotmail.com</v>
      </c>
      <c r="D11" s="30" t="s">
        <v>11490</v>
      </c>
      <c r="E11" s="46" t="s">
        <v>11298</v>
      </c>
      <c r="F11" s="46" t="str">
        <f>VLOOKUP(D11,'Master Data'!A:F,4,FALSE)</f>
        <v>w</v>
      </c>
      <c r="G11" s="46" t="str">
        <f>VLOOKUP(D11,'Master Data'!A:F,5,FALSE)</f>
        <v>Normal</v>
      </c>
      <c r="H11" s="103">
        <v>410</v>
      </c>
      <c r="I11" s="49" t="s">
        <v>11941</v>
      </c>
      <c r="J11" s="49" t="s">
        <v>11941</v>
      </c>
      <c r="K11" s="49"/>
      <c r="L11" s="49"/>
      <c r="M11" s="49" t="s">
        <v>11941</v>
      </c>
      <c r="N11" s="49"/>
      <c r="O11" s="49" t="s">
        <v>11754</v>
      </c>
      <c r="P11" s="49"/>
    </row>
    <row r="12" spans="1:16" ht="23.25" customHeight="1" x14ac:dyDescent="0.25">
      <c r="A12" s="46" t="str">
        <f>VLOOKUP(D12,'Master Data'!A:F,2,FALSE)</f>
        <v>Esther</v>
      </c>
      <c r="B12" s="46" t="str">
        <f>VLOOKUP(D12,'Master Data'!A:F,3,FALSE)</f>
        <v>Matt</v>
      </c>
      <c r="C12" s="47" t="str">
        <f>VLOOKUP(D12,'Master Data'!A:F,6,FALSE)</f>
        <v>ematt@gmx.ch</v>
      </c>
      <c r="D12" s="30" t="s">
        <v>8904</v>
      </c>
      <c r="E12" s="46"/>
      <c r="F12" s="46" t="s">
        <v>3163</v>
      </c>
      <c r="G12" s="46" t="str">
        <f>VLOOKUP(D12,'Master Data'!A:F,5,FALSE)</f>
        <v>Normal</v>
      </c>
      <c r="H12" s="103"/>
      <c r="I12" s="49" t="s">
        <v>11941</v>
      </c>
      <c r="J12" s="49" t="s">
        <v>11754</v>
      </c>
      <c r="K12" s="49"/>
      <c r="L12" s="49"/>
      <c r="M12" s="49" t="s">
        <v>11941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Simão Pedro</v>
      </c>
      <c r="B13" s="46" t="str">
        <f>VLOOKUP(D13,'Master Data'!A:F,3,FALSE)</f>
        <v>Oliveira</v>
      </c>
      <c r="C13" s="47" t="str">
        <f>VLOOKUP(D13,'Master Data'!A:F,6,FALSE)</f>
        <v>spedro.oliveira@gmail.com</v>
      </c>
      <c r="D13" s="30" t="s">
        <v>11166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3"/>
      <c r="I13" s="49" t="s">
        <v>11941</v>
      </c>
      <c r="J13" s="49" t="s">
        <v>11941</v>
      </c>
      <c r="K13" s="49"/>
      <c r="L13" s="49"/>
      <c r="M13" s="49" t="s">
        <v>11941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Julie</v>
      </c>
      <c r="B14" s="46" t="str">
        <f>VLOOKUP(D14,'Master Data'!A:F,3,FALSE)</f>
        <v>Pfenninger</v>
      </c>
      <c r="C14" s="47" t="str">
        <f>VLOOKUP(D14,'Master Data'!A:F,6,FALSE)</f>
        <v>j.pfenninger@hotmail.com</v>
      </c>
      <c r="D14" s="30" t="s">
        <v>10994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6">
        <v>285</v>
      </c>
      <c r="I14" s="49" t="s">
        <v>11941</v>
      </c>
      <c r="J14" s="49" t="s">
        <v>11941</v>
      </c>
      <c r="K14" s="49"/>
      <c r="L14" s="49"/>
      <c r="M14" s="49" t="s">
        <v>11941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>Simone</v>
      </c>
      <c r="B15" s="46" t="str">
        <f>VLOOKUP(D15,'Master Data'!A:F,3,FALSE)</f>
        <v>Schmutz</v>
      </c>
      <c r="C15" s="47" t="str">
        <f>VLOOKUP(D15,'Master Data'!A:F,6,FALSE)</f>
        <v>simi_s_88@hotmail.com</v>
      </c>
      <c r="D15" s="30" t="s">
        <v>7668</v>
      </c>
      <c r="E15" s="46" t="s">
        <v>12048</v>
      </c>
      <c r="F15" s="46" t="str">
        <f>VLOOKUP(D15,'Master Data'!A:F,4,FALSE)</f>
        <v>w</v>
      </c>
      <c r="G15" s="46" t="str">
        <f>VLOOKUP(D15,'Master Data'!A:F,5,FALSE)</f>
        <v>Normal</v>
      </c>
      <c r="H15" s="103">
        <v>160</v>
      </c>
      <c r="I15" s="49" t="s">
        <v>11941</v>
      </c>
      <c r="J15" s="49" t="s">
        <v>11941</v>
      </c>
      <c r="K15" s="49"/>
      <c r="L15" s="49"/>
      <c r="M15" s="49" t="s">
        <v>11941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Pascal</v>
      </c>
      <c r="B16" s="46" t="str">
        <f>VLOOKUP(D16,'Master Data'!A:F,3,FALSE)</f>
        <v>Howald</v>
      </c>
      <c r="C16" s="47">
        <f>VLOOKUP(D16,'Master Data'!A:F,6,FALSE)</f>
        <v>0</v>
      </c>
      <c r="D16" s="30" t="s">
        <v>12039</v>
      </c>
      <c r="E16" s="46" t="s">
        <v>12048</v>
      </c>
      <c r="F16" s="46" t="str">
        <f>VLOOKUP(D16,'Master Data'!A:F,4,FALSE)</f>
        <v>m</v>
      </c>
      <c r="G16" s="46" t="str">
        <f>VLOOKUP(D16,'Master Data'!A:F,5,FALSE)</f>
        <v>Paar</v>
      </c>
      <c r="H16" s="103">
        <v>160</v>
      </c>
      <c r="I16" s="49" t="s">
        <v>11941</v>
      </c>
      <c r="J16" s="49" t="s">
        <v>11941</v>
      </c>
      <c r="K16" s="49"/>
      <c r="L16" s="49"/>
      <c r="M16" s="49" t="s">
        <v>11941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Inigo</v>
      </c>
      <c r="B17" s="46" t="str">
        <f>VLOOKUP(D17,'Master Data'!A:F,3,FALSE)</f>
        <v>de la Maza</v>
      </c>
      <c r="C17" s="47" t="str">
        <f>VLOOKUP(D17,'Master Data'!A:F,6,FALSE)</f>
        <v>i.delamaza.prieto@gmail.com</v>
      </c>
      <c r="D17" s="30" t="s">
        <v>11066</v>
      </c>
      <c r="E17" s="46"/>
      <c r="F17" s="46" t="str">
        <f>VLOOKUP(D17,'Master Data'!A:F,4,FALSE)</f>
        <v>m</v>
      </c>
      <c r="G17" s="46" t="str">
        <f>VLOOKUP(D17,'Master Data'!A:F,5,FALSE)</f>
        <v>Normal</v>
      </c>
      <c r="H17" s="106">
        <v>285</v>
      </c>
      <c r="I17" s="49" t="s">
        <v>11941</v>
      </c>
      <c r="J17" s="49" t="s">
        <v>11941</v>
      </c>
      <c r="K17" s="49"/>
      <c r="L17" s="49"/>
      <c r="M17" s="49" t="s">
        <v>11941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Simon</v>
      </c>
      <c r="B18" s="46" t="str">
        <f>VLOOKUP(D18,'Master Data'!A:F,3,FALSE)</f>
        <v>Burri</v>
      </c>
      <c r="C18" s="47" t="str">
        <f>VLOOKUP(D18,'Master Data'!A:F,6,FALSE)</f>
        <v>simon.henry.burri@gmail.com</v>
      </c>
      <c r="D18" s="30" t="s">
        <v>9301</v>
      </c>
      <c r="E18" s="46"/>
      <c r="F18" s="46" t="str">
        <f>VLOOKUP(D18,'Master Data'!A:F,4,FALSE)</f>
        <v>m</v>
      </c>
      <c r="G18" s="46" t="str">
        <f>VLOOKUP(D18,'Master Data'!A:F,5,FALSE)</f>
        <v>Normal</v>
      </c>
      <c r="H18" s="103"/>
      <c r="I18" s="49" t="s">
        <v>11754</v>
      </c>
      <c r="J18" s="49" t="s">
        <v>11941</v>
      </c>
      <c r="K18" s="49"/>
      <c r="L18" s="49" t="s">
        <v>11754</v>
      </c>
      <c r="M18" s="49" t="s">
        <v>11941</v>
      </c>
      <c r="N18" s="49"/>
      <c r="O18" s="49"/>
      <c r="P18" s="49" t="s">
        <v>11754</v>
      </c>
    </row>
    <row r="19" spans="1:16" ht="23.25" customHeight="1" x14ac:dyDescent="0.25">
      <c r="A19" s="46" t="str">
        <f>VLOOKUP(D19,'Master Data'!A:F,2,FALSE)</f>
        <v>Christoph</v>
      </c>
      <c r="B19" s="46" t="str">
        <f>VLOOKUP(D19,'Master Data'!A:F,3,FALSE)</f>
        <v>Isele</v>
      </c>
      <c r="C19" s="47" t="str">
        <f>VLOOKUP(D19,'Master Data'!A:F,6,FALSE)</f>
        <v>christoph.isele@hotmail.de</v>
      </c>
      <c r="D19" s="30" t="s">
        <v>10062</v>
      </c>
      <c r="E19" s="46"/>
      <c r="F19" s="46" t="str">
        <f>VLOOKUP(D19,'Master Data'!A:F,4,FALSE)</f>
        <v>m</v>
      </c>
      <c r="G19" s="46" t="str">
        <f>VLOOKUP(D19,'Master Data'!A:F,5,FALSE)</f>
        <v>Normal</v>
      </c>
      <c r="H19" s="103">
        <v>190</v>
      </c>
      <c r="I19" s="49" t="s">
        <v>11941</v>
      </c>
      <c r="J19" s="49" t="s">
        <v>11941</v>
      </c>
      <c r="K19" s="49"/>
      <c r="L19" s="49"/>
      <c r="M19" s="49" t="s">
        <v>11941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Ivan</v>
      </c>
      <c r="B20" s="46" t="str">
        <f>VLOOKUP(D20,'Master Data'!A:F,3,FALSE)</f>
        <v>Zuparic</v>
      </c>
      <c r="C20" s="47" t="str">
        <f>VLOOKUP(D20,'Master Data'!A:F,6,FALSE)</f>
        <v>ivan.zuparic@gmx.ch</v>
      </c>
      <c r="D20" s="30" t="s">
        <v>9312</v>
      </c>
      <c r="E20" s="46" t="s">
        <v>11665</v>
      </c>
      <c r="F20" s="46" t="str">
        <f>VLOOKUP(D20,'Master Data'!A:F,4,FALSE)</f>
        <v>m</v>
      </c>
      <c r="G20" s="46" t="str">
        <f>VLOOKUP(D20,'Master Data'!A:F,5,FALSE)</f>
        <v>Normal</v>
      </c>
      <c r="H20" s="103"/>
      <c r="I20" s="49" t="s">
        <v>11754</v>
      </c>
      <c r="J20" s="49" t="s">
        <v>11941</v>
      </c>
      <c r="K20" s="49"/>
      <c r="L20" s="49"/>
      <c r="M20" s="49" t="s">
        <v>11754</v>
      </c>
      <c r="N20" s="49" t="s">
        <v>11754</v>
      </c>
      <c r="O20" s="49"/>
      <c r="P20" s="49" t="s">
        <v>11754</v>
      </c>
    </row>
    <row r="21" spans="1:16" ht="23.25" customHeight="1" x14ac:dyDescent="0.25">
      <c r="A21" s="46" t="str">
        <f>VLOOKUP(D21,'Master Data'!A:F,2,FALSE)</f>
        <v>Antonio</v>
      </c>
      <c r="B21" s="46" t="str">
        <f>VLOOKUP(D21,'Master Data'!A:F,3,FALSE)</f>
        <v>Piazza</v>
      </c>
      <c r="C21" s="47" t="str">
        <f>VLOOKUP(D21,'Master Data'!A:F,6,FALSE)</f>
        <v>anpiazza@bluewin.ch</v>
      </c>
      <c r="D21" s="30" t="s">
        <v>11678</v>
      </c>
      <c r="E21" s="66">
        <v>0.2</v>
      </c>
      <c r="F21" s="46" t="str">
        <f>VLOOKUP(D21,'Master Data'!A:F,4,FALSE)</f>
        <v>m</v>
      </c>
      <c r="G21" s="46" t="str">
        <f>VLOOKUP(D21,'Master Data'!A:F,5,FALSE)</f>
        <v>Paar</v>
      </c>
      <c r="H21" s="103">
        <v>256</v>
      </c>
      <c r="I21" s="49" t="s">
        <v>11941</v>
      </c>
      <c r="J21" s="49" t="s">
        <v>11941</v>
      </c>
      <c r="K21" s="49"/>
      <c r="L21" s="49"/>
      <c r="M21" s="49" t="s">
        <v>11941</v>
      </c>
      <c r="N21" s="49"/>
      <c r="O21" s="49"/>
      <c r="P21" s="49"/>
    </row>
    <row r="22" spans="1:16" ht="23.25" customHeight="1" x14ac:dyDescent="0.25">
      <c r="A22" s="46" t="str">
        <f>VLOOKUP(D22,'Master Data'!A:F,2,FALSE)</f>
        <v>Angela</v>
      </c>
      <c r="B22" s="46" t="str">
        <f>VLOOKUP(D22,'Master Data'!A:F,3,FALSE)</f>
        <v>Piazza</v>
      </c>
      <c r="C22" s="47">
        <f>VLOOKUP(D22,'Master Data'!A:F,6,FALSE)</f>
        <v>0</v>
      </c>
      <c r="D22" s="30" t="s">
        <v>11679</v>
      </c>
      <c r="E22" s="66">
        <v>0.2</v>
      </c>
      <c r="F22" s="46" t="str">
        <f>VLOOKUP(D22,'Master Data'!A:F,4,FALSE)</f>
        <v>w</v>
      </c>
      <c r="G22" s="46" t="str">
        <f>VLOOKUP(D22,'Master Data'!A:F,5,FALSE)</f>
        <v>Paar</v>
      </c>
      <c r="H22" s="103"/>
      <c r="I22" s="49" t="s">
        <v>11941</v>
      </c>
      <c r="J22" s="49" t="s">
        <v>11941</v>
      </c>
      <c r="K22" s="49"/>
      <c r="L22" s="49"/>
      <c r="M22" s="49" t="s">
        <v>11941</v>
      </c>
      <c r="N22" s="49"/>
      <c r="O22" s="49"/>
      <c r="P22" s="49"/>
    </row>
    <row r="23" spans="1:16" ht="23.25" customHeight="1" x14ac:dyDescent="0.25">
      <c r="A23" s="46" t="str">
        <f>VLOOKUP(D23,'Master Data'!A:F,2,FALSE)</f>
        <v>Alexander</v>
      </c>
      <c r="B23" s="46" t="str">
        <f>VLOOKUP(D23,'Master Data'!A:F,3,FALSE)</f>
        <v>Egger</v>
      </c>
      <c r="C23" s="47">
        <f>VLOOKUP(D23,'Master Data'!A:F,6,FALSE)</f>
        <v>0</v>
      </c>
      <c r="D23" s="30" t="s">
        <v>11714</v>
      </c>
      <c r="E23" s="46"/>
      <c r="F23" s="46" t="str">
        <f>VLOOKUP(D23,'Master Data'!A:F,4,FALSE)</f>
        <v>m</v>
      </c>
      <c r="G23" s="46" t="str">
        <f>VLOOKUP(D23,'Master Data'!A:F,5,FALSE)</f>
        <v>Paar</v>
      </c>
      <c r="H23" s="103">
        <v>160</v>
      </c>
      <c r="I23" s="49" t="s">
        <v>11941</v>
      </c>
      <c r="J23" s="49" t="s">
        <v>11941</v>
      </c>
      <c r="K23" s="49"/>
      <c r="L23" s="49"/>
      <c r="M23" s="49" t="s">
        <v>11941</v>
      </c>
      <c r="N23" s="49"/>
      <c r="O23" s="49"/>
      <c r="P23" s="49"/>
    </row>
    <row r="24" spans="1:16" ht="23.25" customHeight="1" x14ac:dyDescent="0.25">
      <c r="A24" s="46" t="str">
        <f>VLOOKUP(D24,'Master Data'!A:F,2,FALSE)</f>
        <v>Daniela</v>
      </c>
      <c r="B24" s="46" t="str">
        <f>VLOOKUP(D24,'Master Data'!A:F,3,FALSE)</f>
        <v>Egger</v>
      </c>
      <c r="C24" s="47" t="str">
        <f>VLOOKUP(D24,'Master Data'!A:F,6,FALSE)</f>
        <v>daniela.schaffner@hotmail.com</v>
      </c>
      <c r="D24" s="30" t="s">
        <v>11715</v>
      </c>
      <c r="E24" s="46"/>
      <c r="F24" s="46" t="str">
        <f>VLOOKUP(D24,'Master Data'!A:F,4,FALSE)</f>
        <v>w</v>
      </c>
      <c r="G24" s="46" t="str">
        <f>VLOOKUP(D24,'Master Data'!A:F,5,FALSE)</f>
        <v>Paar</v>
      </c>
      <c r="H24" s="103">
        <v>160</v>
      </c>
      <c r="I24" s="49" t="s">
        <v>11941</v>
      </c>
      <c r="J24" s="49" t="s">
        <v>11941</v>
      </c>
      <c r="K24" s="49"/>
      <c r="L24" s="49"/>
      <c r="M24" s="49" t="s">
        <v>11941</v>
      </c>
      <c r="N24" s="49"/>
      <c r="O24" s="49"/>
      <c r="P24" s="49"/>
    </row>
    <row r="25" spans="1:16" ht="23.25" customHeight="1" x14ac:dyDescent="0.25">
      <c r="A25" s="46" t="s">
        <v>11940</v>
      </c>
      <c r="B25" s="46" t="str">
        <f>VLOOKUP(D25,'Master Data'!A:F,3,FALSE)</f>
        <v>Soare</v>
      </c>
      <c r="C25" s="47" t="str">
        <f>VLOOKUP(D25,'Master Data'!A:F,6,FALSE)</f>
        <v>soare.alexandra95@yahoo.com</v>
      </c>
      <c r="D25" s="30" t="s">
        <v>11773</v>
      </c>
      <c r="E25" s="46"/>
      <c r="F25" s="46" t="str">
        <f>VLOOKUP(D25,'Master Data'!A:F,4,FALSE)</f>
        <v>w</v>
      </c>
      <c r="G25" s="46" t="str">
        <f>VLOOKUP(D25,'Master Data'!A:F,5,FALSE)</f>
        <v>Normal</v>
      </c>
      <c r="H25" s="103">
        <v>190</v>
      </c>
      <c r="I25" s="49" t="s">
        <v>11941</v>
      </c>
      <c r="J25" s="49" t="s">
        <v>11941</v>
      </c>
      <c r="K25" s="49"/>
      <c r="L25" s="49"/>
      <c r="M25" s="49" t="s">
        <v>11941</v>
      </c>
      <c r="N25" s="49"/>
      <c r="O25" s="49"/>
      <c r="P25" s="49"/>
    </row>
    <row r="26" spans="1:16" ht="23.25" customHeight="1" x14ac:dyDescent="0.25">
      <c r="A26" s="46" t="str">
        <f>VLOOKUP(D26,'Master Data'!A:F,2,FALSE)</f>
        <v>Ivan</v>
      </c>
      <c r="B26" s="46" t="str">
        <f>VLOOKUP(D26,'Master Data'!A:F,3,FALSE)</f>
        <v>Glushenkov</v>
      </c>
      <c r="C26" s="47" t="str">
        <f>VLOOKUP(D26,'Master Data'!A:F,6,FALSE)</f>
        <v>ivan.glushenkov.data@gmail.com</v>
      </c>
      <c r="D26" s="30" t="s">
        <v>11116</v>
      </c>
      <c r="E26" s="46" t="s">
        <v>11298</v>
      </c>
      <c r="F26" s="46" t="str">
        <f>VLOOKUP(D26,'Master Data'!A:F,4,FALSE)</f>
        <v>m</v>
      </c>
      <c r="G26" s="46" t="str">
        <f>VLOOKUP(D26,'Master Data'!A:F,5,FALSE)</f>
        <v>Normal</v>
      </c>
      <c r="H26" s="103"/>
      <c r="I26" s="49"/>
      <c r="J26" s="49" t="s">
        <v>11941</v>
      </c>
      <c r="K26" s="49"/>
      <c r="L26" s="49"/>
      <c r="M26" s="49" t="s">
        <v>11941</v>
      </c>
      <c r="N26" s="49"/>
      <c r="O26" s="49"/>
      <c r="P26" s="49"/>
    </row>
    <row r="27" spans="1:16" ht="23.25" customHeight="1" x14ac:dyDescent="0.25">
      <c r="A27" s="46" t="str">
        <f>VLOOKUP(D27,'Master Data'!A:F,2,FALSE)</f>
        <v>Ben</v>
      </c>
      <c r="B27" s="46" t="str">
        <f>VLOOKUP(D27,'Master Data'!A:F,3,FALSE)</f>
        <v>Böke</v>
      </c>
      <c r="C27" s="47" t="str">
        <f>VLOOKUP(D27,'Master Data'!A:F,6,FALSE)</f>
        <v>ben25boeke@gmail.com</v>
      </c>
      <c r="D27" s="98" t="s">
        <v>11951</v>
      </c>
      <c r="E27" s="46" t="s">
        <v>11298</v>
      </c>
      <c r="F27" s="46" t="str">
        <f>VLOOKUP(D27,'Master Data'!A:F,4,FALSE)</f>
        <v>m</v>
      </c>
      <c r="G27" s="46" t="str">
        <f>VLOOKUP(D27,'Master Data'!A:F,5,FALSE)</f>
        <v>Normal</v>
      </c>
      <c r="H27" s="103"/>
      <c r="I27" s="49"/>
      <c r="J27" s="49" t="s">
        <v>11941</v>
      </c>
      <c r="K27" s="49"/>
      <c r="L27" s="49"/>
      <c r="M27" s="49" t="s">
        <v>11941</v>
      </c>
      <c r="N27" s="49"/>
      <c r="O27" s="49"/>
      <c r="P27" s="49"/>
    </row>
    <row r="28" spans="1:16" ht="23.25" customHeight="1" x14ac:dyDescent="0.25">
      <c r="A28" s="46" t="str">
        <f>VLOOKUP(D28,'Master Data'!A:F,2,FALSE)</f>
        <v>Meral</v>
      </c>
      <c r="B28" s="46" t="str">
        <f>VLOOKUP(D28,'Master Data'!A:F,3,FALSE)</f>
        <v>Bozkiraç</v>
      </c>
      <c r="C28" s="47" t="str">
        <f>VLOOKUP(D28,'Master Data'!A:F,6,FALSE)</f>
        <v>meral.bozkirac@gmail.com</v>
      </c>
      <c r="D28" s="30" t="s">
        <v>12049</v>
      </c>
      <c r="E28" s="46" t="s">
        <v>11665</v>
      </c>
      <c r="F28" s="46" t="str">
        <f>VLOOKUP(D28,'Master Data'!A:F,4,FALSE)</f>
        <v>w</v>
      </c>
      <c r="G28" s="46" t="str">
        <f>VLOOKUP(D28,'Master Data'!A:F,5,FALSE)</f>
        <v>Normal</v>
      </c>
      <c r="H28" s="103">
        <v>190</v>
      </c>
      <c r="I28" s="49"/>
      <c r="J28" s="49"/>
      <c r="K28" s="49"/>
      <c r="L28" s="49"/>
      <c r="M28" s="49" t="s">
        <v>11941</v>
      </c>
      <c r="N28" s="49"/>
      <c r="O28" s="49"/>
      <c r="P28" s="49"/>
    </row>
    <row r="29" spans="1:16" ht="23.25" customHeight="1" x14ac:dyDescent="0.25">
      <c r="A29" s="46" t="str">
        <f>VLOOKUP(D29,'Master Data'!A:F,2,FALSE)</f>
        <v>David</v>
      </c>
      <c r="B29" s="46" t="str">
        <f>VLOOKUP(D29,'Master Data'!A:F,3,FALSE)</f>
        <v>Schwegler</v>
      </c>
      <c r="C29" s="47" t="str">
        <f>VLOOKUP(D29,'Master Data'!A:F,6,FALSE)</f>
        <v>davidschweg@gmail.com</v>
      </c>
      <c r="D29" s="30" t="s">
        <v>9337</v>
      </c>
      <c r="E29" s="46"/>
      <c r="F29" s="46" t="str">
        <f>VLOOKUP(D29,'Master Data'!A:F,4,FALSE)</f>
        <v>m</v>
      </c>
      <c r="G29" s="46" t="str">
        <f>VLOOKUP(D29,'Master Data'!A:F,5,FALSE)</f>
        <v>Normal</v>
      </c>
      <c r="H29" s="106">
        <v>190</v>
      </c>
      <c r="I29" s="49"/>
      <c r="J29" s="49"/>
      <c r="K29" s="49"/>
      <c r="L29" s="49"/>
      <c r="M29" s="49" t="s">
        <v>11941</v>
      </c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19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 t="s">
        <v>12091</v>
      </c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46" t="e">
        <f>VLOOKUP(D32,'Master Data'!A:F,4,FALSE)</f>
        <v>#N/A</v>
      </c>
      <c r="G32" s="46" t="e">
        <f>VLOOKUP(D32,'Master Data'!A:F,5,FALSE)</f>
        <v>#N/A</v>
      </c>
      <c r="H32" s="51">
        <f>SUM(H7:H31)</f>
        <v>3316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A7:C32 F7:G32">
    <cfRule type="cellIs" dxfId="79" priority="1" operator="equal">
      <formula>0</formula>
    </cfRule>
    <cfRule type="expression" dxfId="78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2F3"/>
  </sheetPr>
  <dimension ref="A1:P32"/>
  <sheetViews>
    <sheetView view="pageLayout" zoomScaleNormal="100" workbookViewId="0">
      <selection activeCell="P8" sqref="P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8.42578125" customWidth="1"/>
    <col min="4" max="4" width="17.42578125" customWidth="1"/>
    <col min="5" max="5" width="28" customWidth="1"/>
    <col min="6" max="6" width="6.42578125" customWidth="1"/>
    <col min="7" max="7" width="10.42578125" customWidth="1"/>
    <col min="8" max="8" width="12.42578125" customWidth="1"/>
    <col min="9" max="16" width="4.42578125" customWidth="1"/>
    <col min="17" max="17" width="10.42578125" customWidth="1"/>
    <col min="18" max="26" width="7" customWidth="1"/>
  </cols>
  <sheetData>
    <row r="1" spans="1:16" ht="23.25" customHeight="1" x14ac:dyDescent="0.25">
      <c r="A1" s="36" t="s">
        <v>11640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11279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Manuel</v>
      </c>
      <c r="B7" s="46" t="str">
        <f>VLOOKUP(D7,'Master Data'!A:F,3,FALSE)</f>
        <v>Field</v>
      </c>
      <c r="C7" s="47" t="str">
        <f>VLOOKUP(D7,'Master Data'!A:F,6,FALSE)</f>
        <v>manu@cantab.net</v>
      </c>
      <c r="D7" s="34" t="s">
        <v>4632</v>
      </c>
      <c r="E7" s="46"/>
      <c r="F7" s="46" t="str">
        <f>VLOOKUP(D7,'Master Data'!A:F,4,FALSE)</f>
        <v>m</v>
      </c>
      <c r="G7" s="46" t="str">
        <f>VLOOKUP(D7,'Master Data'!A:F,5,FALSE)</f>
        <v>Normal</v>
      </c>
      <c r="H7" s="106">
        <v>190</v>
      </c>
      <c r="I7" s="49" t="s">
        <v>11941</v>
      </c>
      <c r="J7" s="49" t="s">
        <v>11941</v>
      </c>
      <c r="K7" s="49" t="s">
        <v>11941</v>
      </c>
      <c r="L7" s="49"/>
      <c r="M7" s="49" t="s">
        <v>11941</v>
      </c>
      <c r="N7" s="49"/>
      <c r="O7" s="49" t="s">
        <v>11754</v>
      </c>
      <c r="P7" s="49"/>
    </row>
    <row r="8" spans="1:16" ht="23.25" customHeight="1" x14ac:dyDescent="0.25">
      <c r="A8" s="46" t="str">
        <f>VLOOKUP(D8,'Master Data'!A:F,2,FALSE)</f>
        <v>Gensan</v>
      </c>
      <c r="B8" s="46" t="str">
        <f>VLOOKUP(D8,'Master Data'!A:F,3,FALSE)</f>
        <v>Thavarajah</v>
      </c>
      <c r="C8" s="47" t="str">
        <f>VLOOKUP(D8,'Master Data'!A:F,6,FALSE)</f>
        <v>gensan.t@hotmail.ch</v>
      </c>
      <c r="D8" s="33" t="s">
        <v>9641</v>
      </c>
      <c r="E8" s="46"/>
      <c r="F8" s="46" t="str">
        <f>VLOOKUP(D8,'Master Data'!A:F,4,FALSE)</f>
        <v>m</v>
      </c>
      <c r="G8" s="46" t="str">
        <f>VLOOKUP(D8,'Master Data'!A:F,5,FALSE)</f>
        <v>Normal</v>
      </c>
      <c r="H8" s="106">
        <v>285</v>
      </c>
      <c r="I8" s="49" t="s">
        <v>11941</v>
      </c>
      <c r="J8" s="49" t="s">
        <v>11941</v>
      </c>
      <c r="K8" s="49" t="s">
        <v>11941</v>
      </c>
      <c r="L8" s="49"/>
      <c r="M8" s="49" t="s">
        <v>11941</v>
      </c>
      <c r="N8" s="49"/>
      <c r="O8" s="49"/>
      <c r="P8" s="49"/>
    </row>
    <row r="9" spans="1:16" ht="23.25" customHeight="1" x14ac:dyDescent="0.25">
      <c r="A9" s="46" t="str">
        <f>VLOOKUP(D9,'Master Data'!A:F,2,FALSE)</f>
        <v>Theresa</v>
      </c>
      <c r="B9" s="46" t="str">
        <f>VLOOKUP(D9,'Master Data'!A:F,3,FALSE)</f>
        <v>Reiker</v>
      </c>
      <c r="C9" s="47" t="str">
        <f>VLOOKUP(D9,'Master Data'!A:F,6,FALSE)</f>
        <v>gvilanovaa@gmail.com</v>
      </c>
      <c r="D9" s="30" t="s">
        <v>7075</v>
      </c>
      <c r="E9" s="46"/>
      <c r="F9" s="46" t="str">
        <f>VLOOKUP(D9,'Master Data'!A:F,4,FALSE)</f>
        <v>w</v>
      </c>
      <c r="G9" s="46" t="str">
        <f>VLOOKUP(D9,'Master Data'!A:F,5,FALSE)</f>
        <v>Paar</v>
      </c>
      <c r="H9" s="106">
        <v>190</v>
      </c>
      <c r="I9" s="49" t="s">
        <v>11941</v>
      </c>
      <c r="J9" s="49" t="s">
        <v>11941</v>
      </c>
      <c r="K9" s="49" t="s">
        <v>11754</v>
      </c>
      <c r="L9" s="49"/>
      <c r="M9" s="49" t="s">
        <v>11941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Mathias</v>
      </c>
      <c r="B10" s="46" t="str">
        <f>VLOOKUP(D10,'Master Data'!A:F,3,FALSE)</f>
        <v>Landsrath</v>
      </c>
      <c r="C10" s="47" t="str">
        <f>VLOOKUP(D10,'Master Data'!A:F,6,FALSE)</f>
        <v>matila@gmx.de</v>
      </c>
      <c r="D10" s="30" t="s">
        <v>4067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3"/>
      <c r="I10" s="49" t="s">
        <v>11754</v>
      </c>
      <c r="J10" s="49" t="s">
        <v>11941</v>
      </c>
      <c r="K10" s="49" t="s">
        <v>11754</v>
      </c>
      <c r="L10" s="49"/>
      <c r="M10" s="49" t="s">
        <v>11941</v>
      </c>
      <c r="N10" s="49" t="s">
        <v>11754</v>
      </c>
      <c r="O10" s="49"/>
      <c r="P10" s="49"/>
    </row>
    <row r="11" spans="1:16" ht="23.25" customHeight="1" x14ac:dyDescent="0.25">
      <c r="A11" s="46" t="str">
        <f>VLOOKUP(D11,'Master Data'!A:F,2,FALSE)</f>
        <v>Sarah</v>
      </c>
      <c r="B11" s="46" t="str">
        <f>VLOOKUP(D11,'Master Data'!A:F,3,FALSE)</f>
        <v>Imhof</v>
      </c>
      <c r="C11" s="47" t="str">
        <f>VLOOKUP(D11,'Master Data'!A:F,6,FALSE)</f>
        <v>sarah.imhof60@gmail.com</v>
      </c>
      <c r="D11" s="30" t="s">
        <v>8507</v>
      </c>
      <c r="E11" s="46"/>
      <c r="F11" s="46" t="str">
        <f>VLOOKUP(D11,'Master Data'!A:F,4,FALSE)</f>
        <v>w</v>
      </c>
      <c r="G11" s="46" t="str">
        <f>VLOOKUP(D11,'Master Data'!A:F,5,FALSE)</f>
        <v>Paar</v>
      </c>
      <c r="H11" s="103"/>
      <c r="I11" s="49" t="s">
        <v>11941</v>
      </c>
      <c r="J11" s="49" t="s">
        <v>11941</v>
      </c>
      <c r="K11" s="49" t="s">
        <v>11941</v>
      </c>
      <c r="L11" s="49"/>
      <c r="M11" s="49" t="s">
        <v>11941</v>
      </c>
      <c r="N11" s="49" t="s">
        <v>11754</v>
      </c>
      <c r="O11" s="49"/>
      <c r="P11" s="49"/>
    </row>
    <row r="12" spans="1:16" ht="23.25" customHeight="1" x14ac:dyDescent="0.25">
      <c r="A12" s="46" t="str">
        <f>VLOOKUP(D12,'Master Data'!A:F,2,FALSE)</f>
        <v>Moritz</v>
      </c>
      <c r="B12" s="46" t="str">
        <f>VLOOKUP(D12,'Master Data'!A:F,3,FALSE)</f>
        <v>Bachmann</v>
      </c>
      <c r="C12" s="47" t="str">
        <f>VLOOKUP(D12,'Master Data'!A:F,6,FALSE)</f>
        <v>moritz.bachmann@roche.com</v>
      </c>
      <c r="D12" s="19" t="s">
        <v>10118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3">
        <v>410</v>
      </c>
      <c r="I12" s="49" t="s">
        <v>11941</v>
      </c>
      <c r="J12" s="49" t="s">
        <v>11941</v>
      </c>
      <c r="K12" s="49" t="s">
        <v>11754</v>
      </c>
      <c r="L12" s="49"/>
      <c r="M12" s="49" t="s">
        <v>11941</v>
      </c>
      <c r="N12" s="49"/>
      <c r="O12" s="49" t="s">
        <v>11754</v>
      </c>
      <c r="P12" s="49"/>
    </row>
    <row r="13" spans="1:16" ht="23.25" customHeight="1" x14ac:dyDescent="0.25">
      <c r="A13" s="46" t="str">
        <f>VLOOKUP(D13,'Master Data'!A:F,2,FALSE)</f>
        <v>Merlin</v>
      </c>
      <c r="B13" s="46" t="str">
        <f>VLOOKUP(D13,'Master Data'!A:F,3,FALSE)</f>
        <v>Zeugin</v>
      </c>
      <c r="C13" s="47">
        <f>VLOOKUP(D13,'Master Data'!A:F,6,FALSE)</f>
        <v>0</v>
      </c>
      <c r="D13" s="30" t="s">
        <v>8810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6">
        <v>190</v>
      </c>
      <c r="I13" s="49" t="s">
        <v>11754</v>
      </c>
      <c r="J13" s="49" t="s">
        <v>11941</v>
      </c>
      <c r="K13" s="49" t="s">
        <v>11754</v>
      </c>
      <c r="L13" s="49" t="s">
        <v>11754</v>
      </c>
      <c r="M13" s="49" t="s">
        <v>11754</v>
      </c>
      <c r="N13" s="49" t="s">
        <v>11754</v>
      </c>
      <c r="O13" s="49" t="s">
        <v>11754</v>
      </c>
      <c r="P13" s="49"/>
    </row>
    <row r="14" spans="1:16" ht="23.25" customHeight="1" x14ac:dyDescent="0.25">
      <c r="A14" s="46" t="str">
        <f>VLOOKUP(D14,'Master Data'!A:F,2,FALSE)</f>
        <v>Stephanie</v>
      </c>
      <c r="B14" s="46" t="str">
        <f>VLOOKUP(D14,'Master Data'!A:F,3,FALSE)</f>
        <v>Csendes</v>
      </c>
      <c r="C14" s="47" t="str">
        <f>VLOOKUP(D14,'Master Data'!A:F,6,FALSE)</f>
        <v>stephanie.csendes@gmail.com</v>
      </c>
      <c r="D14" s="19" t="s">
        <v>9476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3"/>
      <c r="I14" s="49" t="s">
        <v>11941</v>
      </c>
      <c r="J14" s="49" t="s">
        <v>11941</v>
      </c>
      <c r="K14" s="49" t="s">
        <v>11941</v>
      </c>
      <c r="L14" s="49"/>
      <c r="M14" s="49" t="s">
        <v>11941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>Myriam</v>
      </c>
      <c r="B15" s="46" t="str">
        <f>VLOOKUP(D15,'Master Data'!A:F,3,FALSE)</f>
        <v>Aouadi</v>
      </c>
      <c r="C15" s="47" t="str">
        <f>VLOOKUP(D15,'Master Data'!A:F,6,FALSE)</f>
        <v>aouadme@gmail.com</v>
      </c>
      <c r="D15" s="19" t="s">
        <v>5648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03"/>
      <c r="I15" s="49" t="s">
        <v>11754</v>
      </c>
      <c r="J15" s="49" t="s">
        <v>11941</v>
      </c>
      <c r="K15" s="49" t="s">
        <v>11941</v>
      </c>
      <c r="L15" s="49"/>
      <c r="M15" s="49" t="s">
        <v>11941</v>
      </c>
      <c r="N15" s="49"/>
      <c r="O15" s="49"/>
      <c r="P15" s="49"/>
    </row>
    <row r="16" spans="1:16" ht="23.25" customHeight="1" x14ac:dyDescent="0.25">
      <c r="A16" s="46" t="e">
        <f>VLOOKUP(D16,'Master Data'!A:F,2,FALSE)</f>
        <v>#N/A</v>
      </c>
      <c r="B16" s="46" t="e">
        <f>VLOOKUP(D16,'Master Data'!A:F,3,FALSE)</f>
        <v>#N/A</v>
      </c>
      <c r="C16" s="47" t="e">
        <f>VLOOKUP(D16,'Master Data'!A:F,6,FALSE)</f>
        <v>#N/A</v>
      </c>
      <c r="D16" s="19"/>
      <c r="E16" s="46"/>
      <c r="F16" s="46" t="e">
        <f>VLOOKUP(D16,'Master Data'!A:F,4,FALSE)</f>
        <v>#N/A</v>
      </c>
      <c r="G16" s="46" t="e">
        <f>VLOOKUP(D16,'Master Data'!A:F,5,FALSE)</f>
        <v>#N/A</v>
      </c>
      <c r="H16" s="48"/>
      <c r="I16" s="49"/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e">
        <f>VLOOKUP(D17,'Master Data'!A:F,2,FALSE)</f>
        <v>#N/A</v>
      </c>
      <c r="B17" s="46" t="e">
        <f>VLOOKUP(D17,'Master Data'!A:F,3,FALSE)</f>
        <v>#N/A</v>
      </c>
      <c r="C17" s="47" t="e">
        <f>VLOOKUP(D17,'Master Data'!A:F,6,FALSE)</f>
        <v>#N/A</v>
      </c>
      <c r="D17" s="19"/>
      <c r="E17" s="46"/>
      <c r="F17" s="46" t="e">
        <f>VLOOKUP(D17,'Master Data'!A:F,4,FALSE)</f>
        <v>#N/A</v>
      </c>
      <c r="G17" s="46" t="e">
        <f>VLOOKUP(D17,'Master Data'!A:F,5,FALSE)</f>
        <v>#N/A</v>
      </c>
      <c r="H17" s="48"/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30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1265</v>
      </c>
      <c r="I32" s="31"/>
      <c r="J32" s="31"/>
      <c r="K32" s="31"/>
      <c r="L32" s="31"/>
      <c r="M32" s="31"/>
      <c r="N32" s="31"/>
      <c r="O32" s="31"/>
      <c r="P32" s="31"/>
    </row>
  </sheetData>
  <mergeCells count="1">
    <mergeCell ref="I6:P6"/>
  </mergeCells>
  <phoneticPr fontId="34" type="noConversion"/>
  <conditionalFormatting sqref="F7:G31 A7:C32">
    <cfRule type="cellIs" dxfId="77" priority="1" operator="equal">
      <formula>0</formula>
    </cfRule>
    <cfRule type="expression" dxfId="76" priority="2">
      <formula>ISERROR(A7)</formula>
    </cfRule>
  </conditionalFormatting>
  <pageMargins left="0.41666666666666669" right="0.41666666666666669" top="0.78740157499999996" bottom="0.78740157499999996" header="0" footer="0"/>
  <pageSetup paperSize="9" scale="75" orientation="landscape" r:id="rId1"/>
  <headerFooter>
    <oddFooter>&amp;LSalsaflow Dance Company KLG Elisabethenanlage 7, 4051 Basel&amp;CSebastian - Tel. 076 218 21 98 Fabio - Tel. 076 478 84 11&amp;Rinfo@salsaflow-dc.com www.salsaflow-dc.com</oddFooter>
  </headerFooter>
  <rowBreaks count="1" manualBreakCount="1">
    <brk id="3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2F3"/>
  </sheetPr>
  <dimension ref="A1:P1002"/>
  <sheetViews>
    <sheetView view="pageLayout" topLeftCell="A6" zoomScaleNormal="100" workbookViewId="0">
      <selection activeCell="I6" sqref="I6:P6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11641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11291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Michelle</v>
      </c>
      <c r="B7" s="46" t="str">
        <f>VLOOKUP(D7,'Master Data'!A:F,3,FALSE)</f>
        <v>Wülser</v>
      </c>
      <c r="C7" s="47" t="str">
        <f>VLOOKUP(D7,'Master Data'!A:F,6,FALSE)</f>
        <v>michellew@gmx.ch</v>
      </c>
      <c r="D7" s="34" t="s">
        <v>8421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3">
        <v>160</v>
      </c>
      <c r="I7" s="49"/>
      <c r="J7" s="49" t="s">
        <v>11941</v>
      </c>
      <c r="K7" s="49"/>
      <c r="L7" s="49" t="s">
        <v>11760</v>
      </c>
      <c r="M7" s="49" t="s">
        <v>11760</v>
      </c>
      <c r="N7" s="49" t="s">
        <v>11754</v>
      </c>
      <c r="O7" s="49"/>
      <c r="P7" s="49"/>
    </row>
    <row r="8" spans="1:16" ht="23.25" customHeight="1" x14ac:dyDescent="0.25">
      <c r="A8" s="46" t="str">
        <f>VLOOKUP(D8,'Master Data'!A:F,2,FALSE)</f>
        <v>Nora</v>
      </c>
      <c r="B8" s="46" t="str">
        <f>VLOOKUP(D8,'Master Data'!A:F,3,FALSE)</f>
        <v>Weber</v>
      </c>
      <c r="C8" s="47" t="str">
        <f>VLOOKUP(D8,'Master Data'!A:F,6,FALSE)</f>
        <v>nora.weber@outlook.com</v>
      </c>
      <c r="D8" s="34" t="s">
        <v>8425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3">
        <v>190</v>
      </c>
      <c r="I8" s="49" t="s">
        <v>11941</v>
      </c>
      <c r="J8" s="49" t="s">
        <v>11941</v>
      </c>
      <c r="K8" s="49"/>
      <c r="L8" s="49" t="s">
        <v>11754</v>
      </c>
      <c r="M8" s="49" t="s">
        <v>11760</v>
      </c>
      <c r="N8" s="49"/>
      <c r="O8" s="49"/>
      <c r="P8" s="49" t="s">
        <v>11754</v>
      </c>
    </row>
    <row r="9" spans="1:16" ht="23.25" customHeight="1" x14ac:dyDescent="0.25">
      <c r="A9" s="46" t="str">
        <f>VLOOKUP(D9,'Master Data'!A:F,2,FALSE)</f>
        <v>Nikki</v>
      </c>
      <c r="B9" s="46" t="str">
        <f>VLOOKUP(D9,'Master Data'!A:F,3,FALSE)</f>
        <v>Parsons</v>
      </c>
      <c r="C9" s="47" t="str">
        <f>VLOOKUP(D9,'Master Data'!A:F,6,FALSE)</f>
        <v>nikk.a.parsons@gmail.com</v>
      </c>
      <c r="D9" s="34" t="s">
        <v>8527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03">
        <v>90</v>
      </c>
      <c r="I9" s="49" t="s">
        <v>11941</v>
      </c>
      <c r="J9" s="49" t="s">
        <v>11941</v>
      </c>
      <c r="K9" s="49"/>
      <c r="L9" s="49"/>
      <c r="M9" s="49" t="s">
        <v>11754</v>
      </c>
      <c r="N9" s="49" t="s">
        <v>11754</v>
      </c>
      <c r="O9" s="49" t="s">
        <v>11754</v>
      </c>
      <c r="P9" s="49" t="s">
        <v>11754</v>
      </c>
    </row>
    <row r="10" spans="1:16" ht="23.25" customHeight="1" x14ac:dyDescent="0.25">
      <c r="A10" s="46" t="str">
        <f>VLOOKUP(D10,'Master Data'!A:F,2,FALSE)</f>
        <v>Helena</v>
      </c>
      <c r="B10" s="46" t="str">
        <f>VLOOKUP(D10,'Master Data'!A:F,3,FALSE)</f>
        <v>Comas</v>
      </c>
      <c r="C10" s="47" t="str">
        <f>VLOOKUP(D10,'Master Data'!A:F,6,FALSE)</f>
        <v>helenaccreus@gmail.com</v>
      </c>
      <c r="D10" s="33" t="s">
        <v>8537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16">
        <v>190</v>
      </c>
      <c r="I10" s="49" t="s">
        <v>11754</v>
      </c>
      <c r="J10" s="49" t="s">
        <v>11754</v>
      </c>
      <c r="K10" s="49"/>
      <c r="L10" s="49"/>
      <c r="M10" s="49" t="s">
        <v>11760</v>
      </c>
      <c r="N10" s="49" t="s">
        <v>11754</v>
      </c>
      <c r="O10" s="49"/>
      <c r="P10" s="49" t="s">
        <v>11754</v>
      </c>
    </row>
    <row r="11" spans="1:16" ht="23.25" customHeight="1" x14ac:dyDescent="0.25">
      <c r="A11" s="46" t="str">
        <f>VLOOKUP(D11,'Master Data'!A:F,2,FALSE)</f>
        <v>Afaf</v>
      </c>
      <c r="B11" s="46" t="str">
        <f>VLOOKUP(D11,'Master Data'!A:F,3,FALSE)</f>
        <v>Elkurdi</v>
      </c>
      <c r="C11" s="47" t="str">
        <f>VLOOKUP(D11,'Master Data'!A:F,6,FALSE)</f>
        <v>elkurdi_afaf@hotmail.com</v>
      </c>
      <c r="D11" s="30" t="s">
        <v>11071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3">
        <v>228</v>
      </c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/>
    </row>
    <row r="12" spans="1:16" ht="23.25" customHeight="1" x14ac:dyDescent="0.25">
      <c r="A12" s="46" t="str">
        <f>VLOOKUP(D12,'Master Data'!A:F,2,FALSE)</f>
        <v xml:space="preserve">Daniel </v>
      </c>
      <c r="B12" s="46" t="str">
        <f>VLOOKUP(D12,'Master Data'!A:F,3,FALSE)</f>
        <v>Hoffmann</v>
      </c>
      <c r="C12" s="47" t="str">
        <f>VLOOKUP(D12,'Master Data'!A:F,6,FALSE)</f>
        <v>daniel.pascal.hoffmann@gmail.com</v>
      </c>
      <c r="D12" s="30" t="s">
        <v>5728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3"/>
      <c r="I12" s="49" t="s">
        <v>11941</v>
      </c>
      <c r="J12" s="49" t="s">
        <v>11941</v>
      </c>
      <c r="K12" s="49"/>
      <c r="L12" s="49"/>
      <c r="M12" s="49" t="s">
        <v>11760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Selina</v>
      </c>
      <c r="B13" s="46" t="str">
        <f>VLOOKUP(D13,'Master Data'!A:F,3,FALSE)</f>
        <v>Schenker</v>
      </c>
      <c r="C13" s="47" t="str">
        <f>VLOOKUP(D13,'Master Data'!A:F,6,FALSE)</f>
        <v>selina.schenker@live.de</v>
      </c>
      <c r="D13" s="19" t="s">
        <v>8644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3"/>
      <c r="I13" s="49" t="s">
        <v>11941</v>
      </c>
      <c r="J13" s="49" t="s">
        <v>11941</v>
      </c>
      <c r="K13" s="49"/>
      <c r="L13" s="49"/>
      <c r="M13" s="49" t="s">
        <v>11760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Luca</v>
      </c>
      <c r="B14" s="46" t="str">
        <f>VLOOKUP(D14,'Master Data'!A:F,3,FALSE)</f>
        <v>Pertoldi</v>
      </c>
      <c r="C14" s="47" t="str">
        <f>VLOOKUP(D14,'Master Data'!A:F,6,FALSE)</f>
        <v>pertoldi@gmx.net</v>
      </c>
      <c r="D14" s="19" t="s">
        <v>9488</v>
      </c>
      <c r="E14" s="46"/>
      <c r="F14" s="46" t="str">
        <f>VLOOKUP(D14,'Master Data'!A:F,4,FALSE)</f>
        <v>m</v>
      </c>
      <c r="G14" s="46" t="str">
        <f>VLOOKUP(D14,'Master Data'!A:F,5,FALSE)</f>
        <v>Normal</v>
      </c>
      <c r="H14" s="106">
        <v>190</v>
      </c>
      <c r="I14" s="49" t="s">
        <v>11754</v>
      </c>
      <c r="J14" s="49" t="s">
        <v>11941</v>
      </c>
      <c r="K14" s="49"/>
      <c r="L14" s="49"/>
      <c r="M14" s="49" t="s">
        <v>11754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>Tobias</v>
      </c>
      <c r="B15" s="46" t="str">
        <f>VLOOKUP(D15,'Master Data'!A:F,3,FALSE)</f>
        <v>Thommen</v>
      </c>
      <c r="C15" s="47" t="str">
        <f>VLOOKUP(D15,'Master Data'!A:F,6,FALSE)</f>
        <v>tobithommen@hotmail.com</v>
      </c>
      <c r="D15" s="30" t="s">
        <v>11175</v>
      </c>
      <c r="E15" s="46"/>
      <c r="F15" s="46" t="str">
        <f>VLOOKUP(D15,'Master Data'!A:F,4,FALSE)</f>
        <v>m</v>
      </c>
      <c r="G15" s="46" t="str">
        <f>VLOOKUP(D15,'Master Data'!A:F,5,FALSE)</f>
        <v>Normal</v>
      </c>
      <c r="H15" s="103"/>
      <c r="I15" s="49" t="s">
        <v>11941</v>
      </c>
      <c r="J15" s="49" t="s">
        <v>11754</v>
      </c>
      <c r="K15" s="49" t="s">
        <v>11754</v>
      </c>
      <c r="L15" s="49"/>
      <c r="M15" s="49" t="s">
        <v>11760</v>
      </c>
      <c r="N15" s="49" t="s">
        <v>11754</v>
      </c>
      <c r="O15" s="49" t="s">
        <v>11754</v>
      </c>
      <c r="P15" s="49"/>
    </row>
    <row r="16" spans="1:16" ht="23.25" customHeight="1" x14ac:dyDescent="0.25">
      <c r="A16" s="46" t="str">
        <f>VLOOKUP(D16,'Master Data'!A:F,2,FALSE)</f>
        <v>Esther</v>
      </c>
      <c r="B16" s="46" t="str">
        <f>VLOOKUP(D16,'Master Data'!A:F,3,FALSE)</f>
        <v>Matt</v>
      </c>
      <c r="C16" s="47" t="str">
        <f>VLOOKUP(D16,'Master Data'!A:F,6,FALSE)</f>
        <v>ematt@gmx.ch</v>
      </c>
      <c r="D16" s="30" t="s">
        <v>8904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6">
        <v>285</v>
      </c>
      <c r="I16" s="49" t="s">
        <v>11941</v>
      </c>
      <c r="J16" s="49" t="s">
        <v>11941</v>
      </c>
      <c r="K16" s="49"/>
      <c r="L16" s="49"/>
      <c r="M16" s="49" t="s">
        <v>11754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Lukas</v>
      </c>
      <c r="B17" s="46" t="str">
        <f>VLOOKUP(D17,'Master Data'!A:F,3,FALSE)</f>
        <v>Erni</v>
      </c>
      <c r="C17" s="47" t="str">
        <f>VLOOKUP(D17,'Master Data'!A:F,6,FALSE)</f>
        <v>ernilweber@icloud.com</v>
      </c>
      <c r="D17" s="30" t="s">
        <v>6684</v>
      </c>
      <c r="E17" s="46"/>
      <c r="F17" s="46" t="str">
        <f>VLOOKUP(D17,'Master Data'!A:F,4,FALSE)</f>
        <v>m</v>
      </c>
      <c r="G17" s="46" t="str">
        <f>VLOOKUP(D17,'Master Data'!A:F,5,FALSE)</f>
        <v>Normal</v>
      </c>
      <c r="H17" s="103"/>
      <c r="I17" s="49" t="s">
        <v>11941</v>
      </c>
      <c r="J17" s="49" t="s">
        <v>11941</v>
      </c>
      <c r="K17" s="49"/>
      <c r="L17" s="49"/>
      <c r="M17" s="49" t="s">
        <v>11760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Isabel</v>
      </c>
      <c r="B18" s="46" t="str">
        <f>VLOOKUP(D18,'Master Data'!A:F,3,FALSE)</f>
        <v>Reiss</v>
      </c>
      <c r="C18" s="47" t="str">
        <f>VLOOKUP(D18,'Master Data'!A:F,6,FALSE)</f>
        <v>Isabelreiss@gmx.de</v>
      </c>
      <c r="D18" s="19" t="s">
        <v>9534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3">
        <v>190</v>
      </c>
      <c r="I18" s="49" t="s">
        <v>11941</v>
      </c>
      <c r="J18" s="49" t="s">
        <v>11941</v>
      </c>
      <c r="K18" s="49"/>
      <c r="L18" s="49"/>
      <c r="M18" s="49" t="s">
        <v>11760</v>
      </c>
      <c r="N18" s="49"/>
      <c r="O18" s="49"/>
      <c r="P18" s="49"/>
    </row>
    <row r="19" spans="1:16" ht="23.25" customHeight="1" x14ac:dyDescent="0.25">
      <c r="A19" s="46" t="str">
        <f>VLOOKUP(D19,'Master Data'!A:F,2,FALSE)</f>
        <v>Sven</v>
      </c>
      <c r="B19" s="46" t="str">
        <f>VLOOKUP(D19,'Master Data'!A:F,3,FALSE)</f>
        <v>Hopf</v>
      </c>
      <c r="C19" s="47" t="str">
        <f>VLOOKUP(D19,'Master Data'!A:F,6,FALSE)</f>
        <v>svenhopf@hotmail.com</v>
      </c>
      <c r="D19" s="30" t="s">
        <v>9609</v>
      </c>
      <c r="E19" s="46"/>
      <c r="F19" s="46" t="str">
        <f>VLOOKUP(D19,'Master Data'!A:F,4,FALSE)</f>
        <v>m</v>
      </c>
      <c r="G19" s="46" t="str">
        <f>VLOOKUP(D19,'Master Data'!A:F,5,FALSE)</f>
        <v>Normal</v>
      </c>
      <c r="H19" s="106">
        <v>190</v>
      </c>
      <c r="I19" s="49" t="s">
        <v>11941</v>
      </c>
      <c r="J19" s="49" t="s">
        <v>11941</v>
      </c>
      <c r="K19" s="49"/>
      <c r="L19" s="49"/>
      <c r="M19" s="49" t="s">
        <v>11760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Johanna</v>
      </c>
      <c r="B20" s="46" t="str">
        <f>VLOOKUP(D20,'Master Data'!A:F,3,FALSE)</f>
        <v>Hoffmann</v>
      </c>
      <c r="C20" s="47" t="str">
        <f>VLOOKUP(D20,'Master Data'!A:F,6,FALSE)</f>
        <v>johanna-hoffmann@outlook.com</v>
      </c>
      <c r="D20" s="19" t="s">
        <v>5690</v>
      </c>
      <c r="E20" s="46"/>
      <c r="F20" s="46" t="str">
        <f>VLOOKUP(D20,'Master Data'!A:F,4,FALSE)</f>
        <v>w</v>
      </c>
      <c r="G20" s="46" t="str">
        <f>VLOOKUP(D20,'Master Data'!A:F,5,FALSE)</f>
        <v>Normal</v>
      </c>
      <c r="H20" s="103">
        <v>190</v>
      </c>
      <c r="I20" s="49" t="s">
        <v>11941</v>
      </c>
      <c r="J20" s="49" t="s">
        <v>11941</v>
      </c>
      <c r="K20" s="49"/>
      <c r="L20" s="49"/>
      <c r="M20" s="49" t="s">
        <v>11760</v>
      </c>
      <c r="N20" s="49"/>
      <c r="O20" s="49" t="s">
        <v>11754</v>
      </c>
      <c r="P20" s="49"/>
    </row>
    <row r="21" spans="1:16" ht="23.25" customHeight="1" x14ac:dyDescent="0.25">
      <c r="A21" s="46" t="str">
        <f>VLOOKUP(D21,'Master Data'!A:F,2,FALSE)</f>
        <v>Manuela</v>
      </c>
      <c r="B21" s="46" t="str">
        <f>VLOOKUP(D21,'Master Data'!A:F,3,FALSE)</f>
        <v>Heymoz</v>
      </c>
      <c r="C21" s="47" t="str">
        <f>VLOOKUP(D21,'Master Data'!A:F,6,FALSE)</f>
        <v>m.heymoz@gmx.ch</v>
      </c>
      <c r="D21" s="19" t="s">
        <v>9530</v>
      </c>
      <c r="E21" s="46"/>
      <c r="F21" s="46" t="str">
        <f>VLOOKUP(D21,'Master Data'!A:F,4,FALSE)</f>
        <v>w</v>
      </c>
      <c r="G21" s="46" t="str">
        <f>VLOOKUP(D21,'Master Data'!A:F,5,FALSE)</f>
        <v>Normal</v>
      </c>
      <c r="H21" s="106">
        <v>190</v>
      </c>
      <c r="I21" s="49" t="s">
        <v>11941</v>
      </c>
      <c r="J21" s="49" t="s">
        <v>11941</v>
      </c>
      <c r="K21" s="49" t="s">
        <v>11754</v>
      </c>
      <c r="L21" s="49"/>
      <c r="M21" s="49" t="s">
        <v>11760</v>
      </c>
      <c r="N21" s="49"/>
      <c r="O21" s="49"/>
      <c r="P21" s="49"/>
    </row>
    <row r="22" spans="1:16" ht="23.25" customHeight="1" x14ac:dyDescent="0.25">
      <c r="A22" s="46" t="str">
        <f>VLOOKUP(D22,'Master Data'!A:F,2,FALSE)</f>
        <v>Ivan</v>
      </c>
      <c r="B22" s="46" t="str">
        <f>VLOOKUP(D22,'Master Data'!A:F,3,FALSE)</f>
        <v>Zuparic</v>
      </c>
      <c r="C22" s="47" t="str">
        <f>VLOOKUP(D22,'Master Data'!A:F,6,FALSE)</f>
        <v>ivan.zuparic@gmx.ch</v>
      </c>
      <c r="D22" s="30" t="s">
        <v>9312</v>
      </c>
      <c r="E22" s="46" t="s">
        <v>11665</v>
      </c>
      <c r="F22" s="46" t="str">
        <f>VLOOKUP(D22,'Master Data'!A:F,4,FALSE)</f>
        <v>m</v>
      </c>
      <c r="G22" s="46" t="str">
        <f>VLOOKUP(D22,'Master Data'!A:F,5,FALSE)</f>
        <v>Normal</v>
      </c>
      <c r="H22" s="106">
        <v>285</v>
      </c>
      <c r="I22" s="49" t="s">
        <v>11754</v>
      </c>
      <c r="J22" s="49" t="s">
        <v>11941</v>
      </c>
      <c r="K22" s="49"/>
      <c r="L22" s="49"/>
      <c r="M22" s="49" t="s">
        <v>11754</v>
      </c>
      <c r="N22" s="49" t="s">
        <v>11754</v>
      </c>
      <c r="O22" s="49"/>
      <c r="P22" s="49" t="s">
        <v>11754</v>
      </c>
    </row>
    <row r="23" spans="1:16" ht="23.25" customHeight="1" x14ac:dyDescent="0.25">
      <c r="A23" s="46" t="str">
        <f>VLOOKUP(D23,'Master Data'!A:F,2,FALSE)</f>
        <v>Marco Alessandro</v>
      </c>
      <c r="B23" s="46" t="str">
        <f>VLOOKUP(D23,'Master Data'!A:F,3,FALSE)</f>
        <v>Pedrazzoli</v>
      </c>
      <c r="C23" s="47" t="str">
        <f>VLOOKUP(D23,'Master Data'!A:F,6,FALSE)</f>
        <v>pedrazzolimarco07@gmail.com</v>
      </c>
      <c r="D23" s="30" t="s">
        <v>10076</v>
      </c>
      <c r="E23" s="46" t="s">
        <v>11665</v>
      </c>
      <c r="F23" s="46" t="str">
        <f>VLOOKUP(D23,'Master Data'!A:F,4,FALSE)</f>
        <v>m</v>
      </c>
      <c r="G23" s="46" t="str">
        <f>VLOOKUP(D23,'Master Data'!A:F,5,FALSE)</f>
        <v>Normal</v>
      </c>
      <c r="H23" s="103"/>
      <c r="I23" s="49" t="s">
        <v>11941</v>
      </c>
      <c r="J23" s="49" t="s">
        <v>11941</v>
      </c>
      <c r="K23" s="49"/>
      <c r="L23" s="49"/>
      <c r="M23" s="49" t="s">
        <v>11760</v>
      </c>
      <c r="N23" s="49"/>
      <c r="O23" s="49"/>
      <c r="P23" s="49"/>
    </row>
    <row r="24" spans="1:16" ht="23.25" customHeight="1" x14ac:dyDescent="0.25">
      <c r="A24" s="46" t="str">
        <f>VLOOKUP(D24,'Master Data'!A:F,2,FALSE)</f>
        <v>Iryna</v>
      </c>
      <c r="B24" s="46" t="str">
        <f>VLOOKUP(D24,'Master Data'!A:F,3,FALSE)</f>
        <v>Marrini</v>
      </c>
      <c r="C24" s="47" t="str">
        <f>VLOOKUP(D24,'Master Data'!A:F,6,FALSE)</f>
        <v>iryna@marrini.com</v>
      </c>
      <c r="D24" s="34" t="s">
        <v>8791</v>
      </c>
      <c r="E24" s="46" t="s">
        <v>11298</v>
      </c>
      <c r="F24" s="46" t="str">
        <f>VLOOKUP(D24,'Master Data'!A:F,4,FALSE)</f>
        <v>w</v>
      </c>
      <c r="G24" s="46" t="str">
        <f>VLOOKUP(D24,'Master Data'!A:F,5,FALSE)</f>
        <v>Normal</v>
      </c>
      <c r="H24" s="103"/>
      <c r="I24" s="49" t="s">
        <v>11941</v>
      </c>
      <c r="J24" s="49" t="s">
        <v>11941</v>
      </c>
      <c r="K24" s="49"/>
      <c r="L24" s="49"/>
      <c r="M24" s="49" t="s">
        <v>11760</v>
      </c>
      <c r="N24" s="49"/>
      <c r="O24" s="49"/>
      <c r="P24" s="49"/>
    </row>
    <row r="25" spans="1:16" ht="23.25" customHeight="1" x14ac:dyDescent="0.25">
      <c r="A25" s="46" t="str">
        <f>VLOOKUP(D25,'Master Data'!A:F,2,FALSE)</f>
        <v>Nikola</v>
      </c>
      <c r="B25" s="46" t="str">
        <f>VLOOKUP(D25,'Master Data'!A:F,3,FALSE)</f>
        <v>Jevtic</v>
      </c>
      <c r="C25" s="47" t="str">
        <f>VLOOKUP(D25,'Master Data'!A:F,6,FALSE)</f>
        <v>nikola.jevtic@bluewin.ch</v>
      </c>
      <c r="D25" s="19" t="s">
        <v>6857</v>
      </c>
      <c r="E25" s="46"/>
      <c r="F25" s="46" t="str">
        <f>VLOOKUP(D25,'Master Data'!A:F,4,FALSE)</f>
        <v>m</v>
      </c>
      <c r="G25" s="46" t="str">
        <f>VLOOKUP(D25,'Master Data'!A:F,5,FALSE)</f>
        <v>Normal</v>
      </c>
      <c r="H25" s="106"/>
      <c r="I25" s="49" t="s">
        <v>11941</v>
      </c>
      <c r="J25" s="49" t="s">
        <v>11754</v>
      </c>
      <c r="K25" s="49"/>
      <c r="L25" s="49"/>
      <c r="M25" s="49" t="s">
        <v>11760</v>
      </c>
      <c r="N25" s="49"/>
      <c r="O25" s="49"/>
      <c r="P25" s="49"/>
    </row>
    <row r="26" spans="1:16" ht="23.25" customHeight="1" x14ac:dyDescent="0.25">
      <c r="A26" s="46" t="str">
        <f>VLOOKUP(D26,'Master Data'!A:F,2,FALSE)</f>
        <v>Ivan</v>
      </c>
      <c r="B26" s="46" t="str">
        <f>VLOOKUP(D26,'Master Data'!A:F,3,FALSE)</f>
        <v>Glushenkov</v>
      </c>
      <c r="C26" s="47" t="str">
        <f>VLOOKUP(D26,'Master Data'!A:F,6,FALSE)</f>
        <v>ivan.glushenkov.data@gmail.com</v>
      </c>
      <c r="D26" s="19" t="s">
        <v>11116</v>
      </c>
      <c r="E26" s="46" t="s">
        <v>11298</v>
      </c>
      <c r="F26" s="46" t="str">
        <f>VLOOKUP(D26,'Master Data'!A:F,4,FALSE)</f>
        <v>m</v>
      </c>
      <c r="G26" s="46" t="str">
        <f>VLOOKUP(D26,'Master Data'!A:F,5,FALSE)</f>
        <v>Normal</v>
      </c>
      <c r="H26" s="103"/>
      <c r="I26" s="49" t="s">
        <v>11941</v>
      </c>
      <c r="J26" s="49" t="s">
        <v>11941</v>
      </c>
      <c r="K26" s="49"/>
      <c r="L26" s="49"/>
      <c r="M26" s="49" t="s">
        <v>11760</v>
      </c>
      <c r="N26" s="49"/>
      <c r="O26" s="49"/>
      <c r="P26" s="49"/>
    </row>
    <row r="27" spans="1:16" ht="23.25" customHeight="1" x14ac:dyDescent="0.25">
      <c r="A27" s="46" t="str">
        <f>VLOOKUP(D27,'Master Data'!A:F,2,FALSE)</f>
        <v>Burak</v>
      </c>
      <c r="B27" s="46" t="str">
        <f>VLOOKUP(D27,'Master Data'!A:F,3,FALSE)</f>
        <v>Yildirim</v>
      </c>
      <c r="C27" s="47" t="str">
        <f>VLOOKUP(D27,'Master Data'!A:F,6,FALSE)</f>
        <v>burak.yildirim@gmx.ch</v>
      </c>
      <c r="D27" s="30" t="s">
        <v>11101</v>
      </c>
      <c r="E27" s="46"/>
      <c r="F27" s="46" t="str">
        <f>VLOOKUP(D27,'Master Data'!A:F,4,FALSE)</f>
        <v>m</v>
      </c>
      <c r="G27" s="46" t="str">
        <f>VLOOKUP(D27,'Master Data'!A:F,5,FALSE)</f>
        <v>Normal</v>
      </c>
      <c r="H27" s="103"/>
      <c r="I27" s="49" t="s">
        <v>11754</v>
      </c>
      <c r="J27" s="49" t="s">
        <v>11941</v>
      </c>
      <c r="K27" s="49"/>
      <c r="L27" s="49"/>
      <c r="M27" s="49" t="s">
        <v>11760</v>
      </c>
      <c r="N27" s="49"/>
      <c r="O27" s="49"/>
      <c r="P27" s="49"/>
    </row>
    <row r="28" spans="1:16" ht="23.25" customHeight="1" x14ac:dyDescent="0.25">
      <c r="A28" s="46" t="str">
        <f>VLOOKUP(D28,'Master Data'!A:F,2,FALSE)</f>
        <v>Yael</v>
      </c>
      <c r="B28" s="46" t="str">
        <f>VLOOKUP(D28,'Master Data'!A:F,3,FALSE)</f>
        <v>Hofmann</v>
      </c>
      <c r="C28" s="47" t="str">
        <f>VLOOKUP(D28,'Master Data'!A:F,6,FALSE)</f>
        <v>yael_hofmann@hotmail.com</v>
      </c>
      <c r="D28" s="34" t="s">
        <v>7250</v>
      </c>
      <c r="E28" s="34"/>
      <c r="F28" s="46" t="str">
        <f>VLOOKUP(D28,'Master Data'!A:F,4,FALSE)</f>
        <v>w</v>
      </c>
      <c r="G28" s="46" t="str">
        <f>VLOOKUP(D28,'Master Data'!A:F,5,FALSE)</f>
        <v>Student</v>
      </c>
      <c r="H28" s="103">
        <v>190</v>
      </c>
      <c r="I28" s="49" t="s">
        <v>11941</v>
      </c>
      <c r="J28" s="49" t="s">
        <v>11941</v>
      </c>
      <c r="K28" s="49" t="s">
        <v>11754</v>
      </c>
      <c r="L28" s="49" t="s">
        <v>11754</v>
      </c>
      <c r="M28" s="49" t="s">
        <v>11760</v>
      </c>
      <c r="N28" s="49"/>
      <c r="O28" s="49"/>
      <c r="P28" s="49"/>
    </row>
    <row r="29" spans="1:16" ht="23.25" customHeight="1" x14ac:dyDescent="0.25">
      <c r="A29" s="46" t="str">
        <f>VLOOKUP(D29,'Master Data'!A:F,2,FALSE)</f>
        <v>Haimo</v>
      </c>
      <c r="B29" s="46" t="str">
        <f>VLOOKUP(D29,'Master Data'!A:F,3,FALSE)</f>
        <v>Jöhri</v>
      </c>
      <c r="C29" s="47" t="str">
        <f>VLOOKUP(D29,'Master Data'!A:F,6,FALSE)</f>
        <v>paps1408@gmail.com</v>
      </c>
      <c r="D29" s="19" t="s">
        <v>6346</v>
      </c>
      <c r="E29" s="46"/>
      <c r="F29" s="46" t="str">
        <f>VLOOKUP(D29,'Master Data'!A:F,4,FALSE)</f>
        <v>m</v>
      </c>
      <c r="G29" s="46" t="str">
        <f>VLOOKUP(D29,'Master Data'!A:F,5,FALSE)</f>
        <v>Normal</v>
      </c>
      <c r="H29" s="103"/>
      <c r="I29" s="49" t="s">
        <v>11941</v>
      </c>
      <c r="J29" s="49" t="s">
        <v>11941</v>
      </c>
      <c r="K29" s="49"/>
      <c r="L29" s="49"/>
      <c r="M29" s="49" t="s">
        <v>11760</v>
      </c>
      <c r="N29" s="49"/>
      <c r="O29" s="49"/>
      <c r="P29" s="49" t="s">
        <v>11754</v>
      </c>
    </row>
    <row r="30" spans="1:16" ht="23.25" customHeight="1" x14ac:dyDescent="0.25">
      <c r="A30" s="46" t="str">
        <f>VLOOKUP(D30,'Master Data'!A:F,2,FALSE)</f>
        <v>Jonhattan</v>
      </c>
      <c r="B30" s="46" t="str">
        <f>VLOOKUP(D30,'Master Data'!A:F,3,FALSE)</f>
        <v>da Luz</v>
      </c>
      <c r="C30" s="47" t="str">
        <f>VLOOKUP(D30,'Master Data'!A:F,6,FALSE)</f>
        <v>jon.daluz@gmail.com</v>
      </c>
      <c r="D30" s="34" t="s">
        <v>11003</v>
      </c>
      <c r="E30" s="46"/>
      <c r="F30" s="46" t="str">
        <f>VLOOKUP(D30,'Master Data'!A:F,4,FALSE)</f>
        <v>m</v>
      </c>
      <c r="G30" s="46" t="str">
        <f>VLOOKUP(D30,'Master Data'!A:F,5,FALSE)</f>
        <v>Normal</v>
      </c>
      <c r="H30" s="106"/>
      <c r="I30" s="49" t="s">
        <v>11941</v>
      </c>
      <c r="J30" s="49" t="s">
        <v>11941</v>
      </c>
      <c r="K30" s="49" t="s">
        <v>11754</v>
      </c>
      <c r="L30" s="49"/>
      <c r="M30" s="49" t="s">
        <v>11760</v>
      </c>
      <c r="N30" s="49"/>
      <c r="O30" s="49" t="s">
        <v>11754</v>
      </c>
      <c r="P30" s="49"/>
    </row>
    <row r="31" spans="1:16" ht="23.25" customHeight="1" x14ac:dyDescent="0.25">
      <c r="A31" s="46" t="str">
        <f>VLOOKUP(D31,'Master Data'!A:F,2,FALSE)</f>
        <v>Jill</v>
      </c>
      <c r="B31" s="46" t="str">
        <f>VLOOKUP(D31,'Master Data'!A:F,3,FALSE)</f>
        <v>Hoffmann</v>
      </c>
      <c r="C31" s="47" t="str">
        <f>VLOOKUP(D31,'Master Data'!A:F,6,FALSE)</f>
        <v>jill.hoffmann@bluewin.ch</v>
      </c>
      <c r="D31" s="7" t="s">
        <v>8724</v>
      </c>
      <c r="E31" s="46"/>
      <c r="F31" s="46" t="str">
        <f>VLOOKUP(D31,'Master Data'!A:F,4,FALSE)</f>
        <v>w</v>
      </c>
      <c r="G31" s="46" t="str">
        <f>VLOOKUP(D31,'Master Data'!A:F,5,FALSE)</f>
        <v>Normal</v>
      </c>
      <c r="H31" s="106">
        <v>190</v>
      </c>
      <c r="I31" s="49" t="s">
        <v>11941</v>
      </c>
      <c r="J31" s="49" t="s">
        <v>11941</v>
      </c>
      <c r="K31" s="49"/>
      <c r="L31" s="49"/>
      <c r="M31" s="49" t="s">
        <v>11754</v>
      </c>
      <c r="N31" s="49"/>
      <c r="O31" s="49"/>
      <c r="P31" s="49"/>
    </row>
    <row r="32" spans="1:16" ht="23.25" customHeight="1" x14ac:dyDescent="0.25">
      <c r="A32" s="46" t="str">
        <f>VLOOKUP(D32,'Master Data'!A:F,2,FALSE)</f>
        <v>Leonie</v>
      </c>
      <c r="B32" s="46" t="str">
        <f>VLOOKUP(D32,'Master Data'!A:F,3,FALSE)</f>
        <v>Baur</v>
      </c>
      <c r="C32" s="47" t="str">
        <f>VLOOKUP(D32,'Master Data'!A:F,6,FALSE)</f>
        <v>leoniebaur@gmx.de</v>
      </c>
      <c r="D32" s="30" t="s">
        <v>11352</v>
      </c>
      <c r="E32" s="46"/>
      <c r="F32" s="46" t="str">
        <f>VLOOKUP(D32,'Master Data'!A:F,4,FALSE)</f>
        <v>w</v>
      </c>
      <c r="G32" s="46" t="str">
        <f>VLOOKUP(D32,'Master Data'!A:F,5,FALSE)</f>
        <v>Normal</v>
      </c>
      <c r="H32" s="103">
        <v>190</v>
      </c>
      <c r="I32" s="49" t="s">
        <v>11941</v>
      </c>
      <c r="J32" s="49" t="s">
        <v>11941</v>
      </c>
      <c r="K32" s="49"/>
      <c r="L32" s="49"/>
      <c r="M32" s="49" t="s">
        <v>11760</v>
      </c>
      <c r="N32" s="49"/>
      <c r="O32" s="49"/>
      <c r="P32" s="49" t="s">
        <v>11754</v>
      </c>
    </row>
    <row r="33" spans="1:16" ht="23.25" customHeight="1" x14ac:dyDescent="0.25">
      <c r="A33" s="46" t="str">
        <f>VLOOKUP(D33,'Master Data'!A:F,2,FALSE)</f>
        <v>Estelle</v>
      </c>
      <c r="B33" s="46" t="str">
        <f>VLOOKUP(D33,'Master Data'!A:F,3,FALSE)</f>
        <v>Pierrot</v>
      </c>
      <c r="C33" s="47" t="str">
        <f>VLOOKUP(D33,'Master Data'!A:F,6,FALSE)</f>
        <v>stella110@hotmail.fr</v>
      </c>
      <c r="D33" s="30" t="s">
        <v>9894</v>
      </c>
      <c r="E33" s="95"/>
      <c r="F33" s="46" t="str">
        <f>VLOOKUP(D33,'Master Data'!A:F,4,FALSE)</f>
        <v>w</v>
      </c>
      <c r="G33" s="46" t="str">
        <f>VLOOKUP(D33,'Master Data'!A:F,5,FALSE)</f>
        <v>Normal</v>
      </c>
      <c r="H33" s="103"/>
      <c r="I33" s="100" t="s">
        <v>11941</v>
      </c>
      <c r="J33" s="49" t="s">
        <v>11941</v>
      </c>
      <c r="K33" s="100"/>
      <c r="L33" s="100"/>
      <c r="M33" s="49" t="s">
        <v>11760</v>
      </c>
      <c r="N33" s="100"/>
      <c r="O33" s="100"/>
      <c r="P33" s="100"/>
    </row>
    <row r="34" spans="1:16" ht="20.25" customHeight="1" x14ac:dyDescent="0.25">
      <c r="A34" s="31" t="e">
        <f>VLOOKUP(D34,'Master Data'!A:F,2,FALSE)</f>
        <v>#N/A</v>
      </c>
      <c r="B34" s="31" t="e">
        <f>VLOOKUP(D34,'Master Data'!A:F,3,FALSE)</f>
        <v>#N/A</v>
      </c>
      <c r="C34" s="50" t="e">
        <f>VLOOKUP(D34,'Master Data'!A:F,5,FALSE)</f>
        <v>#N/A</v>
      </c>
      <c r="D34" s="31"/>
      <c r="E34" s="31"/>
      <c r="F34" s="31"/>
      <c r="G34" s="51" t="s">
        <v>11290</v>
      </c>
      <c r="H34" s="51">
        <f>SUM(H7:H33)</f>
        <v>2948</v>
      </c>
      <c r="I34" s="31"/>
      <c r="J34" s="31"/>
      <c r="K34" s="31"/>
      <c r="L34" s="31"/>
      <c r="M34" s="31"/>
      <c r="N34" s="31"/>
      <c r="O34" s="31"/>
      <c r="P34" s="31"/>
    </row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I6:P6"/>
  </mergeCells>
  <phoneticPr fontId="34" type="noConversion"/>
  <conditionalFormatting sqref="F7:G33 A7:C34">
    <cfRule type="cellIs" dxfId="75" priority="1" operator="equal">
      <formula>0</formula>
    </cfRule>
    <cfRule type="expression" dxfId="74" priority="2">
      <formula>ISERROR(A7)</formula>
    </cfRule>
  </conditionalFormatting>
  <pageMargins left="0.41666666666666669" right="0.41666666666666669" top="0.78740157499999996" bottom="0.78740157499999996" header="0" footer="0"/>
  <pageSetup paperSize="9" scale="70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3" man="1"/>
  </rowBreaks>
  <colBreaks count="1" manualBreakCount="1">
    <brk id="1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2F3"/>
    <pageSetUpPr fitToPage="1"/>
  </sheetPr>
  <dimension ref="A1:P1001"/>
  <sheetViews>
    <sheetView view="pageLayout" topLeftCell="A3" zoomScale="85" zoomScaleNormal="100" zoomScalePageLayoutView="85" workbookViewId="0">
      <selection activeCell="P9" sqref="P9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9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4.42578125" customWidth="1"/>
    <col min="17" max="26" width="7" customWidth="1"/>
  </cols>
  <sheetData>
    <row r="1" spans="1:16" ht="23.25" customHeight="1" x14ac:dyDescent="0.25">
      <c r="A1" s="36" t="s">
        <v>11307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7308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Maria</v>
      </c>
      <c r="B7" s="46" t="str">
        <f>VLOOKUP(D7,'Master Data'!A:F,3,FALSE)</f>
        <v>Tapken</v>
      </c>
      <c r="C7" s="47" t="str">
        <f>VLOOKUP(D7,'Master Data'!A:F,6,FALSE)</f>
        <v>tapkenmj@gmail.com</v>
      </c>
      <c r="D7" s="34" t="s">
        <v>11405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6">
        <v>190</v>
      </c>
      <c r="I7" s="49"/>
      <c r="J7" s="100" t="s">
        <v>11941</v>
      </c>
      <c r="K7" s="53"/>
      <c r="L7" s="49"/>
      <c r="M7" s="100" t="s">
        <v>11754</v>
      </c>
      <c r="N7" s="49"/>
      <c r="O7" s="49"/>
      <c r="P7" s="49"/>
    </row>
    <row r="8" spans="1:16" ht="23.25" customHeight="1" x14ac:dyDescent="0.25">
      <c r="A8" s="46" t="str">
        <f>VLOOKUP(D8,'Master Data'!A:F,2,FALSE)</f>
        <v>Ben</v>
      </c>
      <c r="B8" s="46" t="str">
        <f>VLOOKUP(D8,'Master Data'!A:F,3,FALSE)</f>
        <v>Böke</v>
      </c>
      <c r="C8" s="47" t="str">
        <f>VLOOKUP(D8,'Master Data'!A:F,6,FALSE)</f>
        <v>ben25boeke@gmail.com</v>
      </c>
      <c r="D8" s="98" t="s">
        <v>11951</v>
      </c>
      <c r="E8" s="46" t="s">
        <v>11298</v>
      </c>
      <c r="F8" s="46" t="str">
        <f>VLOOKUP(D8,'Master Data'!A:F,4,FALSE)</f>
        <v>m</v>
      </c>
      <c r="G8" s="46" t="str">
        <f>VLOOKUP(D8,'Master Data'!A:F,5,FALSE)</f>
        <v>Normal</v>
      </c>
      <c r="H8" s="107"/>
      <c r="I8" s="100"/>
      <c r="J8" s="100" t="s">
        <v>11941</v>
      </c>
      <c r="K8" s="53"/>
      <c r="L8" s="49"/>
      <c r="M8" s="100" t="s">
        <v>11941</v>
      </c>
      <c r="N8" s="49"/>
      <c r="O8" s="49"/>
      <c r="P8" s="49"/>
    </row>
    <row r="9" spans="1:16" ht="23.25" customHeight="1" x14ac:dyDescent="0.25">
      <c r="A9" s="46" t="str">
        <f>VLOOKUP(D9,'Master Data'!A:F,2,FALSE)</f>
        <v>Daniel</v>
      </c>
      <c r="B9" s="46" t="str">
        <f>VLOOKUP(D9,'Master Data'!A:F,3,FALSE)</f>
        <v>Gysi</v>
      </c>
      <c r="C9" s="47" t="str">
        <f>VLOOKUP(D9,'Master Data'!A:F,6,FALSE)</f>
        <v>ehcb.daniel@hotmail.com</v>
      </c>
      <c r="D9" s="21" t="s">
        <v>11440</v>
      </c>
      <c r="E9" s="46"/>
      <c r="F9" s="46" t="str">
        <f>VLOOKUP(D9,'Master Data'!A:F,4,FALSE)</f>
        <v>m</v>
      </c>
      <c r="G9" s="46" t="str">
        <f>VLOOKUP(D9,'Master Data'!A:F,5,FALSE)</f>
        <v>Normal</v>
      </c>
      <c r="H9" s="103">
        <v>135</v>
      </c>
      <c r="I9" s="49" t="s">
        <v>11941</v>
      </c>
      <c r="J9" s="100" t="s">
        <v>11941</v>
      </c>
      <c r="K9" s="53"/>
      <c r="L9" s="49"/>
      <c r="M9" s="100" t="s">
        <v>11941</v>
      </c>
      <c r="N9" s="49" t="s">
        <v>11754</v>
      </c>
      <c r="O9" s="49" t="s">
        <v>11754</v>
      </c>
      <c r="P9" s="49"/>
    </row>
    <row r="10" spans="1:16" ht="23.25" customHeight="1" x14ac:dyDescent="0.25">
      <c r="A10" s="46" t="str">
        <f>VLOOKUP(D10,'Master Data'!A:F,2,FALSE)</f>
        <v>Lea</v>
      </c>
      <c r="B10" s="46" t="str">
        <f>VLOOKUP(D10,'Master Data'!A:F,3,FALSE)</f>
        <v>Jurisic</v>
      </c>
      <c r="C10" s="47" t="str">
        <f>VLOOKUP(D10,'Master Data'!A:F,6,FALSE)</f>
        <v>jurisic_lea@hotmail.com</v>
      </c>
      <c r="D10" s="30" t="s">
        <v>4204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03">
        <v>135</v>
      </c>
      <c r="I10" s="49" t="s">
        <v>11941</v>
      </c>
      <c r="J10" s="100" t="s">
        <v>11941</v>
      </c>
      <c r="K10" s="53"/>
      <c r="L10" s="49"/>
      <c r="M10" s="100" t="s">
        <v>11941</v>
      </c>
      <c r="N10" s="49"/>
      <c r="O10" s="49" t="s">
        <v>11754</v>
      </c>
      <c r="P10" s="49"/>
    </row>
    <row r="11" spans="1:16" ht="23.25" customHeight="1" x14ac:dyDescent="0.25">
      <c r="A11" s="46" t="str">
        <f>VLOOKUP(D11,'Master Data'!A:F,2,FALSE)</f>
        <v>Alex</v>
      </c>
      <c r="B11" s="46" t="str">
        <f>VLOOKUP(D11,'Master Data'!A:F,3,FALSE)</f>
        <v>Carol Camprecios</v>
      </c>
      <c r="C11" s="47" t="str">
        <f>VLOOKUP(D11,'Master Data'!A:F,6,FALSE)</f>
        <v>picard150@gmail.com</v>
      </c>
      <c r="D11" s="30" t="s">
        <v>11444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3">
        <v>100</v>
      </c>
      <c r="I11" s="49" t="s">
        <v>11941</v>
      </c>
      <c r="J11" s="100" t="s">
        <v>11754</v>
      </c>
      <c r="K11" s="53"/>
      <c r="L11" s="49"/>
      <c r="M11" s="100" t="s">
        <v>11754</v>
      </c>
      <c r="N11" s="100" t="s">
        <v>11754</v>
      </c>
      <c r="O11" s="100" t="s">
        <v>11754</v>
      </c>
      <c r="P11" s="100" t="s">
        <v>11754</v>
      </c>
    </row>
    <row r="12" spans="1:16" ht="23.25" customHeight="1" x14ac:dyDescent="0.25">
      <c r="A12" s="46" t="str">
        <f>VLOOKUP(D12,'Master Data'!A:F,2,FALSE)</f>
        <v>Marija</v>
      </c>
      <c r="B12" s="46" t="str">
        <f>VLOOKUP(D12,'Master Data'!A:F,3,FALSE)</f>
        <v>Milenkovic</v>
      </c>
      <c r="C12" s="47" t="str">
        <f>VLOOKUP(D12,'Master Data'!A:F,6,FALSE)</f>
        <v>marijamilenkovic7@hotmail.com</v>
      </c>
      <c r="D12" s="97" t="s">
        <v>11490</v>
      </c>
      <c r="E12" s="46" t="s">
        <v>11298</v>
      </c>
      <c r="F12" s="46" t="str">
        <f>VLOOKUP(D12,'Master Data'!A:F,4,FALSE)</f>
        <v>w</v>
      </c>
      <c r="G12" s="46" t="str">
        <f>VLOOKUP(D12,'Master Data'!A:F,5,FALSE)</f>
        <v>Normal</v>
      </c>
      <c r="H12" s="103"/>
      <c r="I12" s="49"/>
      <c r="J12" s="100" t="s">
        <v>11941</v>
      </c>
      <c r="K12" s="49"/>
      <c r="L12" s="49"/>
      <c r="M12" s="100" t="s">
        <v>11941</v>
      </c>
      <c r="N12" s="49" t="s">
        <v>11754</v>
      </c>
      <c r="O12" s="49" t="s">
        <v>11754</v>
      </c>
      <c r="P12" s="49"/>
    </row>
    <row r="13" spans="1:16" ht="23.25" customHeight="1" x14ac:dyDescent="0.25">
      <c r="A13" s="46" t="str">
        <f>VLOOKUP(D13,'Master Data'!A:F,2,FALSE)</f>
        <v>Sina Maria</v>
      </c>
      <c r="B13" s="46" t="str">
        <f>VLOOKUP(D13,'Master Data'!A:F,3,FALSE)</f>
        <v>Schurban</v>
      </c>
      <c r="C13" s="47" t="str">
        <f>VLOOKUP(D13,'Master Data'!A:F,6,FALSE)</f>
        <v>sina.schurban@gmx.de</v>
      </c>
      <c r="D13" s="30" t="s">
        <v>11481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6">
        <v>160</v>
      </c>
      <c r="I13" s="100"/>
      <c r="J13" s="100" t="s">
        <v>11941</v>
      </c>
      <c r="K13" s="49" t="s">
        <v>11754</v>
      </c>
      <c r="L13" s="49"/>
      <c r="M13" s="100" t="s">
        <v>11941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Helena</v>
      </c>
      <c r="B14" s="46" t="str">
        <f>VLOOKUP(D14,'Master Data'!A:F,3,FALSE)</f>
        <v>Gens</v>
      </c>
      <c r="C14" s="47" t="str">
        <f>VLOOKUP(D14,'Master Data'!A:F,6,FALSE)</f>
        <v>helena.cgens@gmail.com</v>
      </c>
      <c r="D14" s="97" t="s">
        <v>11935</v>
      </c>
      <c r="E14" s="46" t="s">
        <v>12084</v>
      </c>
      <c r="F14" s="46" t="str">
        <f>VLOOKUP(D14,'Master Data'!A:F,4,FALSE)</f>
        <v>w</v>
      </c>
      <c r="G14" s="46" t="str">
        <f>VLOOKUP(D14,'Master Data'!A:F,5,FALSE)</f>
        <v>Normal</v>
      </c>
      <c r="H14" s="103">
        <v>95</v>
      </c>
      <c r="I14" s="49" t="s">
        <v>11754</v>
      </c>
      <c r="J14" s="49" t="s">
        <v>11754</v>
      </c>
      <c r="K14" s="49" t="s">
        <v>11754</v>
      </c>
      <c r="L14" s="100" t="s">
        <v>11941</v>
      </c>
      <c r="M14" s="100" t="s">
        <v>11941</v>
      </c>
      <c r="N14" s="100" t="s">
        <v>11941</v>
      </c>
      <c r="O14" s="100" t="s">
        <v>11941</v>
      </c>
      <c r="P14" s="49" t="s">
        <v>11754</v>
      </c>
    </row>
    <row r="15" spans="1:16" ht="23.25" customHeight="1" x14ac:dyDescent="0.25">
      <c r="A15" s="46" t="str">
        <f>VLOOKUP(D15,'Master Data'!A:F,2,FALSE)</f>
        <v>Meral</v>
      </c>
      <c r="B15" s="46" t="str">
        <f>VLOOKUP(D15,'Master Data'!A:F,3,FALSE)</f>
        <v>Bozkiraç</v>
      </c>
      <c r="C15" s="96" t="str">
        <f>VLOOKUP(D15,'Master Data'!A:F,6,FALSE)</f>
        <v>meral.bozkirac@gmail.com</v>
      </c>
      <c r="D15" s="98" t="s">
        <v>12049</v>
      </c>
      <c r="E15" s="60" t="s">
        <v>11665</v>
      </c>
      <c r="F15" s="46" t="str">
        <f>VLOOKUP(D15,'Master Data'!A:F,4,FALSE)</f>
        <v>w</v>
      </c>
      <c r="G15" s="46" t="str">
        <f>VLOOKUP(D15,'Master Data'!A:F,5,FALSE)</f>
        <v>Normal</v>
      </c>
      <c r="H15" s="113">
        <v>95</v>
      </c>
      <c r="I15" s="49"/>
      <c r="J15" s="100" t="s">
        <v>11941</v>
      </c>
      <c r="K15" s="49"/>
      <c r="L15" s="49"/>
      <c r="M15" s="100" t="s">
        <v>11754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Paul</v>
      </c>
      <c r="B16" s="46" t="str">
        <f>VLOOKUP(D16,'Master Data'!A:F,3,FALSE)</f>
        <v>Geser</v>
      </c>
      <c r="C16" s="96" t="str">
        <f>VLOOKUP(D16,'Master Data'!A:F,6,FALSE)</f>
        <v>paul.geser03@gmail.com</v>
      </c>
      <c r="D16" s="30" t="s">
        <v>11544</v>
      </c>
      <c r="E16" s="60"/>
      <c r="F16" s="46" t="str">
        <f>VLOOKUP(D16,'Master Data'!A:F,4,FALSE)</f>
        <v>m</v>
      </c>
      <c r="G16" s="46" t="str">
        <f>VLOOKUP(D16,'Master Data'!A:F,5,FALSE)</f>
        <v>Paar</v>
      </c>
      <c r="H16" s="103">
        <v>135</v>
      </c>
      <c r="I16" s="49" t="s">
        <v>11941</v>
      </c>
      <c r="J16" s="100" t="s">
        <v>11941</v>
      </c>
      <c r="K16" s="49"/>
      <c r="L16" s="49"/>
      <c r="M16" s="100" t="s">
        <v>11754</v>
      </c>
      <c r="N16" s="100" t="s">
        <v>11754</v>
      </c>
      <c r="O16" s="49"/>
      <c r="P16" s="49"/>
    </row>
    <row r="17" spans="1:16" ht="23.25" customHeight="1" x14ac:dyDescent="0.25">
      <c r="A17" s="46" t="str">
        <f>VLOOKUP(D17,'Master Data'!A:F,2,FALSE)</f>
        <v>Raquel</v>
      </c>
      <c r="B17" s="46" t="str">
        <f>VLOOKUP(D17,'Master Data'!A:F,3,FALSE)</f>
        <v>Lima</v>
      </c>
      <c r="C17" s="47" t="str">
        <f>VLOOKUP(D17,'Master Data'!A:F,6,FALSE)</f>
        <v>rrlima.raquel@gmail.com</v>
      </c>
      <c r="D17" s="19" t="s">
        <v>11545</v>
      </c>
      <c r="E17" s="46"/>
      <c r="F17" s="46" t="str">
        <f>VLOOKUP(D17,'Master Data'!A:F,4,FALSE)</f>
        <v>w</v>
      </c>
      <c r="G17" s="46" t="str">
        <f>VLOOKUP(D17,'Master Data'!A:F,5,FALSE)</f>
        <v>Paar</v>
      </c>
      <c r="H17" s="103">
        <v>135</v>
      </c>
      <c r="I17" s="49" t="s">
        <v>11941</v>
      </c>
      <c r="J17" s="100" t="s">
        <v>11941</v>
      </c>
      <c r="K17" s="49"/>
      <c r="L17" s="49"/>
      <c r="M17" s="100" t="s">
        <v>11754</v>
      </c>
      <c r="N17" s="100" t="s">
        <v>11754</v>
      </c>
      <c r="O17" s="49"/>
      <c r="P17" s="49"/>
    </row>
    <row r="18" spans="1:16" ht="23.25" customHeight="1" x14ac:dyDescent="0.25">
      <c r="A18" s="46" t="str">
        <f>VLOOKUP(D18,'Master Data'!A:F,2,FALSE)</f>
        <v>Simon</v>
      </c>
      <c r="B18" s="46" t="str">
        <f>VLOOKUP(D18,'Master Data'!A:F,3,FALSE)</f>
        <v>Amstutz</v>
      </c>
      <c r="C18" s="47" t="str">
        <f>VLOOKUP(D18,'Master Data'!A:F,6,FALSE)</f>
        <v>simonamstutz96@gmail.com</v>
      </c>
      <c r="D18" s="30" t="s">
        <v>11607</v>
      </c>
      <c r="E18" s="46"/>
      <c r="F18" s="46" t="str">
        <f>VLOOKUP(D18,'Master Data'!A:F,4,FALSE)</f>
        <v>m</v>
      </c>
      <c r="G18" s="46" t="str">
        <f>VLOOKUP(D18,'Master Data'!A:F,5,FALSE)</f>
        <v>Paar</v>
      </c>
      <c r="H18" s="106">
        <v>80</v>
      </c>
      <c r="I18" s="49" t="s">
        <v>11941</v>
      </c>
      <c r="J18" s="100" t="s">
        <v>11941</v>
      </c>
      <c r="K18" s="49"/>
      <c r="L18" s="49"/>
      <c r="M18" s="100" t="s">
        <v>11941</v>
      </c>
      <c r="N18" s="49"/>
      <c r="O18" s="49"/>
      <c r="P18" s="49"/>
    </row>
    <row r="19" spans="1:16" ht="23.25" customHeight="1" x14ac:dyDescent="0.25">
      <c r="A19" s="46" t="str">
        <f>VLOOKUP(D19,'Master Data'!A:F,2,FALSE)</f>
        <v>Paloma</v>
      </c>
      <c r="B19" s="46" t="str">
        <f>VLOOKUP(D19,'Master Data'!A:F,3,FALSE)</f>
        <v>Castillo Espinoza</v>
      </c>
      <c r="C19" s="47" t="str">
        <f>VLOOKUP(D19,'Master Data'!A:F,6,FALSE)</f>
        <v>paloma.castillo@hotmail.com</v>
      </c>
      <c r="D19" s="30" t="s">
        <v>11608</v>
      </c>
      <c r="E19" s="46"/>
      <c r="F19" s="46" t="str">
        <f>VLOOKUP(D19,'Master Data'!A:F,4,FALSE)</f>
        <v>w</v>
      </c>
      <c r="G19" s="46" t="str">
        <f>VLOOKUP(D19,'Master Data'!A:F,5,FALSE)</f>
        <v>Paar</v>
      </c>
      <c r="H19" s="106">
        <v>80</v>
      </c>
      <c r="I19" s="49" t="s">
        <v>11941</v>
      </c>
      <c r="J19" s="100" t="s">
        <v>11941</v>
      </c>
      <c r="K19" s="49"/>
      <c r="L19" s="49"/>
      <c r="M19" s="100" t="s">
        <v>11754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Suelem</v>
      </c>
      <c r="B20" s="46" t="str">
        <f>VLOOKUP(D20,'Master Data'!A:F,3,FALSE)</f>
        <v>Izidoro</v>
      </c>
      <c r="C20" s="47" t="str">
        <f>VLOOKUP(D20,'Master Data'!A:F,6,FALSE)</f>
        <v>suelem.izidoro@gmx.com</v>
      </c>
      <c r="D20" s="30" t="s">
        <v>11040</v>
      </c>
      <c r="E20" s="46"/>
      <c r="F20" s="46" t="str">
        <f>VLOOKUP(D20,'Master Data'!A:F,4,FALSE)</f>
        <v>w</v>
      </c>
      <c r="G20" s="46" t="str">
        <f>VLOOKUP(D20,'Master Data'!A:F,5,FALSE)</f>
        <v>Normal</v>
      </c>
      <c r="H20" s="106">
        <v>190</v>
      </c>
      <c r="I20" s="49" t="s">
        <v>11941</v>
      </c>
      <c r="J20" s="100" t="s">
        <v>11941</v>
      </c>
      <c r="K20" s="49"/>
      <c r="L20" s="49"/>
      <c r="M20" s="100" t="s">
        <v>11941</v>
      </c>
      <c r="N20" s="49"/>
      <c r="O20" s="49"/>
      <c r="P20" s="49"/>
    </row>
    <row r="21" spans="1:16" ht="23.25" customHeight="1" x14ac:dyDescent="0.25">
      <c r="A21" s="46" t="str">
        <f>VLOOKUP(D21,'Master Data'!A:F,2,FALSE)</f>
        <v>Ani</v>
      </c>
      <c r="B21" s="46" t="str">
        <f>VLOOKUP(D21,'Master Data'!A:F,3,FALSE)</f>
        <v>Rukhadze</v>
      </c>
      <c r="C21" s="47" t="str">
        <f>VLOOKUP(D21,'Master Data'!A:F,6,FALSE)</f>
        <v>ani_rukhadze@yahoo.com</v>
      </c>
      <c r="D21" s="30" t="s">
        <v>11421</v>
      </c>
      <c r="E21" s="46"/>
      <c r="F21" s="46" t="s">
        <v>411</v>
      </c>
      <c r="G21" s="46" t="s">
        <v>412</v>
      </c>
      <c r="H21" s="103">
        <v>190</v>
      </c>
      <c r="I21" s="49" t="s">
        <v>11941</v>
      </c>
      <c r="J21" s="100" t="s">
        <v>11941</v>
      </c>
      <c r="K21" s="49"/>
      <c r="L21" s="49"/>
      <c r="M21" s="100" t="s">
        <v>11941</v>
      </c>
      <c r="N21" s="49"/>
      <c r="O21" s="49"/>
      <c r="P21" s="49"/>
    </row>
    <row r="22" spans="1:16" ht="23.25" customHeight="1" x14ac:dyDescent="0.25">
      <c r="A22" s="46" t="str">
        <f>VLOOKUP(D22,'Master Data'!A:F,2,FALSE)</f>
        <v>Valentina</v>
      </c>
      <c r="B22" s="46" t="str">
        <f>VLOOKUP(D22,'Master Data'!A:F,3,FALSE)</f>
        <v>Rodriguez</v>
      </c>
      <c r="C22" s="47" t="str">
        <f>VLOOKUP(D22,'Master Data'!A:F,6,FALSE)</f>
        <v>valentina.rezia@bluewin.ch</v>
      </c>
      <c r="D22" s="97" t="s">
        <v>11575</v>
      </c>
      <c r="E22" s="46"/>
      <c r="F22" s="46" t="str">
        <f>VLOOKUP(D22,'Master Data'!A:F,4,FALSE)</f>
        <v>w</v>
      </c>
      <c r="G22" s="46" t="str">
        <f>VLOOKUP(D22,'Master Data'!A:F,5,FALSE)</f>
        <v>Paar</v>
      </c>
      <c r="H22" s="103">
        <v>160</v>
      </c>
      <c r="I22" s="49" t="s">
        <v>11941</v>
      </c>
      <c r="J22" s="100" t="s">
        <v>11941</v>
      </c>
      <c r="K22" s="49"/>
      <c r="L22" s="49"/>
      <c r="M22" s="100" t="s">
        <v>11941</v>
      </c>
      <c r="N22" s="49"/>
      <c r="O22" s="49"/>
      <c r="P22" s="49"/>
    </row>
    <row r="23" spans="1:16" ht="23.25" customHeight="1" x14ac:dyDescent="0.25">
      <c r="A23" s="46" t="str">
        <f>VLOOKUP(D23,'Master Data'!A:F,2,FALSE)</f>
        <v>Javier</v>
      </c>
      <c r="B23" s="46" t="str">
        <f>VLOOKUP(D23,'Master Data'!A:F,3,FALSE)</f>
        <v>Rodriguez</v>
      </c>
      <c r="C23" s="96" t="str">
        <f>VLOOKUP(D23,'Master Data'!A:F,6,FALSE)</f>
        <v>jjrv1987@hotmail.com</v>
      </c>
      <c r="D23" s="114" t="s">
        <v>11576</v>
      </c>
      <c r="E23" s="60"/>
      <c r="F23" s="46" t="str">
        <f>VLOOKUP(D23,'Master Data'!A:F,4,FALSE)</f>
        <v>m</v>
      </c>
      <c r="G23" s="46" t="str">
        <f>VLOOKUP(D23,'Master Data'!A:F,5,FALSE)</f>
        <v>Paar</v>
      </c>
      <c r="H23" s="107">
        <v>160</v>
      </c>
      <c r="I23" s="100" t="s">
        <v>11941</v>
      </c>
      <c r="J23" s="100" t="s">
        <v>11941</v>
      </c>
      <c r="K23" s="100"/>
      <c r="L23" s="100" t="s">
        <v>11754</v>
      </c>
      <c r="M23" s="100" t="s">
        <v>11941</v>
      </c>
      <c r="N23" s="100" t="s">
        <v>11754</v>
      </c>
      <c r="O23" s="100"/>
      <c r="P23" s="100"/>
    </row>
    <row r="24" spans="1:16" ht="23.25" customHeight="1" x14ac:dyDescent="0.25">
      <c r="A24" s="46" t="str">
        <f>VLOOKUP(D24,'Master Data'!A:F,2,FALSE)</f>
        <v>Bülent</v>
      </c>
      <c r="B24" s="46" t="str">
        <f>VLOOKUP(D24,'Master Data'!A:F,3,FALSE)</f>
        <v>Ekinci</v>
      </c>
      <c r="C24" s="96" t="str">
        <f>VLOOKUP(D24,'Master Data'!A:F,6,FALSE)</f>
        <v>buelentekinci24@gamil.com</v>
      </c>
      <c r="D24" s="114" t="s">
        <v>11955</v>
      </c>
      <c r="E24" s="60" t="s">
        <v>11298</v>
      </c>
      <c r="F24" s="46" t="str">
        <f>VLOOKUP(D24,'Master Data'!A:F,4,FALSE)</f>
        <v>m</v>
      </c>
      <c r="G24" s="46" t="str">
        <f>VLOOKUP(D24,'Master Data'!A:F,5,FALSE)</f>
        <v>Normal</v>
      </c>
      <c r="H24" s="107"/>
      <c r="I24" s="100" t="s">
        <v>11941</v>
      </c>
      <c r="J24" s="100" t="s">
        <v>11941</v>
      </c>
      <c r="K24" s="100"/>
      <c r="L24" s="100"/>
      <c r="M24" s="100" t="s">
        <v>11941</v>
      </c>
      <c r="N24" s="100"/>
      <c r="O24" s="100"/>
      <c r="P24" s="100"/>
    </row>
    <row r="25" spans="1:16" ht="23.25" customHeight="1" x14ac:dyDescent="0.25">
      <c r="A25" s="46" t="str">
        <f>VLOOKUP(D25,'Master Data'!A:F,2,FALSE)</f>
        <v>David</v>
      </c>
      <c r="B25" s="46" t="str">
        <f>VLOOKUP(D25,'Master Data'!A:F,3,FALSE)</f>
        <v>Schwegler</v>
      </c>
      <c r="C25" s="96" t="str">
        <f>VLOOKUP(D25,'Master Data'!A:F,6,FALSE)</f>
        <v>davidschweg@gmail.com</v>
      </c>
      <c r="D25" s="114" t="s">
        <v>9337</v>
      </c>
      <c r="E25" s="60"/>
      <c r="F25" s="46" t="str">
        <f>VLOOKUP(D25,'Master Data'!A:F,4,FALSE)</f>
        <v>m</v>
      </c>
      <c r="G25" s="46" t="str">
        <f>VLOOKUP(D25,'Master Data'!A:F,5,FALSE)</f>
        <v>Normal</v>
      </c>
      <c r="H25" s="107"/>
      <c r="I25" s="100"/>
      <c r="J25" s="100"/>
      <c r="K25" s="100"/>
      <c r="L25" s="100"/>
      <c r="M25" s="100" t="s">
        <v>11941</v>
      </c>
      <c r="N25" s="100"/>
      <c r="O25" s="100"/>
      <c r="P25" s="100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96" t="e">
        <f>VLOOKUP(D26,'Master Data'!A:F,6,FALSE)</f>
        <v>#N/A</v>
      </c>
      <c r="D26" s="114"/>
      <c r="E26" s="60"/>
      <c r="F26" s="46" t="e">
        <f>VLOOKUP(D26,'Master Data'!A:F,4,FALSE)</f>
        <v>#N/A</v>
      </c>
      <c r="G26" s="46" t="e">
        <f>VLOOKUP(D26,'Master Data'!A:F,5,FALSE)</f>
        <v>#N/A</v>
      </c>
      <c r="H26" s="101"/>
      <c r="I26" s="100"/>
      <c r="J26" s="100"/>
      <c r="K26" s="100"/>
      <c r="L26" s="100"/>
      <c r="M26" s="100"/>
      <c r="N26" s="100"/>
      <c r="O26" s="100"/>
      <c r="P26" s="100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96" t="e">
        <f>VLOOKUP(D27,'Master Data'!A:F,6,FALSE)</f>
        <v>#N/A</v>
      </c>
      <c r="D27" s="114"/>
      <c r="E27" s="60"/>
      <c r="F27" s="46" t="e">
        <f>VLOOKUP(D27,'Master Data'!A:F,4,FALSE)</f>
        <v>#N/A</v>
      </c>
      <c r="G27" s="46" t="e">
        <f>VLOOKUP(D27,'Master Data'!A:F,5,FALSE)</f>
        <v>#N/A</v>
      </c>
      <c r="H27" s="101"/>
      <c r="I27" s="100"/>
      <c r="J27" s="100"/>
      <c r="K27" s="100"/>
      <c r="L27" s="100"/>
      <c r="M27" s="100"/>
      <c r="N27" s="100"/>
      <c r="O27" s="100"/>
      <c r="P27" s="100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7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101"/>
      <c r="I28" s="100"/>
      <c r="J28" s="100"/>
      <c r="K28" s="100"/>
      <c r="L28" s="100"/>
      <c r="M28" s="100"/>
      <c r="N28" s="100"/>
      <c r="O28" s="100"/>
      <c r="P28" s="100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101"/>
      <c r="I29" s="100"/>
      <c r="J29" s="100"/>
      <c r="K29" s="100"/>
      <c r="L29" s="100"/>
      <c r="M29" s="100"/>
      <c r="N29" s="100"/>
      <c r="O29" s="100"/>
      <c r="P29" s="100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101"/>
      <c r="I30" s="100"/>
      <c r="J30" s="100"/>
      <c r="K30" s="100"/>
      <c r="L30" s="100"/>
      <c r="M30" s="100"/>
      <c r="N30" s="100"/>
      <c r="O30" s="100"/>
      <c r="P30" s="100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101"/>
      <c r="I31" s="100"/>
      <c r="J31" s="100"/>
      <c r="K31" s="100"/>
      <c r="L31" s="100"/>
      <c r="M31" s="100"/>
      <c r="N31" s="100"/>
      <c r="O31" s="100"/>
      <c r="P31" s="100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46" t="e">
        <f>VLOOKUP(D32,'Master Data'!A:F,4,FALSE)</f>
        <v>#N/A</v>
      </c>
      <c r="G32" s="46" t="e">
        <f>VLOOKUP(D32,'Master Data'!A:F,5,FALSE)</f>
        <v>#N/A</v>
      </c>
      <c r="H32" s="51">
        <f>SUM(H7:H31)</f>
        <v>2040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I6:P6"/>
  </mergeCells>
  <conditionalFormatting sqref="A7:C32 F7:G32">
    <cfRule type="cellIs" dxfId="73" priority="1" operator="equal">
      <formula>0</formula>
    </cfRule>
    <cfRule type="expression" dxfId="72" priority="2">
      <formula>ISERROR(A7)</formula>
    </cfRule>
  </conditionalFormatting>
  <pageMargins left="0.41666666666666669" right="0.41666666666666669" top="0.78740157499999996" bottom="0.78740157499999996" header="0" footer="0"/>
  <pageSetup paperSize="9" scale="6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x="16383" man="1"/>
  </rowBreaks>
  <colBreaks count="1" manualBreakCount="1">
    <brk id="1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E2F3"/>
  </sheetPr>
  <dimension ref="A1:P32"/>
  <sheetViews>
    <sheetView view="pageLayout" zoomScaleNormal="100" workbookViewId="0">
      <selection activeCell="P8" sqref="P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9" width="4" customWidth="1"/>
    <col min="10" max="16" width="4.42578125" customWidth="1"/>
    <col min="17" max="17" width="10.42578125" customWidth="1"/>
    <col min="18" max="26" width="7" customWidth="1"/>
  </cols>
  <sheetData>
    <row r="1" spans="1:16" ht="23.25" customHeight="1" x14ac:dyDescent="0.25">
      <c r="A1" s="36" t="s">
        <v>11301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11279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Severine</v>
      </c>
      <c r="B7" s="46" t="str">
        <f>VLOOKUP(D7,'Master Data'!A:F,3,FALSE)</f>
        <v>Bonjour</v>
      </c>
      <c r="C7" s="47" t="str">
        <f>VLOOKUP(D7,'Master Data'!A:F,6,FALSE)</f>
        <v>Sevi_6738@hotmail.com</v>
      </c>
      <c r="D7" s="34" t="s">
        <v>7499</v>
      </c>
      <c r="E7" s="46"/>
      <c r="F7" s="46" t="str">
        <f>VLOOKUP(D7,'Master Data'!A:F,4,FALSE)</f>
        <v>w</v>
      </c>
      <c r="G7" s="46" t="str">
        <f>VLOOKUP(D7,'Master Data'!A:F,5,FALSE)</f>
        <v>Paar</v>
      </c>
      <c r="H7" s="103">
        <v>190</v>
      </c>
      <c r="I7" s="49" t="s">
        <v>11941</v>
      </c>
      <c r="J7" s="49" t="s">
        <v>11941</v>
      </c>
      <c r="K7" s="49" t="s">
        <v>11941</v>
      </c>
      <c r="L7" s="49"/>
      <c r="M7" s="49" t="s">
        <v>11941</v>
      </c>
      <c r="N7" s="49"/>
      <c r="O7" s="49"/>
      <c r="P7" s="49"/>
    </row>
    <row r="8" spans="1:16" ht="23.25" customHeight="1" x14ac:dyDescent="0.25">
      <c r="A8" s="46" t="str">
        <f>VLOOKUP(D8,'Master Data'!A:F,2,FALSE)</f>
        <v>Carlos</v>
      </c>
      <c r="B8" s="46" t="str">
        <f>VLOOKUP(D8,'Master Data'!A:F,3,FALSE)</f>
        <v>Garcia</v>
      </c>
      <c r="C8" s="47" t="str">
        <f>VLOOKUP(D8,'Master Data'!A:F,6,FALSE)</f>
        <v>rmcagb@yahoo.es</v>
      </c>
      <c r="D8" s="34" t="s">
        <v>7540</v>
      </c>
      <c r="E8" s="46"/>
      <c r="F8" s="46" t="str">
        <f>VLOOKUP(D8,'Master Data'!A:F,4,FALSE)</f>
        <v>m</v>
      </c>
      <c r="G8" s="46" t="str">
        <f>VLOOKUP(D8,'Master Data'!A:F,5,FALSE)</f>
        <v>Normal</v>
      </c>
      <c r="H8" s="103">
        <v>190</v>
      </c>
      <c r="I8" s="49" t="s">
        <v>11941</v>
      </c>
      <c r="J8" s="49" t="s">
        <v>11941</v>
      </c>
      <c r="K8" s="49" t="s">
        <v>11754</v>
      </c>
      <c r="L8" s="49"/>
      <c r="M8" s="49" t="s">
        <v>11941</v>
      </c>
      <c r="N8" s="49"/>
      <c r="O8" s="49"/>
      <c r="P8" s="49"/>
    </row>
    <row r="9" spans="1:16" ht="23.25" customHeight="1" x14ac:dyDescent="0.25">
      <c r="A9" s="46" t="str">
        <f>VLOOKUP(D9,'Master Data'!A:F,2,FALSE)</f>
        <v>Mathias</v>
      </c>
      <c r="B9" s="46" t="str">
        <f>VLOOKUP(D9,'Master Data'!A:F,3,FALSE)</f>
        <v>Landsrath</v>
      </c>
      <c r="C9" s="47" t="str">
        <f>VLOOKUP(D9,'Master Data'!A:F,6,FALSE)</f>
        <v>matila@gmx.de</v>
      </c>
      <c r="D9" s="19" t="s">
        <v>4067</v>
      </c>
      <c r="E9" s="46"/>
      <c r="F9" s="46" t="str">
        <f>VLOOKUP(D9,'Master Data'!A:F,4,FALSE)</f>
        <v>m</v>
      </c>
      <c r="G9" s="46" t="str">
        <f>VLOOKUP(D9,'Master Data'!A:F,5,FALSE)</f>
        <v>Normal</v>
      </c>
      <c r="H9" s="103"/>
      <c r="I9" s="49" t="s">
        <v>11754</v>
      </c>
      <c r="J9" s="49" t="s">
        <v>11941</v>
      </c>
      <c r="K9" s="49" t="s">
        <v>11754</v>
      </c>
      <c r="L9" s="49"/>
      <c r="M9" s="49" t="s">
        <v>11941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Jonhattan</v>
      </c>
      <c r="B10" s="46" t="str">
        <f>VLOOKUP(D10,'Master Data'!A:F,3,FALSE)</f>
        <v>da Luz</v>
      </c>
      <c r="C10" s="47" t="str">
        <f>VLOOKUP(D10,'Master Data'!A:F,6,FALSE)</f>
        <v>jon.daluz@gmail.com</v>
      </c>
      <c r="D10" s="34" t="s">
        <v>11003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6">
        <v>255</v>
      </c>
      <c r="I10" s="49" t="s">
        <v>11941</v>
      </c>
      <c r="J10" s="49" t="s">
        <v>11941</v>
      </c>
      <c r="K10" s="49" t="s">
        <v>11754</v>
      </c>
      <c r="L10" s="49"/>
      <c r="M10" s="49" t="s">
        <v>11941</v>
      </c>
      <c r="N10" s="49"/>
      <c r="O10" s="49" t="s">
        <v>11754</v>
      </c>
      <c r="P10" s="49"/>
    </row>
    <row r="11" spans="1:16" ht="23.25" customHeight="1" x14ac:dyDescent="0.25">
      <c r="A11" s="46" t="str">
        <f>VLOOKUP(D11,'Master Data'!A:F,2,FALSE)</f>
        <v>Lorena</v>
      </c>
      <c r="B11" s="46" t="str">
        <f>VLOOKUP(D11,'Master Data'!A:F,3,FALSE)</f>
        <v>von Büren</v>
      </c>
      <c r="C11" s="47" t="str">
        <f>VLOOKUP(D11,'Master Data'!A:F,6,FALSE)</f>
        <v>lorena_98@live.de</v>
      </c>
      <c r="D11" s="30" t="s">
        <v>7396</v>
      </c>
      <c r="E11" s="46"/>
      <c r="F11" s="46" t="str">
        <f>VLOOKUP(D11,'Master Data'!A:F,4,FALSE)</f>
        <v>m</v>
      </c>
      <c r="G11" s="46" t="str">
        <f>VLOOKUP(D11,'Master Data'!A:F,5,FALSE)</f>
        <v>Paar</v>
      </c>
      <c r="H11" s="103">
        <v>190</v>
      </c>
      <c r="I11" s="49" t="s">
        <v>11941</v>
      </c>
      <c r="J11" s="49" t="s">
        <v>11941</v>
      </c>
      <c r="K11" s="49" t="s">
        <v>11941</v>
      </c>
      <c r="L11" s="49"/>
      <c r="M11" s="49" t="s">
        <v>11941</v>
      </c>
      <c r="N11" s="49" t="s">
        <v>11754</v>
      </c>
      <c r="O11" s="49"/>
      <c r="P11" s="49"/>
    </row>
    <row r="12" spans="1:16" ht="23.25" customHeight="1" x14ac:dyDescent="0.25">
      <c r="A12" s="46" t="str">
        <f>VLOOKUP(D12,'Master Data'!A:F,2,FALSE)</f>
        <v>Elena</v>
      </c>
      <c r="B12" s="46" t="str">
        <f>VLOOKUP(D12,'Master Data'!A:F,3,FALSE)</f>
        <v>Buss</v>
      </c>
      <c r="C12" s="47" t="str">
        <f>VLOOKUP(D12,'Master Data'!A:F,6,FALSE)</f>
        <v>elena.buss@gmx.ch</v>
      </c>
      <c r="D12" s="7" t="s">
        <v>8217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6">
        <v>120</v>
      </c>
      <c r="I12" s="49" t="s">
        <v>11941</v>
      </c>
      <c r="J12" s="49" t="s">
        <v>11941</v>
      </c>
      <c r="K12" s="49" t="s">
        <v>11941</v>
      </c>
      <c r="L12" s="49"/>
      <c r="M12" s="49" t="s">
        <v>11941</v>
      </c>
      <c r="N12" s="49" t="s">
        <v>11754</v>
      </c>
      <c r="O12" s="49" t="s">
        <v>11754</v>
      </c>
      <c r="P12" s="49"/>
    </row>
    <row r="13" spans="1:16" ht="23.25" customHeight="1" x14ac:dyDescent="0.25">
      <c r="A13" s="46" t="str">
        <f>VLOOKUP(D13,'Master Data'!A:F,2,FALSE)</f>
        <v>Sarah</v>
      </c>
      <c r="B13" s="46" t="str">
        <f>VLOOKUP(D13,'Master Data'!A:F,3,FALSE)</f>
        <v>Imhof</v>
      </c>
      <c r="C13" s="47" t="str">
        <f>VLOOKUP(D13,'Master Data'!A:F,6,FALSE)</f>
        <v>sarah.imhof60@gmail.com</v>
      </c>
      <c r="D13" s="30" t="s">
        <v>8507</v>
      </c>
      <c r="E13" s="46"/>
      <c r="F13" s="46" t="str">
        <f>VLOOKUP(D13,'Master Data'!A:F,4,FALSE)</f>
        <v>w</v>
      </c>
      <c r="G13" s="46" t="str">
        <f>VLOOKUP(D13,'Master Data'!A:F,5,FALSE)</f>
        <v>Paar</v>
      </c>
      <c r="H13" s="103"/>
      <c r="I13" s="49" t="s">
        <v>11754</v>
      </c>
      <c r="J13" s="49" t="s">
        <v>11941</v>
      </c>
      <c r="K13" s="49" t="s">
        <v>11941</v>
      </c>
      <c r="L13" s="49"/>
      <c r="M13" s="49" t="s">
        <v>11941</v>
      </c>
      <c r="N13" s="49" t="s">
        <v>11754</v>
      </c>
      <c r="O13" s="49"/>
      <c r="P13" s="49"/>
    </row>
    <row r="14" spans="1:16" ht="23.25" customHeight="1" x14ac:dyDescent="0.25">
      <c r="A14" s="46" t="str">
        <f>VLOOKUP(D14,'Master Data'!A:F,2,FALSE)</f>
        <v>Diana</v>
      </c>
      <c r="B14" s="46" t="str">
        <f>VLOOKUP(D14,'Master Data'!A:F,3,FALSE)</f>
        <v>Reznik</v>
      </c>
      <c r="C14" s="47" t="str">
        <f>VLOOKUP(D14,'Master Data'!A:F,6,FALSE)</f>
        <v>reznikdiana@hotmail.com</v>
      </c>
      <c r="D14" s="30" t="s">
        <v>9675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6">
        <v>285</v>
      </c>
      <c r="I14" s="49" t="s">
        <v>11941</v>
      </c>
      <c r="J14" s="49" t="s">
        <v>11941</v>
      </c>
      <c r="K14" s="49" t="s">
        <v>11941</v>
      </c>
      <c r="L14" s="49"/>
      <c r="M14" s="49" t="s">
        <v>11941</v>
      </c>
      <c r="N14" s="49" t="s">
        <v>11754</v>
      </c>
      <c r="O14" s="49"/>
      <c r="P14" s="49"/>
    </row>
    <row r="15" spans="1:16" ht="23.25" customHeight="1" x14ac:dyDescent="0.25">
      <c r="A15" s="46" t="str">
        <f>VLOOKUP(D15,'Master Data'!A:F,2,FALSE)</f>
        <v>Osman</v>
      </c>
      <c r="B15" s="46" t="str">
        <f>VLOOKUP(D15,'Master Data'!A:F,3,FALSE)</f>
        <v>Bukari</v>
      </c>
      <c r="C15" s="47" t="str">
        <f>VLOOKUP(D15,'Master Data'!A:F,6,FALSE)</f>
        <v>abusco@hotmail.de</v>
      </c>
      <c r="D15" s="34" t="s">
        <v>8565</v>
      </c>
      <c r="E15" s="46"/>
      <c r="F15" s="46" t="str">
        <f>VLOOKUP(D15,'Master Data'!A:F,4,FALSE)</f>
        <v>m</v>
      </c>
      <c r="G15" s="46" t="str">
        <f>VLOOKUP(D15,'Master Data'!A:F,5,FALSE)</f>
        <v>Normal</v>
      </c>
      <c r="H15" s="106">
        <v>190</v>
      </c>
      <c r="I15" s="49" t="s">
        <v>11754</v>
      </c>
      <c r="J15" s="49" t="s">
        <v>11754</v>
      </c>
      <c r="K15" s="49" t="s">
        <v>11754</v>
      </c>
      <c r="L15" s="49"/>
      <c r="M15" s="49" t="s">
        <v>11941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Nicholas</v>
      </c>
      <c r="B16" s="46" t="str">
        <f>VLOOKUP(D16,'Master Data'!A:F,3,FALSE)</f>
        <v>Wiedmaier</v>
      </c>
      <c r="C16" s="47" t="str">
        <f>VLOOKUP(D16,'Master Data'!A:F,6,FALSE)</f>
        <v>nicholasrwiedmaier@web.de</v>
      </c>
      <c r="D16" s="34" t="s">
        <v>7779</v>
      </c>
      <c r="E16" s="46"/>
      <c r="F16" s="46" t="str">
        <f>VLOOKUP(D16,'Master Data'!A:F,4,FALSE)</f>
        <v>m</v>
      </c>
      <c r="G16" s="46" t="str">
        <f>VLOOKUP(D16,'Master Data'!A:F,5,FALSE)</f>
        <v>Paar</v>
      </c>
      <c r="H16" s="103">
        <v>160</v>
      </c>
      <c r="I16" s="49" t="s">
        <v>11941</v>
      </c>
      <c r="J16" s="49" t="s">
        <v>11941</v>
      </c>
      <c r="K16" s="49" t="s">
        <v>11941</v>
      </c>
      <c r="L16" s="49"/>
      <c r="M16" s="49" t="s">
        <v>11941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 xml:space="preserve">Laura </v>
      </c>
      <c r="B17" s="46" t="str">
        <f>VLOOKUP(D17,'Master Data'!A:F,3,FALSE)</f>
        <v>Wiedmaier</v>
      </c>
      <c r="C17" s="47" t="str">
        <f>VLOOKUP(D17,'Master Data'!A:F,6,FALSE)</f>
        <v>laurasrsan@gmail.com</v>
      </c>
      <c r="D17" s="30" t="s">
        <v>7785</v>
      </c>
      <c r="E17" s="46"/>
      <c r="F17" s="46" t="str">
        <f>VLOOKUP(D17,'Master Data'!A:F,4,FALSE)</f>
        <v>w</v>
      </c>
      <c r="G17" s="46" t="str">
        <f>VLOOKUP(D17,'Master Data'!A:F,5,FALSE)</f>
        <v>Paar</v>
      </c>
      <c r="H17" s="103">
        <v>160</v>
      </c>
      <c r="I17" s="49" t="s">
        <v>11941</v>
      </c>
      <c r="J17" s="49" t="s">
        <v>11941</v>
      </c>
      <c r="K17" s="49" t="s">
        <v>11941</v>
      </c>
      <c r="L17" s="49"/>
      <c r="M17" s="49" t="s">
        <v>11941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Valentin</v>
      </c>
      <c r="B18" s="46" t="str">
        <f>VLOOKUP(D18,'Master Data'!A:F,3,FALSE)</f>
        <v>Lopez</v>
      </c>
      <c r="C18" s="47" t="str">
        <f>VLOOKUP(D18,'Master Data'!A:F,6,FALSE)</f>
        <v>lopez.b.valentin@gmail.com</v>
      </c>
      <c r="D18" s="7" t="s">
        <v>7490</v>
      </c>
      <c r="E18" s="46"/>
      <c r="F18" s="46" t="str">
        <f>VLOOKUP(D18,'Master Data'!A:F,4,FALSE)</f>
        <v>m</v>
      </c>
      <c r="G18" s="46" t="str">
        <f>VLOOKUP(D18,'Master Data'!A:F,5,FALSE)</f>
        <v>Normal</v>
      </c>
      <c r="H18" s="106">
        <v>190</v>
      </c>
      <c r="I18" s="49" t="s">
        <v>11941</v>
      </c>
      <c r="J18" s="49" t="s">
        <v>11941</v>
      </c>
      <c r="K18" s="49" t="s">
        <v>11941</v>
      </c>
      <c r="L18" s="49"/>
      <c r="M18" s="49" t="s">
        <v>11941</v>
      </c>
      <c r="N18" s="49"/>
      <c r="O18" s="49"/>
      <c r="P18" s="49"/>
    </row>
    <row r="19" spans="1:16" ht="23.25" customHeight="1" x14ac:dyDescent="0.25">
      <c r="A19" s="46" t="str">
        <f>VLOOKUP(D19,'Master Data'!A:F,2,FALSE)</f>
        <v>Rayan</v>
      </c>
      <c r="B19" s="46" t="str">
        <f>VLOOKUP(D19,'Master Data'!A:F,3,FALSE)</f>
        <v>Kieffer</v>
      </c>
      <c r="C19" s="47" t="str">
        <f>VLOOKUP(D19,'Master Data'!A:F,6,FALSE)</f>
        <v>rayan.kieffer@gmail.com</v>
      </c>
      <c r="D19" s="30" t="s">
        <v>8321</v>
      </c>
      <c r="E19" s="46" t="s">
        <v>11665</v>
      </c>
      <c r="F19" s="46" t="str">
        <f>VLOOKUP(D19,'Master Data'!A:F,4,FALSE)</f>
        <v>m</v>
      </c>
      <c r="G19" s="46" t="str">
        <f>VLOOKUP(D19,'Master Data'!A:F,5,FALSE)</f>
        <v>Normal</v>
      </c>
      <c r="H19" s="106">
        <v>285</v>
      </c>
      <c r="I19" s="49" t="s">
        <v>11941</v>
      </c>
      <c r="J19" s="49" t="s">
        <v>11754</v>
      </c>
      <c r="K19" s="49" t="s">
        <v>11754</v>
      </c>
      <c r="L19" s="49"/>
      <c r="M19" s="49" t="s">
        <v>11941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Anke</v>
      </c>
      <c r="B20" s="46" t="str">
        <f>VLOOKUP(D20,'Master Data'!A:F,3,FALSE)</f>
        <v>Gnann</v>
      </c>
      <c r="C20" s="47" t="str">
        <f>VLOOKUP(D20,'Master Data'!A:F,6,FALSE)</f>
        <v>AnkeGnann@gmx.de</v>
      </c>
      <c r="D20" s="30" t="s">
        <v>9499</v>
      </c>
      <c r="E20" s="46"/>
      <c r="F20" s="46" t="str">
        <f>VLOOKUP(D20,'Master Data'!A:F,4,FALSE)</f>
        <v>w</v>
      </c>
      <c r="G20" s="46" t="str">
        <f>VLOOKUP(D20,'Master Data'!A:F,5,FALSE)</f>
        <v>Normal</v>
      </c>
      <c r="H20" s="106">
        <v>160</v>
      </c>
      <c r="I20" s="49" t="s">
        <v>11754</v>
      </c>
      <c r="J20" s="49" t="s">
        <v>11941</v>
      </c>
      <c r="K20" s="49" t="s">
        <v>11941</v>
      </c>
      <c r="L20" s="49"/>
      <c r="M20" s="49" t="s">
        <v>11941</v>
      </c>
      <c r="N20" s="49"/>
      <c r="O20" s="49"/>
      <c r="P20" s="49"/>
    </row>
    <row r="21" spans="1:16" ht="23.25" customHeight="1" x14ac:dyDescent="0.25">
      <c r="A21" s="46" t="str">
        <f>VLOOKUP(D21,'Master Data'!A:F,2,FALSE)</f>
        <v>Stephan</v>
      </c>
      <c r="B21" s="46" t="str">
        <f>VLOOKUP(D21,'Master Data'!A:F,3,FALSE)</f>
        <v>Helmecke</v>
      </c>
      <c r="C21" s="47" t="str">
        <f>VLOOKUP(D21,'Master Data'!A:F,6,FALSE)</f>
        <v>McByte@gmx.de</v>
      </c>
      <c r="D21" s="30" t="s">
        <v>9495</v>
      </c>
      <c r="E21" s="46"/>
      <c r="F21" s="46" t="str">
        <f>VLOOKUP(D21,'Master Data'!A:F,4,FALSE)</f>
        <v>m</v>
      </c>
      <c r="G21" s="46" t="str">
        <f>VLOOKUP(D21,'Master Data'!A:F,5,FALSE)</f>
        <v>Normal</v>
      </c>
      <c r="H21" s="106">
        <v>160</v>
      </c>
      <c r="I21" s="49" t="s">
        <v>11941</v>
      </c>
      <c r="J21" s="49" t="s">
        <v>11754</v>
      </c>
      <c r="K21" s="49" t="s">
        <v>11941</v>
      </c>
      <c r="L21" s="49"/>
      <c r="M21" s="49" t="s">
        <v>11941</v>
      </c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2535</v>
      </c>
      <c r="I32" s="31"/>
      <c r="J32" s="31"/>
      <c r="K32" s="31"/>
      <c r="L32" s="31"/>
      <c r="M32" s="31"/>
      <c r="N32" s="31"/>
      <c r="O32" s="31"/>
      <c r="P32" s="31"/>
    </row>
  </sheetData>
  <mergeCells count="1">
    <mergeCell ref="I6:P6"/>
  </mergeCells>
  <conditionalFormatting sqref="F7:G31 A7:C32">
    <cfRule type="cellIs" dxfId="71" priority="1" operator="equal">
      <formula>0</formula>
    </cfRule>
    <cfRule type="expression" dxfId="70" priority="2">
      <formula>ISERROR(A7)</formula>
    </cfRule>
  </conditionalFormatting>
  <pageMargins left="0.41666666666666669" right="0.41666666666666669" top="0.78740157499999996" bottom="0.78740157499999996" header="0" footer="0"/>
  <pageSetup paperSize="9" scale="76" orientation="landscape" r:id="rId1"/>
  <headerFooter>
    <oddFooter>&amp;LSalsaflow Dance Company GmbH Elisabethenanlage 7, 4051 Basel &amp;CSebastian - Tel. 076 218 21 98 Fabio - Tel. 076 478 84 11&amp;Rinfo@salsaflow-dc.com www.salsaflow-dc.com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E2F3"/>
  </sheetPr>
  <dimension ref="A1:P1001"/>
  <sheetViews>
    <sheetView view="pageLayout" topLeftCell="A3" zoomScaleNormal="100" workbookViewId="0">
      <selection activeCell="P8" sqref="P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9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4.42578125" customWidth="1"/>
    <col min="17" max="26" width="7" customWidth="1"/>
  </cols>
  <sheetData>
    <row r="1" spans="1:16" ht="23.25" customHeight="1" x14ac:dyDescent="0.25">
      <c r="A1" s="36" t="s">
        <v>11397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11291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János</v>
      </c>
      <c r="B7" s="46" t="str">
        <f>VLOOKUP(D7,'Master Data'!A:F,3,FALSE)</f>
        <v>Hatos</v>
      </c>
      <c r="C7" s="47" t="str">
        <f>VLOOKUP(D7,'Master Data'!A:F,6,FALSE)</f>
        <v>hatosjanos18@gmail.com</v>
      </c>
      <c r="D7" s="34" t="s">
        <v>9152</v>
      </c>
      <c r="E7" s="46"/>
      <c r="F7" s="46" t="str">
        <f>VLOOKUP(D7,'Master Data'!A:F,4,FALSE)</f>
        <v>m</v>
      </c>
      <c r="G7" s="46" t="str">
        <f>VLOOKUP(D7,'Master Data'!A:F,5,FALSE)</f>
        <v>Normal</v>
      </c>
      <c r="H7" s="103">
        <v>190</v>
      </c>
      <c r="I7" s="49" t="s">
        <v>11941</v>
      </c>
      <c r="J7" s="49" t="s">
        <v>11941</v>
      </c>
      <c r="K7" s="49" t="s">
        <v>11941</v>
      </c>
      <c r="L7" s="49"/>
      <c r="M7" s="49" t="s">
        <v>11941</v>
      </c>
      <c r="N7" s="49"/>
      <c r="O7" s="49"/>
      <c r="P7" s="49"/>
    </row>
    <row r="8" spans="1:16" ht="23.25" customHeight="1" x14ac:dyDescent="0.25">
      <c r="A8" s="46" t="str">
        <f>VLOOKUP(D8,'Master Data'!A:F,2,FALSE)</f>
        <v>Marina</v>
      </c>
      <c r="B8" s="46" t="str">
        <f>VLOOKUP(D8,'Master Data'!A:F,3,FALSE)</f>
        <v>Pradas Sanchez</v>
      </c>
      <c r="C8" s="47" t="str">
        <f>VLOOKUP(D8,'Master Data'!A:F,6,FALSE)</f>
        <v>marinapradassanchez@gmail.com</v>
      </c>
      <c r="D8" s="54" t="s">
        <v>7416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6">
        <v>170</v>
      </c>
      <c r="I8" s="49" t="s">
        <v>11754</v>
      </c>
      <c r="J8" s="49" t="s">
        <v>11941</v>
      </c>
      <c r="K8" s="49" t="s">
        <v>11941</v>
      </c>
      <c r="L8" s="49"/>
      <c r="M8" s="49" t="s">
        <v>11754</v>
      </c>
      <c r="N8" s="49"/>
      <c r="O8" s="49"/>
      <c r="P8" s="49"/>
    </row>
    <row r="9" spans="1:16" ht="23.25" customHeight="1" x14ac:dyDescent="0.25">
      <c r="A9" s="46" t="str">
        <f>VLOOKUP(D9,'Master Data'!A:F,2,FALSE)</f>
        <v>Deniz</v>
      </c>
      <c r="B9" s="46" t="str">
        <f>VLOOKUP(D9,'Master Data'!A:F,3,FALSE)</f>
        <v>Kaymak</v>
      </c>
      <c r="C9" s="47" t="str">
        <f>VLOOKUP(D9,'Master Data'!A:F,6,FALSE)</f>
        <v>deniz.kaymak@unibas.ch</v>
      </c>
      <c r="D9" s="21" t="s">
        <v>9267</v>
      </c>
      <c r="E9" s="46"/>
      <c r="F9" s="46" t="str">
        <f>VLOOKUP(D9,'Master Data'!A:F,4,FALSE)</f>
        <v>m</v>
      </c>
      <c r="G9" s="46" t="str">
        <f>VLOOKUP(D9,'Master Data'!A:F,5,FALSE)</f>
        <v>Paar</v>
      </c>
      <c r="H9" s="106">
        <v>135</v>
      </c>
      <c r="I9" s="49" t="s">
        <v>11941</v>
      </c>
      <c r="J9" s="49" t="s">
        <v>11941</v>
      </c>
      <c r="K9" s="49" t="s">
        <v>11941</v>
      </c>
      <c r="L9" s="49"/>
      <c r="M9" s="49" t="s">
        <v>11941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Nerymar Alejandra</v>
      </c>
      <c r="B10" s="46" t="str">
        <f>VLOOKUP(D10,'Master Data'!A:F,3,FALSE)</f>
        <v>Ramirez</v>
      </c>
      <c r="C10" s="47" t="str">
        <f>VLOOKUP(D10,'Master Data'!A:F,6,FALSE)</f>
        <v>nervil73@hotmail.com</v>
      </c>
      <c r="D10" s="30" t="s">
        <v>9271</v>
      </c>
      <c r="E10" s="46"/>
      <c r="F10" s="46" t="str">
        <f>VLOOKUP(D10,'Master Data'!A:F,4,FALSE)</f>
        <v>w</v>
      </c>
      <c r="G10" s="46" t="str">
        <f>VLOOKUP(D10,'Master Data'!A:F,5,FALSE)</f>
        <v>Paar</v>
      </c>
      <c r="H10" s="106">
        <v>135</v>
      </c>
      <c r="I10" s="49" t="s">
        <v>11941</v>
      </c>
      <c r="J10" s="49" t="s">
        <v>11941</v>
      </c>
      <c r="K10" s="49" t="s">
        <v>11941</v>
      </c>
      <c r="L10" s="49"/>
      <c r="M10" s="49" t="s">
        <v>11941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Haimo</v>
      </c>
      <c r="B11" s="46" t="str">
        <f>VLOOKUP(D11,'Master Data'!A:F,3,FALSE)</f>
        <v>Jöhri</v>
      </c>
      <c r="C11" s="47" t="str">
        <f>VLOOKUP(D11,'Master Data'!A:F,6,FALSE)</f>
        <v>paps1408@gmail.com</v>
      </c>
      <c r="D11" s="30" t="s">
        <v>6346</v>
      </c>
      <c r="E11" s="46" t="s">
        <v>11298</v>
      </c>
      <c r="F11" s="46" t="str">
        <f>VLOOKUP(D11,'Master Data'!A:F,4,FALSE)</f>
        <v>m</v>
      </c>
      <c r="G11" s="46" t="str">
        <f>VLOOKUP(D11,'Master Data'!A:F,5,FALSE)</f>
        <v>Normal</v>
      </c>
      <c r="H11" s="103"/>
      <c r="I11" s="49" t="s">
        <v>11941</v>
      </c>
      <c r="J11" s="49" t="s">
        <v>11941</v>
      </c>
      <c r="K11" s="49" t="s">
        <v>11941</v>
      </c>
      <c r="L11" s="49"/>
      <c r="M11" s="49" t="s">
        <v>11941</v>
      </c>
      <c r="N11" s="49"/>
      <c r="O11" s="49"/>
      <c r="P11" s="49" t="s">
        <v>11754</v>
      </c>
    </row>
    <row r="12" spans="1:16" ht="23.25" customHeight="1" x14ac:dyDescent="0.25">
      <c r="A12" s="46" t="str">
        <f>VLOOKUP(D12,'Master Data'!A:F,2,FALSE)</f>
        <v>Onur</v>
      </c>
      <c r="B12" s="46" t="str">
        <f>VLOOKUP(D12,'Master Data'!A:F,3,FALSE)</f>
        <v>Erdem</v>
      </c>
      <c r="C12" s="47" t="str">
        <f>VLOOKUP(D12,'Master Data'!A:F,6,FALSE)</f>
        <v>erdem-onur@hotmail.com</v>
      </c>
      <c r="D12" s="30" t="s">
        <v>10025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6">
        <v>285</v>
      </c>
      <c r="I12" s="49" t="s">
        <v>11941</v>
      </c>
      <c r="J12" s="49" t="s">
        <v>11941</v>
      </c>
      <c r="K12" s="49" t="s">
        <v>11941</v>
      </c>
      <c r="L12" s="49"/>
      <c r="M12" s="49" t="s">
        <v>11754</v>
      </c>
      <c r="N12" s="49"/>
      <c r="O12" s="49"/>
      <c r="P12" s="49" t="s">
        <v>11754</v>
      </c>
    </row>
    <row r="13" spans="1:16" ht="23.25" customHeight="1" x14ac:dyDescent="0.25">
      <c r="A13" s="46" t="str">
        <f>VLOOKUP(D13,'Master Data'!A:F,2,FALSE)</f>
        <v>Burak</v>
      </c>
      <c r="B13" s="46" t="str">
        <f>VLOOKUP(D13,'Master Data'!A:F,3,FALSE)</f>
        <v>Yildirim</v>
      </c>
      <c r="C13" s="47" t="str">
        <f>VLOOKUP(D13,'Master Data'!A:F,6,FALSE)</f>
        <v>burak.yildirim@gmx.ch</v>
      </c>
      <c r="D13" s="30" t="s">
        <v>11101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3"/>
      <c r="I13" s="49" t="s">
        <v>11754</v>
      </c>
      <c r="J13" s="49" t="s">
        <v>11941</v>
      </c>
      <c r="K13" s="49" t="s">
        <v>11941</v>
      </c>
      <c r="L13" s="49"/>
      <c r="M13" s="49" t="s">
        <v>11941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Zita</v>
      </c>
      <c r="B14" s="46" t="str">
        <f>VLOOKUP(D14,'Master Data'!A:F,3,FALSE)</f>
        <v>Magyar</v>
      </c>
      <c r="C14" s="47" t="str">
        <f>VLOOKUP(D14,'Master Data'!A:F,6,FALSE)</f>
        <v>zita.magyar@yahoo.com</v>
      </c>
      <c r="D14" s="30" t="s">
        <v>9052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6">
        <v>75</v>
      </c>
      <c r="I14" s="49" t="s">
        <v>11754</v>
      </c>
      <c r="J14" s="49" t="s">
        <v>11941</v>
      </c>
      <c r="K14" s="49" t="s">
        <v>11941</v>
      </c>
      <c r="L14" s="49" t="s">
        <v>11754</v>
      </c>
      <c r="M14" s="49" t="s">
        <v>11754</v>
      </c>
      <c r="N14" s="49" t="s">
        <v>11754</v>
      </c>
      <c r="O14" s="49" t="s">
        <v>11754</v>
      </c>
      <c r="P14" s="49" t="s">
        <v>11754</v>
      </c>
    </row>
    <row r="15" spans="1:16" ht="23.25" customHeight="1" x14ac:dyDescent="0.25">
      <c r="A15" s="46" t="str">
        <f>VLOOKUP(D15,'Master Data'!A:F,2,FALSE)</f>
        <v>Lorena</v>
      </c>
      <c r="B15" s="46" t="str">
        <f>VLOOKUP(D15,'Master Data'!A:F,3,FALSE)</f>
        <v>Mangold</v>
      </c>
      <c r="C15" s="47" t="str">
        <f>VLOOKUP(D15,'Master Data'!A:F,6,FALSE)</f>
        <v>lmangold@breitband.ch</v>
      </c>
      <c r="D15" s="30" t="s">
        <v>6138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06">
        <v>285</v>
      </c>
      <c r="I15" s="49" t="s">
        <v>11941</v>
      </c>
      <c r="J15" s="49" t="s">
        <v>11941</v>
      </c>
      <c r="K15" s="49" t="s">
        <v>11754</v>
      </c>
      <c r="L15" s="49"/>
      <c r="M15" s="49" t="s">
        <v>11941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 xml:space="preserve">Laura </v>
      </c>
      <c r="B16" s="46" t="str">
        <f>VLOOKUP(D16,'Master Data'!A:F,3,FALSE)</f>
        <v>Guercio</v>
      </c>
      <c r="C16" s="47">
        <f>VLOOKUP(D16,'Master Data'!A:F,6,FALSE)</f>
        <v>0</v>
      </c>
      <c r="D16" s="30" t="s">
        <v>6900</v>
      </c>
      <c r="E16" s="46"/>
      <c r="F16" s="46" t="str">
        <f>VLOOKUP(D16,'Master Data'!A:F,4,FALSE)</f>
        <v>w</v>
      </c>
      <c r="G16" s="46" t="str">
        <f>VLOOKUP(D16,'Master Data'!A:F,5,FALSE)</f>
        <v>Paar</v>
      </c>
      <c r="H16" s="106">
        <v>190</v>
      </c>
      <c r="I16" s="49" t="s">
        <v>11754</v>
      </c>
      <c r="J16" s="49" t="s">
        <v>11941</v>
      </c>
      <c r="K16" s="49" t="s">
        <v>11941</v>
      </c>
      <c r="L16" s="49"/>
      <c r="M16" s="49" t="s">
        <v>11941</v>
      </c>
      <c r="N16" s="49"/>
      <c r="O16" s="49" t="s">
        <v>11754</v>
      </c>
      <c r="P16" s="49"/>
    </row>
    <row r="17" spans="1:16" ht="23.25" customHeight="1" x14ac:dyDescent="0.25">
      <c r="A17" s="46" t="str">
        <f>VLOOKUP(D17,'Master Data'!A:F,2,FALSE)</f>
        <v>Martin</v>
      </c>
      <c r="B17" s="46" t="str">
        <f>VLOOKUP(D17,'Master Data'!A:F,3,FALSE)</f>
        <v>Zimmermann</v>
      </c>
      <c r="C17" s="47" t="str">
        <f>VLOOKUP(D17,'Master Data'!A:F,6,FALSE)</f>
        <v>info@metzgerei-zimmermann.ch</v>
      </c>
      <c r="D17" s="7" t="s">
        <v>11604</v>
      </c>
      <c r="E17" s="46"/>
      <c r="F17" s="46" t="str">
        <f>VLOOKUP(D17,'Master Data'!A:F,4,FALSE)</f>
        <v>m</v>
      </c>
      <c r="G17" s="46" t="str">
        <f>VLOOKUP(D17,'Master Data'!A:F,5,FALSE)</f>
        <v>Normal</v>
      </c>
      <c r="H17" s="103">
        <v>190</v>
      </c>
      <c r="I17" s="49" t="s">
        <v>11941</v>
      </c>
      <c r="J17" s="49" t="s">
        <v>11941</v>
      </c>
      <c r="K17" s="49" t="s">
        <v>11941</v>
      </c>
      <c r="L17" s="49"/>
      <c r="M17" s="49" t="s">
        <v>11941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Iryna</v>
      </c>
      <c r="B18" s="46" t="str">
        <f>VLOOKUP(D18,'Master Data'!A:F,3,FALSE)</f>
        <v>Marrini</v>
      </c>
      <c r="C18" s="47" t="str">
        <f>VLOOKUP(D18,'Master Data'!A:F,6,FALSE)</f>
        <v>iryna@marrini.com</v>
      </c>
      <c r="D18" s="34" t="s">
        <v>8791</v>
      </c>
      <c r="E18" s="46" t="s">
        <v>11298</v>
      </c>
      <c r="F18" s="46" t="str">
        <f>VLOOKUP(D18,'Master Data'!A:F,4,FALSE)</f>
        <v>w</v>
      </c>
      <c r="G18" s="46" t="str">
        <f>VLOOKUP(D18,'Master Data'!A:F,5,FALSE)</f>
        <v>Normal</v>
      </c>
      <c r="H18" s="103">
        <v>410</v>
      </c>
      <c r="I18" s="49" t="s">
        <v>11941</v>
      </c>
      <c r="J18" s="49" t="s">
        <v>11941</v>
      </c>
      <c r="K18" s="49" t="s">
        <v>11941</v>
      </c>
      <c r="L18" s="49"/>
      <c r="M18" s="49" t="s">
        <v>11941</v>
      </c>
      <c r="N18" s="49"/>
      <c r="O18" s="49" t="s">
        <v>11754</v>
      </c>
      <c r="P18" s="49"/>
    </row>
    <row r="19" spans="1:16" ht="23.25" customHeight="1" x14ac:dyDescent="0.25">
      <c r="A19" s="46" t="str">
        <f>VLOOKUP(D19,'Master Data'!A:F,2,FALSE)</f>
        <v>Ivan</v>
      </c>
      <c r="B19" s="46" t="str">
        <f>VLOOKUP(D19,'Master Data'!A:F,3,FALSE)</f>
        <v>Glushenkov</v>
      </c>
      <c r="C19" s="47" t="str">
        <f>VLOOKUP(D19,'Master Data'!A:F,6,FALSE)</f>
        <v>ivan.glushenkov.data@gmail.com</v>
      </c>
      <c r="D19" s="30" t="s">
        <v>11116</v>
      </c>
      <c r="E19" s="46" t="s">
        <v>11942</v>
      </c>
      <c r="F19" s="46" t="str">
        <f>VLOOKUP(D19,'Master Data'!A:F,4,FALSE)</f>
        <v>m</v>
      </c>
      <c r="G19" s="46" t="str">
        <f>VLOOKUP(D19,'Master Data'!A:F,5,FALSE)</f>
        <v>Normal</v>
      </c>
      <c r="H19" s="106">
        <v>345</v>
      </c>
      <c r="I19" s="49" t="s">
        <v>11941</v>
      </c>
      <c r="J19" s="49" t="s">
        <v>11941</v>
      </c>
      <c r="K19" s="49" t="s">
        <v>11941</v>
      </c>
      <c r="L19" s="49"/>
      <c r="M19" s="49" t="s">
        <v>11941</v>
      </c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46" t="e">
        <f>VLOOKUP(D32,'Master Data'!A:F,4,FALSE)</f>
        <v>#N/A</v>
      </c>
      <c r="G32" s="46" t="e">
        <f>VLOOKUP(D32,'Master Data'!A:F,5,FALSE)</f>
        <v>#N/A</v>
      </c>
      <c r="H32" s="51">
        <f>SUM(H7:H31)</f>
        <v>2410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I6:P6"/>
  </mergeCells>
  <conditionalFormatting sqref="A7:C32 F7:G32">
    <cfRule type="cellIs" dxfId="69" priority="1" operator="equal">
      <formula>0</formula>
    </cfRule>
    <cfRule type="expression" dxfId="68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9E2F3"/>
  </sheetPr>
  <dimension ref="A1:P1000"/>
  <sheetViews>
    <sheetView view="pageLayout" topLeftCell="A4" zoomScaleNormal="100" workbookViewId="0">
      <selection activeCell="P21" sqref="P21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9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4.42578125" customWidth="1"/>
  </cols>
  <sheetData>
    <row r="1" spans="1:16" ht="23.25" customHeight="1" x14ac:dyDescent="0.25">
      <c r="A1" s="36" t="s">
        <v>11292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11642</v>
      </c>
      <c r="C3" s="8"/>
      <c r="D3" s="41" t="s">
        <v>11276</v>
      </c>
      <c r="E3" s="8" t="s">
        <v>11277</v>
      </c>
      <c r="F3" s="8"/>
      <c r="G3" s="41" t="s">
        <v>11278</v>
      </c>
      <c r="H3" s="8" t="s">
        <v>7308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Sina</v>
      </c>
      <c r="B7" s="46" t="str">
        <f>VLOOKUP(D7,'Master Data'!A:F,3,FALSE)</f>
        <v>Maier</v>
      </c>
      <c r="C7" s="47" t="str">
        <f>VLOOKUP(D7,'Master Data'!A:F,6,FALSE)</f>
        <v>maiers.sina@gmx.de</v>
      </c>
      <c r="D7" s="30" t="s">
        <v>11731</v>
      </c>
      <c r="E7" s="46"/>
      <c r="F7" s="46" t="str">
        <f>VLOOKUP(D7,'Master Data'!A:F,4,FALSE)</f>
        <v>w</v>
      </c>
      <c r="G7" s="46" t="str">
        <f>VLOOKUP(D7,'Master Data'!A:F,5,FALSE)</f>
        <v>Paar</v>
      </c>
      <c r="H7" s="103">
        <v>160</v>
      </c>
      <c r="I7" s="49" t="s">
        <v>11941</v>
      </c>
      <c r="J7" s="49" t="s">
        <v>11941</v>
      </c>
      <c r="K7" s="49"/>
      <c r="L7" s="49"/>
      <c r="M7" s="49" t="s">
        <v>11941</v>
      </c>
      <c r="N7" s="49"/>
      <c r="O7" s="49"/>
      <c r="P7" s="49"/>
    </row>
    <row r="8" spans="1:16" ht="23.25" customHeight="1" x14ac:dyDescent="0.25">
      <c r="A8" s="46" t="str">
        <f>VLOOKUP(D8,'Master Data'!A:F,2,FALSE)</f>
        <v>Julian</v>
      </c>
      <c r="B8" s="46" t="str">
        <f>VLOOKUP(D8,'Master Data'!A:F,3,FALSE)</f>
        <v>Degener</v>
      </c>
      <c r="C8" s="47" t="str">
        <f>VLOOKUP(D8,'Master Data'!A:F,6,FALSE)</f>
        <v>deg.jul98@gmail.com</v>
      </c>
      <c r="D8" s="30" t="s">
        <v>11730</v>
      </c>
      <c r="E8" s="46"/>
      <c r="F8" s="46" t="str">
        <f>VLOOKUP(D8,'Master Data'!A:F,4,FALSE)</f>
        <v>m</v>
      </c>
      <c r="G8" s="46" t="str">
        <f>VLOOKUP(D8,'Master Data'!A:F,5,FALSE)</f>
        <v>Paar</v>
      </c>
      <c r="H8" s="103">
        <v>160</v>
      </c>
      <c r="I8" s="49" t="s">
        <v>11941</v>
      </c>
      <c r="J8" s="49" t="s">
        <v>11941</v>
      </c>
      <c r="K8" s="49"/>
      <c r="L8" s="49"/>
      <c r="M8" s="49" t="s">
        <v>11941</v>
      </c>
      <c r="N8" s="49"/>
      <c r="O8" s="49"/>
      <c r="P8" s="49"/>
    </row>
    <row r="9" spans="1:16" ht="23.25" customHeight="1" x14ac:dyDescent="0.25">
      <c r="A9" s="46" t="str">
        <f>VLOOKUP(D9,'Master Data'!A:F,2,FALSE)</f>
        <v>Tobias</v>
      </c>
      <c r="B9" s="46" t="str">
        <f>VLOOKUP(D9,'Master Data'!A:F,3,FALSE)</f>
        <v>Hasler</v>
      </c>
      <c r="C9" s="47" t="str">
        <f>VLOOKUP(D9,'Master Data'!A:F,6,FALSE)</f>
        <v>jacqueline.sprecher@vtxmail.ch</v>
      </c>
      <c r="D9" s="19" t="s">
        <v>11849</v>
      </c>
      <c r="E9" s="46"/>
      <c r="F9" s="46" t="str">
        <f>VLOOKUP(D9,'Master Data'!A:F,4,FALSE)</f>
        <v>m</v>
      </c>
      <c r="G9" s="46" t="str">
        <f>VLOOKUP(D9,'Master Data'!A:F,5,FALSE)</f>
        <v>Normal</v>
      </c>
      <c r="H9" s="103">
        <v>190</v>
      </c>
      <c r="I9" s="49" t="s">
        <v>11941</v>
      </c>
      <c r="J9" s="49" t="s">
        <v>11941</v>
      </c>
      <c r="K9" s="49"/>
      <c r="L9" s="49"/>
      <c r="M9" s="49" t="s">
        <v>11941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Paul</v>
      </c>
      <c r="B10" s="46" t="str">
        <f>VLOOKUP(D10,'Master Data'!A:F,3,FALSE)</f>
        <v>Böttcher</v>
      </c>
      <c r="C10" s="47" t="str">
        <f>VLOOKUP(D10,'Master Data'!A:F,6,FALSE)</f>
        <v>paul.boe@web.de</v>
      </c>
      <c r="D10" s="30" t="s">
        <v>11856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3">
        <v>160</v>
      </c>
      <c r="I10" s="49" t="s">
        <v>11941</v>
      </c>
      <c r="J10" s="49" t="s">
        <v>11941</v>
      </c>
      <c r="K10" s="49"/>
      <c r="L10" s="49"/>
      <c r="M10" s="49" t="s">
        <v>11941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Vlera</v>
      </c>
      <c r="B11" s="46" t="str">
        <f>VLOOKUP(D11,'Master Data'!A:F,3,FALSE)</f>
        <v>Memisi</v>
      </c>
      <c r="C11" s="47" t="str">
        <f>VLOOKUP(D11,'Master Data'!A:F,6,FALSE)</f>
        <v>memisi.vlera@gmail.com</v>
      </c>
      <c r="D11" s="30" t="s">
        <v>11816</v>
      </c>
      <c r="E11" s="46"/>
      <c r="F11" s="46" t="str">
        <f>VLOOKUP(D11,'Master Data'!A:F,4,FALSE)</f>
        <v>w</v>
      </c>
      <c r="G11" s="46" t="str">
        <f>VLOOKUP(D11,'Master Data'!A:F,5,FALSE)</f>
        <v>Paar</v>
      </c>
      <c r="H11" s="106">
        <v>135</v>
      </c>
      <c r="I11" s="49" t="s">
        <v>11941</v>
      </c>
      <c r="J11" s="49" t="s">
        <v>11941</v>
      </c>
      <c r="K11" s="49"/>
      <c r="L11" s="49"/>
      <c r="M11" s="49" t="s">
        <v>11941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Dominik</v>
      </c>
      <c r="B12" s="46" t="str">
        <f>VLOOKUP(D12,'Master Data'!A:F,3,FALSE)</f>
        <v>Schnoz</v>
      </c>
      <c r="C12" s="47" t="str">
        <f>VLOOKUP(D12,'Master Data'!A:F,6,FALSE)</f>
        <v>dominik211942@gmail.com</v>
      </c>
      <c r="D12" s="30" t="s">
        <v>11817</v>
      </c>
      <c r="E12" s="46"/>
      <c r="F12" s="46" t="str">
        <f>VLOOKUP(D12,'Master Data'!A:F,4,FALSE)</f>
        <v>m</v>
      </c>
      <c r="G12" s="46" t="str">
        <f>VLOOKUP(D12,'Master Data'!A:F,5,FALSE)</f>
        <v>Paar</v>
      </c>
      <c r="H12" s="106">
        <v>135</v>
      </c>
      <c r="I12" s="49" t="s">
        <v>11941</v>
      </c>
      <c r="J12" s="49" t="s">
        <v>11941</v>
      </c>
      <c r="K12" s="49"/>
      <c r="L12" s="49"/>
      <c r="M12" s="49" t="s">
        <v>11941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Irene</v>
      </c>
      <c r="B13" s="46" t="str">
        <f>VLOOKUP(D13,'Master Data'!A:F,3,FALSE)</f>
        <v>Heinimann</v>
      </c>
      <c r="C13" s="47" t="str">
        <f>VLOOKUP(D13,'Master Data'!A:F,6,FALSE)</f>
        <v>irene.heinimann@gmail.com</v>
      </c>
      <c r="D13" s="21" t="s">
        <v>11832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3">
        <v>160</v>
      </c>
      <c r="I13" s="49" t="s">
        <v>11941</v>
      </c>
      <c r="J13" s="49" t="s">
        <v>11941</v>
      </c>
      <c r="K13" s="49"/>
      <c r="L13" s="49"/>
      <c r="M13" s="49" t="s">
        <v>11941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Christoph</v>
      </c>
      <c r="B14" s="46" t="str">
        <f>VLOOKUP(D14,'Master Data'!A:F,3,FALSE)</f>
        <v>Heinimann</v>
      </c>
      <c r="C14" s="47" t="str">
        <f>VLOOKUP(D14,'Master Data'!A:F,6,FALSE)</f>
        <v>salsaflow.b7g3d0@chm.8shield.net</v>
      </c>
      <c r="D14" s="21" t="s">
        <v>11939</v>
      </c>
      <c r="E14" s="46"/>
      <c r="F14" s="46" t="str">
        <f>VLOOKUP(D14,'Master Data'!A:F,4,FALSE)</f>
        <v>m</v>
      </c>
      <c r="G14" s="46" t="str">
        <f>VLOOKUP(D14,'Master Data'!A:F,5,FALSE)</f>
        <v>Normal</v>
      </c>
      <c r="H14" s="103">
        <v>135</v>
      </c>
      <c r="I14" s="49" t="s">
        <v>11941</v>
      </c>
      <c r="J14" s="49" t="s">
        <v>11941</v>
      </c>
      <c r="K14" s="49"/>
      <c r="L14" s="49"/>
      <c r="M14" s="49" t="s">
        <v>11941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>Jacqueline</v>
      </c>
      <c r="B15" s="46" t="str">
        <f>VLOOKUP(D15,'Master Data'!A:F,3,FALSE)</f>
        <v>Sprecher</v>
      </c>
      <c r="C15" s="47" t="str">
        <f>VLOOKUP(D15,'Master Data'!A:F,6,FALSE)</f>
        <v>jacqueline.sprecher@vtxmail.ch</v>
      </c>
      <c r="D15" s="30" t="s">
        <v>11842</v>
      </c>
      <c r="E15" s="46"/>
      <c r="F15" s="46" t="str">
        <f>VLOOKUP(D15,'Master Data'!A:F,4,FALSE)</f>
        <v>w</v>
      </c>
      <c r="G15" s="46" t="str">
        <f>VLOOKUP(D15,'Master Data'!A:F,5,FALSE)</f>
        <v>Paar</v>
      </c>
      <c r="H15" s="103">
        <v>160</v>
      </c>
      <c r="I15" s="49" t="s">
        <v>11941</v>
      </c>
      <c r="J15" s="49" t="s">
        <v>11941</v>
      </c>
      <c r="K15" s="49"/>
      <c r="L15" s="49"/>
      <c r="M15" s="49" t="s">
        <v>11941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JC</v>
      </c>
      <c r="B16" s="46" t="str">
        <f>VLOOKUP(D16,'Master Data'!A:F,3,FALSE)</f>
        <v>Hasler</v>
      </c>
      <c r="C16" s="47" t="str">
        <f>VLOOKUP(D16,'Master Data'!A:F,6,FALSE)</f>
        <v>jc-hasler@globalsystem.ch</v>
      </c>
      <c r="D16" s="30" t="s">
        <v>11843</v>
      </c>
      <c r="E16" s="46"/>
      <c r="F16" s="46" t="str">
        <f>VLOOKUP(D16,'Master Data'!A:F,4,FALSE)</f>
        <v>m</v>
      </c>
      <c r="G16" s="46" t="str">
        <f>VLOOKUP(D16,'Master Data'!A:F,5,FALSE)</f>
        <v>Paar</v>
      </c>
      <c r="H16" s="103">
        <v>160</v>
      </c>
      <c r="I16" s="49" t="s">
        <v>11941</v>
      </c>
      <c r="J16" s="49" t="s">
        <v>11941</v>
      </c>
      <c r="K16" s="49"/>
      <c r="L16" s="49"/>
      <c r="M16" s="49" t="s">
        <v>11941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Bülent</v>
      </c>
      <c r="B17" s="46" t="str">
        <f>VLOOKUP(D17,'Master Data'!A:F,3,FALSE)</f>
        <v>Ekinci</v>
      </c>
      <c r="C17" s="47" t="str">
        <f>VLOOKUP(D17,'Master Data'!A:F,6,FALSE)</f>
        <v>buelentekinci24@gamil.com</v>
      </c>
      <c r="D17" s="19" t="s">
        <v>11955</v>
      </c>
      <c r="E17" s="46"/>
      <c r="F17" s="46" t="str">
        <f>VLOOKUP(D17,'Master Data'!A:F,4,FALSE)</f>
        <v>m</v>
      </c>
      <c r="G17" s="46" t="str">
        <f>VLOOKUP(D17,'Master Data'!A:F,5,FALSE)</f>
        <v>Normal</v>
      </c>
      <c r="H17" s="103"/>
      <c r="I17" s="49" t="s">
        <v>11941</v>
      </c>
      <c r="J17" s="49" t="s">
        <v>11941</v>
      </c>
      <c r="K17" s="49"/>
      <c r="L17" s="49"/>
      <c r="M17" s="49" t="s">
        <v>11941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Yasin</v>
      </c>
      <c r="B18" s="46" t="str">
        <f>VLOOKUP(D18,'Master Data'!A:F,3,FALSE)</f>
        <v>Aktas</v>
      </c>
      <c r="C18" s="47" t="str">
        <f>VLOOKUP(D18,'Master Data'!A:F,6,FALSE)</f>
        <v>aleyna_yasin@outlook.com</v>
      </c>
      <c r="D18" s="34" t="s">
        <v>11694</v>
      </c>
      <c r="E18" s="66" t="s">
        <v>11919</v>
      </c>
      <c r="F18" s="46" t="str">
        <f>VLOOKUP(D18,'Master Data'!A:F,4,FALSE)</f>
        <v>m</v>
      </c>
      <c r="G18" s="46" t="str">
        <f>VLOOKUP(D18,'Master Data'!A:F,5,FALSE)</f>
        <v>Paar</v>
      </c>
      <c r="H18" s="103">
        <v>127.5</v>
      </c>
      <c r="I18" s="49" t="s">
        <v>11754</v>
      </c>
      <c r="J18" s="49" t="s">
        <v>11754</v>
      </c>
      <c r="K18" s="49"/>
      <c r="L18" s="49"/>
      <c r="M18" s="49" t="s">
        <v>11941</v>
      </c>
      <c r="N18" s="49"/>
      <c r="O18" s="49"/>
      <c r="P18" s="49"/>
    </row>
    <row r="19" spans="1:16" ht="23.25" customHeight="1" x14ac:dyDescent="0.25">
      <c r="A19" s="46" t="str">
        <f>VLOOKUP(D19,'Master Data'!A:F,2,FALSE)</f>
        <v>Aleyna</v>
      </c>
      <c r="B19" s="46" t="str">
        <f>VLOOKUP(D19,'Master Data'!A:F,3,FALSE)</f>
        <v>Acar-Aktaş</v>
      </c>
      <c r="C19" s="47" t="str">
        <f>VLOOKUP(D19,'Master Data'!A:F,6,FALSE)</f>
        <v>aleyna_yasin@outlook.com</v>
      </c>
      <c r="D19" s="19" t="s">
        <v>11695</v>
      </c>
      <c r="E19" s="66" t="s">
        <v>11919</v>
      </c>
      <c r="F19" s="46" t="str">
        <f>VLOOKUP(D19,'Master Data'!A:F,4,FALSE)</f>
        <v>w</v>
      </c>
      <c r="G19" s="46" t="str">
        <f>VLOOKUP(D19,'Master Data'!A:F,5,FALSE)</f>
        <v>Paar</v>
      </c>
      <c r="H19" s="103">
        <v>127.5</v>
      </c>
      <c r="I19" s="49" t="s">
        <v>11754</v>
      </c>
      <c r="J19" s="49" t="s">
        <v>11754</v>
      </c>
      <c r="K19" s="49"/>
      <c r="L19" s="49"/>
      <c r="M19" s="49" t="s">
        <v>11941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Lara</v>
      </c>
      <c r="B20" s="46" t="str">
        <f>VLOOKUP(D20,'Master Data'!A:F,3,FALSE)</f>
        <v>Kuhfeldt</v>
      </c>
      <c r="C20" s="47" t="str">
        <f>VLOOKUP(D20,'Master Data'!A:F,6,FALSE)</f>
        <v>larakuhfeldt@icloud.com</v>
      </c>
      <c r="D20" s="30" t="s">
        <v>12083</v>
      </c>
      <c r="E20" s="46" t="s">
        <v>12081</v>
      </c>
      <c r="F20" s="46" t="str">
        <f>VLOOKUP(D20,'Master Data'!A:F,4,FALSE)</f>
        <v>w</v>
      </c>
      <c r="G20" s="46" t="str">
        <f>VLOOKUP(D20,'Master Data'!A:F,5,FALSE)</f>
        <v>Paar</v>
      </c>
      <c r="H20" s="103">
        <v>160</v>
      </c>
      <c r="I20" s="49" t="s">
        <v>11754</v>
      </c>
      <c r="J20" s="49" t="s">
        <v>11754</v>
      </c>
      <c r="K20" s="49"/>
      <c r="L20" s="49"/>
      <c r="M20" s="49" t="s">
        <v>11941</v>
      </c>
      <c r="N20" s="49"/>
      <c r="O20" s="49"/>
      <c r="P20" s="49"/>
    </row>
    <row r="21" spans="1:16" ht="23.25" customHeight="1" x14ac:dyDescent="0.25">
      <c r="A21" s="46" t="str">
        <f>VLOOKUP(D21,'Master Data'!A:F,2,FALSE)</f>
        <v>Fabian</v>
      </c>
      <c r="B21" s="46" t="str">
        <f>VLOOKUP(D21,'Master Data'!A:F,3,FALSE)</f>
        <v>Karsch</v>
      </c>
      <c r="C21" s="47">
        <f>VLOOKUP(D21,'Master Data'!A:F,6,FALSE)</f>
        <v>0</v>
      </c>
      <c r="D21" s="30" t="s">
        <v>12082</v>
      </c>
      <c r="E21" s="46" t="s">
        <v>12081</v>
      </c>
      <c r="F21" s="46" t="str">
        <f>VLOOKUP(D21,'Master Data'!A:F,4,FALSE)</f>
        <v>m</v>
      </c>
      <c r="G21" s="46" t="str">
        <f>VLOOKUP(D21,'Master Data'!A:F,5,FALSE)</f>
        <v>Paar</v>
      </c>
      <c r="H21" s="103">
        <v>160</v>
      </c>
      <c r="I21" s="49" t="s">
        <v>11754</v>
      </c>
      <c r="J21" s="49" t="s">
        <v>11754</v>
      </c>
      <c r="K21" s="49"/>
      <c r="L21" s="49"/>
      <c r="M21" s="49" t="s">
        <v>11941</v>
      </c>
      <c r="N21" s="49"/>
      <c r="O21" s="49"/>
      <c r="P21" s="49" t="s">
        <v>12037</v>
      </c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46" t="e">
        <f>VLOOKUP(D32,'Master Data'!A:F,4,FALSE)</f>
        <v>#N/A</v>
      </c>
      <c r="G32" s="46" t="e">
        <f>VLOOKUP(D32,'Master Data'!A:F,5,FALSE)</f>
        <v>#N/A</v>
      </c>
      <c r="H32" s="51">
        <f>SUM(H7:H31)</f>
        <v>2130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A7:C32 F7:G32">
    <cfRule type="cellIs" dxfId="67" priority="1" operator="equal">
      <formula>0</formula>
    </cfRule>
    <cfRule type="expression" dxfId="66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AC2EC"/>
  </sheetPr>
  <dimension ref="A1:Q1000"/>
  <sheetViews>
    <sheetView view="pageLayout" zoomScaleNormal="72" workbookViewId="0">
      <selection activeCell="P7" sqref="P7:Q20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7" ht="23.25" customHeight="1" x14ac:dyDescent="0.25">
      <c r="A1" s="36" t="s">
        <v>11307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7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7" ht="23.25" customHeight="1" x14ac:dyDescent="0.25">
      <c r="A3" s="41" t="s">
        <v>11275</v>
      </c>
      <c r="B3" s="42" t="s">
        <v>11644</v>
      </c>
      <c r="C3" s="8"/>
      <c r="D3" s="41" t="s">
        <v>11276</v>
      </c>
      <c r="E3" s="8" t="s">
        <v>11297</v>
      </c>
      <c r="F3" s="8"/>
      <c r="G3" s="41" t="s">
        <v>11278</v>
      </c>
      <c r="H3" s="8" t="s">
        <v>11399</v>
      </c>
      <c r="I3" s="8"/>
      <c r="J3" s="8"/>
      <c r="K3" s="8"/>
      <c r="L3" s="8"/>
      <c r="M3" s="8"/>
      <c r="N3" s="8"/>
      <c r="O3" s="8"/>
      <c r="P3" s="8"/>
    </row>
    <row r="4" spans="1:17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7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7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7" ht="23.25" customHeight="1" x14ac:dyDescent="0.25">
      <c r="A7" s="46" t="str">
        <f>VLOOKUP(D7,'Master Data'!A:F,2,FALSE)</f>
        <v>Sabrina</v>
      </c>
      <c r="B7" s="46" t="str">
        <f>VLOOKUP(D7,'Master Data'!A:F,3,FALSE)</f>
        <v>Stehlin-Flück</v>
      </c>
      <c r="C7" s="47" t="str">
        <f>VLOOKUP(D7,'Master Data'!A:F,6,FALSE)</f>
        <v>sabrina.stehlin@hispeed.ch</v>
      </c>
      <c r="D7" s="30" t="s">
        <v>11436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6">
        <v>190</v>
      </c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  <c r="Q7" s="49" t="s">
        <v>11760</v>
      </c>
    </row>
    <row r="8" spans="1:17" ht="23.25" customHeight="1" x14ac:dyDescent="0.25">
      <c r="A8" s="46" t="str">
        <f>VLOOKUP(D8,'Master Data'!A:F,2,FALSE)</f>
        <v>Pasquale</v>
      </c>
      <c r="B8" s="46" t="str">
        <f>VLOOKUP(D8,'Master Data'!A:F,3,FALSE)</f>
        <v>Cataldo</v>
      </c>
      <c r="C8" s="47" t="str">
        <f>VLOOKUP(D8,'Master Data'!A:F,6,FALSE)</f>
        <v>pasquale.cataldo@web.de</v>
      </c>
      <c r="D8" s="30" t="s">
        <v>11459</v>
      </c>
      <c r="E8" s="46"/>
      <c r="F8" s="46" t="str">
        <f>VLOOKUP(D8,'Master Data'!A:F,4,FALSE)</f>
        <v>m</v>
      </c>
      <c r="G8" s="46" t="str">
        <f>VLOOKUP(D8,'Master Data'!A:F,5,FALSE)</f>
        <v>Normal</v>
      </c>
      <c r="H8" s="103">
        <v>190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  <c r="Q8" s="49" t="s">
        <v>11760</v>
      </c>
    </row>
    <row r="9" spans="1:17" ht="23.25" customHeight="1" x14ac:dyDescent="0.25">
      <c r="A9" s="46" t="str">
        <f>VLOOKUP(D9,'Master Data'!A:F,2,FALSE)</f>
        <v>Lena</v>
      </c>
      <c r="B9" s="46" t="str">
        <f>VLOOKUP(D9,'Master Data'!A:F,3,FALSE)</f>
        <v>Bremer</v>
      </c>
      <c r="C9" s="47" t="str">
        <f>VLOOKUP(D9,'Master Data'!A:F,6,FALSE)</f>
        <v>lena_bremer96@web.de</v>
      </c>
      <c r="D9" s="30" t="s">
        <v>8409</v>
      </c>
      <c r="E9" s="46"/>
      <c r="F9" s="46" t="s">
        <v>3163</v>
      </c>
      <c r="G9" s="46" t="str">
        <f>VLOOKUP(D9,'Master Data'!A:F,5,FALSE)</f>
        <v>Pushflow</v>
      </c>
      <c r="H9" s="103"/>
      <c r="I9" s="49" t="s">
        <v>11760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  <c r="Q9" s="49" t="s">
        <v>11760</v>
      </c>
    </row>
    <row r="10" spans="1:17" ht="23.25" customHeight="1" x14ac:dyDescent="0.25">
      <c r="A10" s="46" t="str">
        <f>VLOOKUP(D10,'Master Data'!A:F,2,FALSE)</f>
        <v>Constantin</v>
      </c>
      <c r="B10" s="46" t="str">
        <f>VLOOKUP(D10,'Master Data'!A:F,3,FALSE)</f>
        <v>Hof</v>
      </c>
      <c r="C10" s="47" t="str">
        <f>VLOOKUP(D10,'Master Data'!A:F,6,FALSE)</f>
        <v>constantin.hof@gmx.net</v>
      </c>
      <c r="D10" s="30" t="s">
        <v>11614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3">
        <v>160</v>
      </c>
      <c r="I10" s="49" t="s">
        <v>11760</v>
      </c>
      <c r="J10" s="49" t="s">
        <v>11760</v>
      </c>
      <c r="K10" s="49" t="s">
        <v>11760</v>
      </c>
      <c r="L10" s="49" t="s">
        <v>11754</v>
      </c>
      <c r="M10" s="49" t="s">
        <v>11760</v>
      </c>
      <c r="N10" s="49" t="s">
        <v>11760</v>
      </c>
      <c r="O10" s="49"/>
      <c r="P10" s="49" t="s">
        <v>11760</v>
      </c>
      <c r="Q10" s="49" t="s">
        <v>11760</v>
      </c>
    </row>
    <row r="11" spans="1:17" ht="23.25" customHeight="1" x14ac:dyDescent="0.25">
      <c r="A11" s="46" t="str">
        <f>VLOOKUP(D11,'Master Data'!A:F,2,FALSE)</f>
        <v>Steve</v>
      </c>
      <c r="B11" s="46" t="str">
        <f>VLOOKUP(D11,'Master Data'!A:F,3,FALSE)</f>
        <v>Adderson</v>
      </c>
      <c r="C11" s="47" t="str">
        <f>VLOOKUP(D11,'Master Data'!A:F,6,FALSE)</f>
        <v>s.adderson@yahoo.com</v>
      </c>
      <c r="D11" s="30" t="s">
        <v>11567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6">
        <v>190</v>
      </c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  <c r="Q11" s="49" t="s">
        <v>11760</v>
      </c>
    </row>
    <row r="12" spans="1:17" ht="23.25" customHeight="1" x14ac:dyDescent="0.25">
      <c r="A12" s="46" t="str">
        <f>VLOOKUP(D12,'Master Data'!A:F,2,FALSE)</f>
        <v>Patricia</v>
      </c>
      <c r="B12" s="46" t="str">
        <f>VLOOKUP(D12,'Master Data'!A:F,3,FALSE)</f>
        <v>Von Planta</v>
      </c>
      <c r="C12" s="47" t="str">
        <f>VLOOKUP(D12,'Master Data'!A:F,6,FALSE)</f>
        <v>patriciavonplanta@gmail.com</v>
      </c>
      <c r="D12" s="30" t="s">
        <v>11433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6">
        <v>190</v>
      </c>
      <c r="I12" s="49" t="s">
        <v>11754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  <c r="Q12" s="49" t="s">
        <v>11760</v>
      </c>
    </row>
    <row r="13" spans="1:17" ht="23.25" customHeight="1" x14ac:dyDescent="0.25">
      <c r="A13" s="46" t="str">
        <f>VLOOKUP(D13,'Master Data'!A:F,2,FALSE)</f>
        <v>Samuel</v>
      </c>
      <c r="B13" s="46" t="str">
        <f>VLOOKUP(D13,'Master Data'!A:F,3,FALSE)</f>
        <v>Balula</v>
      </c>
      <c r="C13" s="47" t="str">
        <f>VLOOKUP(D13,'Master Data'!A:F,6,FALSE)</f>
        <v>samuel.balula@gmail.com</v>
      </c>
      <c r="D13" s="30" t="s">
        <v>11599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6">
        <v>190</v>
      </c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  <c r="Q13" s="49" t="s">
        <v>11760</v>
      </c>
    </row>
    <row r="14" spans="1:17" ht="23.25" customHeight="1" x14ac:dyDescent="0.25">
      <c r="A14" s="46" t="str">
        <f>VLOOKUP(D14,'Master Data'!A:F,2,FALSE)</f>
        <v>Rahsan</v>
      </c>
      <c r="B14" s="46" t="str">
        <f>VLOOKUP(D14,'Master Data'!A:F,3,FALSE)</f>
        <v>Toptas</v>
      </c>
      <c r="C14" s="47" t="str">
        <f>VLOOKUP(D14,'Master Data'!A:F,6,FALSE)</f>
        <v>toptasrahsan@hotmail.ch</v>
      </c>
      <c r="D14" s="30" t="s">
        <v>11520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3">
        <v>190</v>
      </c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  <c r="Q14" s="49" t="s">
        <v>11760</v>
      </c>
    </row>
    <row r="15" spans="1:17" ht="23.25" customHeight="1" x14ac:dyDescent="0.25">
      <c r="A15" s="46" t="str">
        <f>VLOOKUP(D15,'Master Data'!A:F,2,FALSE)</f>
        <v>Michael</v>
      </c>
      <c r="B15" s="46" t="str">
        <f>VLOOKUP(D15,'Master Data'!A:F,3,FALSE)</f>
        <v>Thommen</v>
      </c>
      <c r="C15" s="47" t="str">
        <f>VLOOKUP(D15,'Master Data'!A:F,6,FALSE)</f>
        <v>michi2@gmx.ch</v>
      </c>
      <c r="D15" s="19" t="s">
        <v>11590</v>
      </c>
      <c r="E15" s="46"/>
      <c r="F15" s="46" t="str">
        <f>VLOOKUP(D15,'Master Data'!A:F,4,FALSE)</f>
        <v>m</v>
      </c>
      <c r="G15" s="46" t="str">
        <f>VLOOKUP(D15,'Master Data'!A:F,5,FALSE)</f>
        <v>Normal</v>
      </c>
      <c r="H15" s="103">
        <v>190</v>
      </c>
      <c r="I15" s="49" t="s">
        <v>11754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11760</v>
      </c>
      <c r="O15" s="49"/>
      <c r="P15" s="49" t="s">
        <v>11760</v>
      </c>
      <c r="Q15" s="49" t="s">
        <v>11760</v>
      </c>
    </row>
    <row r="16" spans="1:17" ht="23.25" customHeight="1" x14ac:dyDescent="0.25">
      <c r="A16" s="46" t="str">
        <f>VLOOKUP(D16,'Master Data'!A:F,2,FALSE)</f>
        <v>Heidi</v>
      </c>
      <c r="B16" s="46" t="str">
        <f>VLOOKUP(D16,'Master Data'!A:F,3,FALSE)</f>
        <v>Bürgin-Kühne</v>
      </c>
      <c r="C16" s="47" t="str">
        <f>VLOOKUP(D16,'Master Data'!A:F,6,FALSE)</f>
        <v>kuehneh@vtxmail.ch</v>
      </c>
      <c r="D16" s="98" t="s">
        <v>11550</v>
      </c>
      <c r="E16" s="46" t="s">
        <v>11918</v>
      </c>
      <c r="F16" s="46" t="str">
        <f>VLOOKUP(D16,'Master Data'!A:F,4,FALSE)</f>
        <v>w</v>
      </c>
      <c r="G16" s="46" t="str">
        <f>VLOOKUP(D16,'Master Data'!A:F,5,FALSE)</f>
        <v>Paar</v>
      </c>
      <c r="H16" s="103">
        <v>100</v>
      </c>
      <c r="I16" s="49" t="s">
        <v>11760</v>
      </c>
      <c r="J16" s="49" t="s">
        <v>11754</v>
      </c>
      <c r="K16" s="49" t="s">
        <v>11760</v>
      </c>
      <c r="L16" s="49" t="s">
        <v>11754</v>
      </c>
      <c r="M16" s="49" t="s">
        <v>11760</v>
      </c>
      <c r="N16" s="49" t="s">
        <v>11760</v>
      </c>
      <c r="O16" s="49"/>
      <c r="P16" s="49" t="s">
        <v>11760</v>
      </c>
      <c r="Q16" s="49" t="s">
        <v>11760</v>
      </c>
    </row>
    <row r="17" spans="1:17" ht="23.25" customHeight="1" x14ac:dyDescent="0.25">
      <c r="A17" s="46" t="str">
        <f>VLOOKUP(D17,'Master Data'!A:F,2,FALSE)</f>
        <v>Neil</v>
      </c>
      <c r="B17" s="46" t="str">
        <f>VLOOKUP(D17,'Master Data'!A:F,3,FALSE)</f>
        <v>Bürgin</v>
      </c>
      <c r="C17" s="47" t="str">
        <f>VLOOKUP(D17,'Master Data'!A:F,6,FALSE)</f>
        <v>neil.buergin@hotmail.com</v>
      </c>
      <c r="D17" s="98" t="s">
        <v>11554</v>
      </c>
      <c r="E17" s="46" t="s">
        <v>11918</v>
      </c>
      <c r="F17" s="46" t="str">
        <f>VLOOKUP(D17,'Master Data'!A:F,4,FALSE)</f>
        <v>m</v>
      </c>
      <c r="G17" s="46" t="str">
        <f>VLOOKUP(D17,'Master Data'!A:F,5,FALSE)</f>
        <v>Paar</v>
      </c>
      <c r="H17" s="103">
        <v>85</v>
      </c>
      <c r="I17" s="49" t="s">
        <v>11760</v>
      </c>
      <c r="J17" s="49" t="s">
        <v>11754</v>
      </c>
      <c r="K17" s="49" t="s">
        <v>11760</v>
      </c>
      <c r="L17" s="49" t="s">
        <v>11754</v>
      </c>
      <c r="M17" s="49" t="s">
        <v>11760</v>
      </c>
      <c r="N17" s="49" t="s">
        <v>11760</v>
      </c>
      <c r="O17" s="49"/>
      <c r="P17" s="49" t="s">
        <v>11760</v>
      </c>
      <c r="Q17" s="49" t="s">
        <v>11760</v>
      </c>
    </row>
    <row r="18" spans="1:17" ht="23.25" customHeight="1" x14ac:dyDescent="0.25">
      <c r="A18" s="46" t="str">
        <f>VLOOKUP(D18,'Master Data'!A:F,2,FALSE)</f>
        <v>Filipa</v>
      </c>
      <c r="B18" s="46" t="str">
        <f>VLOOKUP(D18,'Master Data'!A:F,3,FALSE)</f>
        <v>Ribeiro</v>
      </c>
      <c r="C18" s="47" t="str">
        <f>VLOOKUP(D18,'Master Data'!A:F,6,FALSE)</f>
        <v>anafilipafcribeiro@gmail.com</v>
      </c>
      <c r="D18" s="98" t="s">
        <v>11947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3">
        <v>190</v>
      </c>
      <c r="I18" s="49" t="s">
        <v>11760</v>
      </c>
      <c r="J18" s="49" t="s">
        <v>11760</v>
      </c>
      <c r="K18" s="49" t="s">
        <v>11754</v>
      </c>
      <c r="L18" s="49" t="s">
        <v>11760</v>
      </c>
      <c r="M18" s="49" t="s">
        <v>11760</v>
      </c>
      <c r="N18" s="49" t="s">
        <v>11760</v>
      </c>
      <c r="O18" s="49"/>
      <c r="P18" s="49" t="s">
        <v>11760</v>
      </c>
      <c r="Q18" s="49" t="s">
        <v>11760</v>
      </c>
    </row>
    <row r="19" spans="1:17" ht="23.25" customHeight="1" x14ac:dyDescent="0.25">
      <c r="A19" s="46" t="str">
        <f>VLOOKUP(D19,'Master Data'!A:F,2,FALSE)</f>
        <v>Ben</v>
      </c>
      <c r="B19" s="46" t="str">
        <f>VLOOKUP(D19,'Master Data'!A:F,3,FALSE)</f>
        <v>Böke</v>
      </c>
      <c r="C19" s="47" t="str">
        <f>VLOOKUP(D19,'Master Data'!A:F,6,FALSE)</f>
        <v>ben25boeke@gmail.com</v>
      </c>
      <c r="D19" s="98" t="s">
        <v>11951</v>
      </c>
      <c r="E19" s="46" t="s">
        <v>11298</v>
      </c>
      <c r="F19" s="46" t="str">
        <f>VLOOKUP(D19,'Master Data'!A:F,4,FALSE)</f>
        <v>m</v>
      </c>
      <c r="G19" s="46" t="str">
        <f>VLOOKUP(D19,'Master Data'!A:F,5,FALSE)</f>
        <v>Normal</v>
      </c>
      <c r="H19" s="103">
        <v>410</v>
      </c>
      <c r="I19" s="49" t="s">
        <v>11760</v>
      </c>
      <c r="J19" s="49" t="s">
        <v>11760</v>
      </c>
      <c r="K19" s="49" t="s">
        <v>11760</v>
      </c>
      <c r="L19" s="49" t="s">
        <v>11760</v>
      </c>
      <c r="M19" s="49" t="s">
        <v>11760</v>
      </c>
      <c r="N19" s="49" t="s">
        <v>11760</v>
      </c>
      <c r="O19" s="49"/>
      <c r="P19" s="49" t="s">
        <v>11760</v>
      </c>
      <c r="Q19" s="49" t="s">
        <v>11760</v>
      </c>
    </row>
    <row r="20" spans="1:17" ht="23.25" customHeight="1" x14ac:dyDescent="0.25">
      <c r="A20" s="46" t="str">
        <f>VLOOKUP(D20,'Master Data'!A:F,2,FALSE)</f>
        <v>Bülent</v>
      </c>
      <c r="B20" s="46" t="str">
        <f>VLOOKUP(D20,'Master Data'!A:F,3,FALSE)</f>
        <v>Ekinci</v>
      </c>
      <c r="C20" s="47" t="str">
        <f>VLOOKUP(D20,'Master Data'!A:F,6,FALSE)</f>
        <v>buelentekinci24@gamil.com</v>
      </c>
      <c r="D20" s="67" t="s">
        <v>11955</v>
      </c>
      <c r="E20" s="46" t="s">
        <v>11298</v>
      </c>
      <c r="F20" s="46" t="str">
        <f>VLOOKUP(D20,'Master Data'!A:F,4,FALSE)</f>
        <v>m</v>
      </c>
      <c r="G20" s="46" t="str">
        <f>VLOOKUP(D20,'Master Data'!A:F,5,FALSE)</f>
        <v>Normal</v>
      </c>
      <c r="H20" s="106">
        <v>410</v>
      </c>
      <c r="I20" s="49" t="s">
        <v>11760</v>
      </c>
      <c r="J20" s="49" t="s">
        <v>11760</v>
      </c>
      <c r="K20" s="49" t="s">
        <v>11760</v>
      </c>
      <c r="L20" s="49" t="s">
        <v>11760</v>
      </c>
      <c r="M20" s="49" t="s">
        <v>11760</v>
      </c>
      <c r="N20" s="49" t="s">
        <v>11760</v>
      </c>
      <c r="O20" s="49"/>
      <c r="P20" s="49" t="s">
        <v>11760</v>
      </c>
      <c r="Q20" s="49" t="s">
        <v>11760</v>
      </c>
    </row>
    <row r="21" spans="1:17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7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98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7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98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7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98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7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7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7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7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7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7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7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7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2685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65" priority="1" operator="equal">
      <formula>0</formula>
    </cfRule>
    <cfRule type="expression" dxfId="64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x="30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AC2EC"/>
  </sheetPr>
  <dimension ref="A1:P32"/>
  <sheetViews>
    <sheetView view="pageLayout" topLeftCell="A4" zoomScaleNormal="100" workbookViewId="0">
      <selection activeCell="P20" sqref="P20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17" width="10.42578125" customWidth="1"/>
    <col min="18" max="26" width="7" customWidth="1"/>
  </cols>
  <sheetData>
    <row r="1" spans="1:16" ht="23.25" customHeight="1" x14ac:dyDescent="0.25">
      <c r="A1" s="36" t="s">
        <v>11274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11644</v>
      </c>
      <c r="C3" s="8"/>
      <c r="D3" s="41" t="s">
        <v>11276</v>
      </c>
      <c r="E3" s="8" t="s">
        <v>11297</v>
      </c>
      <c r="F3" s="8"/>
      <c r="G3" s="41" t="s">
        <v>11278</v>
      </c>
      <c r="H3" s="8" t="s">
        <v>11299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Jessica</v>
      </c>
      <c r="B7" s="46" t="str">
        <f>VLOOKUP(D7,'Master Data'!A:F,3,FALSE)</f>
        <v>Bratz Solano</v>
      </c>
      <c r="C7" s="47" t="str">
        <f>VLOOKUP(D7,'Master Data'!A:F,6,FALSE)</f>
        <v>jessica.bratzsolano@web.de</v>
      </c>
      <c r="D7" s="34" t="s">
        <v>9664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8">
        <v>240</v>
      </c>
      <c r="I7" s="49" t="s">
        <v>11760</v>
      </c>
      <c r="J7" s="49" t="s">
        <v>11760</v>
      </c>
      <c r="K7" s="49" t="s">
        <v>11760</v>
      </c>
      <c r="L7" s="49" t="s">
        <v>11754</v>
      </c>
      <c r="M7" s="49" t="s">
        <v>11760</v>
      </c>
      <c r="N7" s="49" t="s">
        <v>11754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Natascha</v>
      </c>
      <c r="B8" s="46" t="str">
        <f>VLOOKUP(D8,'Master Data'!A:F,3,FALSE)</f>
        <v>Natum</v>
      </c>
      <c r="C8" s="47" t="str">
        <f>VLOOKUP(D8,'Master Data'!A:F,6,FALSE)</f>
        <v>naschizone@gmx.ch</v>
      </c>
      <c r="D8" s="30" t="s">
        <v>9429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6">
        <v>190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11754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Laszlo</v>
      </c>
      <c r="B9" s="46" t="str">
        <f>VLOOKUP(D9,'Master Data'!A:F,3,FALSE)</f>
        <v>Lukacs</v>
      </c>
      <c r="C9" s="47" t="str">
        <f>VLOOKUP(D9,'Master Data'!A:F,6,FALSE)</f>
        <v>laci91128@gmail.com</v>
      </c>
      <c r="D9" s="30" t="s">
        <v>9433</v>
      </c>
      <c r="E9" s="46"/>
      <c r="F9" s="46" t="str">
        <f>VLOOKUP(D9,'Master Data'!A:F,4,FALSE)</f>
        <v>m</v>
      </c>
      <c r="G9" s="46" t="str">
        <f>VLOOKUP(D9,'Master Data'!A:F,5,FALSE)</f>
        <v>Normal</v>
      </c>
      <c r="H9" s="103"/>
      <c r="I9" s="49" t="s">
        <v>11754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11754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Larissa</v>
      </c>
      <c r="B10" s="46" t="str">
        <f>VLOOKUP(D10,'Master Data'!A:F,3,FALSE)</f>
        <v>Probst</v>
      </c>
      <c r="C10" s="47" t="str">
        <f>VLOOKUP(D10,'Master Data'!A:F,6,FALSE)</f>
        <v>larissa.probst@outlook.com</v>
      </c>
      <c r="D10" s="30" t="s">
        <v>11120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06">
        <v>190</v>
      </c>
      <c r="I10" s="49" t="s">
        <v>11760</v>
      </c>
      <c r="J10" s="49" t="s">
        <v>11754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 xml:space="preserve">Raul </v>
      </c>
      <c r="B11" s="46" t="str">
        <f>VLOOKUP(D11,'Master Data'!A:F,3,FALSE)</f>
        <v>Penaguião</v>
      </c>
      <c r="C11" s="47">
        <f>VLOOKUP(D11,'Master Data'!A:F,6,FALSE)</f>
        <v>0</v>
      </c>
      <c r="D11" s="30" t="s">
        <v>8706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3">
        <v>145</v>
      </c>
      <c r="I11" s="49" t="s">
        <v>11754</v>
      </c>
      <c r="J11" s="49" t="s">
        <v>11754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11754</v>
      </c>
    </row>
    <row r="12" spans="1:16" ht="23.25" customHeight="1" x14ac:dyDescent="0.25">
      <c r="A12" s="46" t="str">
        <f>VLOOKUP(D12,'Master Data'!A:F,2,FALSE)</f>
        <v>Carolin</v>
      </c>
      <c r="B12" s="46" t="str">
        <f>VLOOKUP(D12,'Master Data'!A:F,3,FALSE)</f>
        <v>Warnecke</v>
      </c>
      <c r="C12" s="47" t="str">
        <f>VLOOKUP(D12,'Master Data'!A:F,6,FALSE)</f>
        <v>carolinwarnecke@yahoo.de</v>
      </c>
      <c r="D12" s="19" t="s">
        <v>10203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6">
        <v>160</v>
      </c>
      <c r="I12" s="49" t="s">
        <v>11941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Kamila</v>
      </c>
      <c r="B13" s="46" t="str">
        <f>VLOOKUP(D13,'Master Data'!A:F,3,FALSE)</f>
        <v>Kowalska</v>
      </c>
      <c r="C13" s="47" t="str">
        <f>VLOOKUP(D13,'Master Data'!A:F,6,FALSE)</f>
        <v>kamilazkowalska@gmail.com</v>
      </c>
      <c r="D13" s="30" t="s">
        <v>9010</v>
      </c>
      <c r="E13" s="46"/>
      <c r="F13" s="46" t="str">
        <f>VLOOKUP(D13,'Master Data'!A:F,4,FALSE)</f>
        <v>w</v>
      </c>
      <c r="G13" s="46" t="str">
        <f>VLOOKUP(D13,'Master Data'!A:F,5,FALSE)</f>
        <v>Paar</v>
      </c>
      <c r="H13" s="103">
        <v>160</v>
      </c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Krzysztof</v>
      </c>
      <c r="B14" s="46" t="str">
        <f>VLOOKUP(D14,'Master Data'!A:F,3,FALSE)</f>
        <v>Lorens</v>
      </c>
      <c r="C14" s="47" t="str">
        <f>VLOOKUP(D14,'Master Data'!A:F,6,FALSE)</f>
        <v>kristoflorens@gmail.com</v>
      </c>
      <c r="D14" s="19" t="s">
        <v>9015</v>
      </c>
      <c r="E14" s="46"/>
      <c r="F14" s="46" t="str">
        <f>VLOOKUP(D14,'Master Data'!A:F,4,FALSE)</f>
        <v>m</v>
      </c>
      <c r="G14" s="46" t="str">
        <f>VLOOKUP(D14,'Master Data'!A:F,5,FALSE)</f>
        <v>Paar</v>
      </c>
      <c r="H14" s="103">
        <v>160</v>
      </c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Ines</v>
      </c>
      <c r="B15" s="46" t="str">
        <f>VLOOKUP(D15,'Master Data'!A:F,3,FALSE)</f>
        <v>Zapater</v>
      </c>
      <c r="C15" s="47" t="str">
        <f>VLOOKUP(D15,'Master Data'!A:F,6,FALSE)</f>
        <v>ines.zapater@posteo.net</v>
      </c>
      <c r="D15" s="30" t="s">
        <v>10657</v>
      </c>
      <c r="E15" s="46" t="s">
        <v>11665</v>
      </c>
      <c r="F15" s="46" t="str">
        <f>VLOOKUP(D15,'Master Data'!A:F,4,FALSE)</f>
        <v>w</v>
      </c>
      <c r="G15" s="46" t="str">
        <f>VLOOKUP(D15,'Master Data'!A:F,5,FALSE)</f>
        <v>Normal</v>
      </c>
      <c r="H15" s="103">
        <v>285</v>
      </c>
      <c r="I15" s="49" t="s">
        <v>11754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11760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>Yael</v>
      </c>
      <c r="B16" s="46" t="str">
        <f>VLOOKUP(D16,'Master Data'!A:F,3,FALSE)</f>
        <v>Spira</v>
      </c>
      <c r="C16" s="47" t="str">
        <f>VLOOKUP(D16,'Master Data'!A:F,6,FALSE)</f>
        <v>yael.spira@hotmail.com</v>
      </c>
      <c r="D16" s="30" t="s">
        <v>6560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6">
        <v>145</v>
      </c>
      <c r="I16" s="49" t="s">
        <v>11760</v>
      </c>
      <c r="J16" s="49" t="s">
        <v>11760</v>
      </c>
      <c r="K16" s="49" t="s">
        <v>11760</v>
      </c>
      <c r="L16" s="49" t="s">
        <v>11760</v>
      </c>
      <c r="M16" s="49" t="s">
        <v>11760</v>
      </c>
      <c r="N16" s="49" t="s">
        <v>11760</v>
      </c>
      <c r="O16" s="49" t="s">
        <v>11754</v>
      </c>
      <c r="P16" s="49" t="s">
        <v>11760</v>
      </c>
    </row>
    <row r="17" spans="1:16" ht="23.25" customHeight="1" x14ac:dyDescent="0.25">
      <c r="A17" s="46" t="str">
        <f>VLOOKUP(D17,'Master Data'!A:F,2,FALSE)</f>
        <v>Bruno</v>
      </c>
      <c r="B17" s="46" t="str">
        <f>VLOOKUP(D17,'Master Data'!A:F,3,FALSE)</f>
        <v>Branco</v>
      </c>
      <c r="C17" s="47" t="str">
        <f>VLOOKUP(D17,'Master Data'!A:F,6,FALSE)</f>
        <v>bruno_branco_1993@hotmail.com</v>
      </c>
      <c r="D17" s="30" t="s">
        <v>3787</v>
      </c>
      <c r="E17" s="46"/>
      <c r="F17" s="46" t="str">
        <f>VLOOKUP(D17,'Master Data'!A:F,4,FALSE)</f>
        <v>m</v>
      </c>
      <c r="G17" s="46" t="str">
        <f>VLOOKUP(D17,'Master Data'!A:F,5,FALSE)</f>
        <v>Familie</v>
      </c>
      <c r="H17" s="103"/>
      <c r="I17" s="49" t="s">
        <v>11760</v>
      </c>
      <c r="J17" s="49" t="s">
        <v>11760</v>
      </c>
      <c r="K17" s="49" t="s">
        <v>11760</v>
      </c>
      <c r="L17" s="49" t="s">
        <v>11754</v>
      </c>
      <c r="M17" s="49" t="s">
        <v>11760</v>
      </c>
      <c r="N17" s="49" t="s">
        <v>11760</v>
      </c>
      <c r="O17" s="49"/>
      <c r="P17" s="49" t="s">
        <v>11760</v>
      </c>
    </row>
    <row r="18" spans="1:16" ht="23.25" customHeight="1" x14ac:dyDescent="0.25">
      <c r="A18" s="46" t="str">
        <f>VLOOKUP(D18,'Master Data'!A:F,2,FALSE)</f>
        <v>Messias</v>
      </c>
      <c r="B18" s="46" t="str">
        <f>VLOOKUP(D18,'Master Data'!A:F,3,FALSE)</f>
        <v>Romano</v>
      </c>
      <c r="C18" s="47" t="str">
        <f>VLOOKUP(D18,'Master Data'!A:F,6,FALSE)</f>
        <v>sandra.couteiro@sunrise.ch</v>
      </c>
      <c r="D18" s="19" t="s">
        <v>7124</v>
      </c>
      <c r="E18" s="46"/>
      <c r="F18" s="46" t="str">
        <f>VLOOKUP(D18,'Master Data'!A:F,4,FALSE)</f>
        <v>m</v>
      </c>
      <c r="G18" s="46" t="str">
        <f>VLOOKUP(D18,'Master Data'!A:F,5,FALSE)</f>
        <v>Familie</v>
      </c>
      <c r="H18" s="103"/>
      <c r="I18" s="49" t="s">
        <v>11754</v>
      </c>
      <c r="J18" s="49" t="s">
        <v>11760</v>
      </c>
      <c r="K18" s="49" t="s">
        <v>11760</v>
      </c>
      <c r="L18" s="49" t="s">
        <v>11760</v>
      </c>
      <c r="M18" s="49" t="s">
        <v>11760</v>
      </c>
      <c r="N18" s="49" t="s">
        <v>11760</v>
      </c>
      <c r="O18" s="49"/>
      <c r="P18" s="49" t="s">
        <v>11760</v>
      </c>
    </row>
    <row r="19" spans="1:16" ht="23.25" customHeight="1" x14ac:dyDescent="0.25">
      <c r="A19" s="46" t="str">
        <f>VLOOKUP(D19,'Master Data'!A:F,2,FALSE)</f>
        <v>Estelle</v>
      </c>
      <c r="B19" s="46" t="str">
        <f>VLOOKUP(D19,'Master Data'!A:F,3,FALSE)</f>
        <v>Pierrot</v>
      </c>
      <c r="C19" s="47" t="str">
        <f>VLOOKUP(D19,'Master Data'!A:F,6,FALSE)</f>
        <v>stella110@hotmail.fr</v>
      </c>
      <c r="D19" s="30" t="s">
        <v>9894</v>
      </c>
      <c r="E19" s="46" t="s">
        <v>11298</v>
      </c>
      <c r="F19" s="46" t="str">
        <f>VLOOKUP(D19,'Master Data'!A:F,4,FALSE)</f>
        <v>w</v>
      </c>
      <c r="G19" s="46" t="str">
        <f>VLOOKUP(D19,'Master Data'!A:F,5,FALSE)</f>
        <v>Normal</v>
      </c>
      <c r="H19" s="103"/>
      <c r="I19" s="49" t="s">
        <v>11760</v>
      </c>
      <c r="J19" s="49" t="s">
        <v>11760</v>
      </c>
      <c r="K19" s="49" t="s">
        <v>11760</v>
      </c>
      <c r="L19" s="49" t="s">
        <v>11760</v>
      </c>
      <c r="M19" s="49" t="s">
        <v>11760</v>
      </c>
      <c r="N19" s="49" t="s">
        <v>11754</v>
      </c>
      <c r="O19" s="49"/>
      <c r="P19" s="49" t="s">
        <v>11754</v>
      </c>
    </row>
    <row r="20" spans="1:16" ht="23.25" customHeight="1" x14ac:dyDescent="0.25">
      <c r="A20" s="46" t="str">
        <f>VLOOKUP(D20,'Master Data'!A:F,2,FALSE)</f>
        <v>Yvo</v>
      </c>
      <c r="B20" s="46" t="str">
        <f>VLOOKUP(D20,'Master Data'!A:F,3,FALSE)</f>
        <v>Brügger</v>
      </c>
      <c r="C20" s="47" t="str">
        <f>VLOOKUP(D20,'Master Data'!A:F,6,FALSE)</f>
        <v>yvo.bruegger@gmx.ch</v>
      </c>
      <c r="D20" s="30" t="s">
        <v>11851</v>
      </c>
      <c r="E20" s="46"/>
      <c r="F20" s="46" t="str">
        <f>VLOOKUP(D20,'Master Data'!A:F,4,FALSE)</f>
        <v>m</v>
      </c>
      <c r="G20" s="46" t="str">
        <f>VLOOKUP(D20,'Master Data'!A:F,5,FALSE)</f>
        <v>Normal</v>
      </c>
      <c r="H20" s="103">
        <v>190</v>
      </c>
      <c r="I20" s="49" t="s">
        <v>11760</v>
      </c>
      <c r="J20" s="49" t="s">
        <v>11760</v>
      </c>
      <c r="K20" s="49" t="s">
        <v>11754</v>
      </c>
      <c r="L20" s="49" t="s">
        <v>11760</v>
      </c>
      <c r="M20" s="49" t="s">
        <v>11760</v>
      </c>
      <c r="N20" s="49" t="s">
        <v>11760</v>
      </c>
      <c r="O20" s="49"/>
      <c r="P20" s="49" t="s">
        <v>11760</v>
      </c>
    </row>
    <row r="21" spans="1:16" ht="23.25" customHeight="1" x14ac:dyDescent="0.25">
      <c r="A21" s="46" t="str">
        <f>VLOOKUP(D21,'Master Data'!A:F,2,FALSE)</f>
        <v>Kalin</v>
      </c>
      <c r="B21" s="46" t="str">
        <f>VLOOKUP(D21,'Master Data'!A:F,3,FALSE)</f>
        <v>Marinov</v>
      </c>
      <c r="C21" s="47" t="str">
        <f>VLOOKUP(D21,'Master Data'!A:F,6,FALSE)</f>
        <v>kalin.marinov977@gmail.com</v>
      </c>
      <c r="D21" s="34" t="s">
        <v>9579</v>
      </c>
      <c r="E21" s="46" t="s">
        <v>11298</v>
      </c>
      <c r="F21" s="46" t="str">
        <f>VLOOKUP(D21,'Master Data'!A:F,4,FALSE)</f>
        <v>m</v>
      </c>
      <c r="G21" s="46" t="str">
        <f>VLOOKUP(D21,'Master Data'!A:F,5,FALSE)</f>
        <v>Normal</v>
      </c>
      <c r="H21" s="103"/>
      <c r="I21" s="49" t="s">
        <v>11754</v>
      </c>
      <c r="J21" s="49" t="s">
        <v>11760</v>
      </c>
      <c r="K21" s="49" t="s">
        <v>11760</v>
      </c>
      <c r="L21" s="49" t="s">
        <v>11760</v>
      </c>
      <c r="M21" s="49" t="s">
        <v>11760</v>
      </c>
      <c r="N21" s="49" t="s">
        <v>11754</v>
      </c>
      <c r="O21" s="49"/>
      <c r="P21" s="49" t="s">
        <v>11754</v>
      </c>
    </row>
    <row r="22" spans="1:16" ht="23.25" customHeight="1" x14ac:dyDescent="0.25">
      <c r="A22" s="46" t="str">
        <f>VLOOKUP(D22,'Master Data'!A:F,2,FALSE)</f>
        <v>Ivan</v>
      </c>
      <c r="B22" s="46" t="str">
        <f>VLOOKUP(D22,'Master Data'!A:F,3,FALSE)</f>
        <v>Glushenkov</v>
      </c>
      <c r="C22" s="47" t="str">
        <f>VLOOKUP(D22,'Master Data'!A:F,6,FALSE)</f>
        <v>ivan.glushenkov.data@gmail.com</v>
      </c>
      <c r="D22" s="30" t="s">
        <v>11116</v>
      </c>
      <c r="E22" s="46" t="s">
        <v>11298</v>
      </c>
      <c r="F22" s="46" t="str">
        <f>VLOOKUP(D22,'Master Data'!A:F,4,FALSE)</f>
        <v>m</v>
      </c>
      <c r="G22" s="46" t="str">
        <f>VLOOKUP(D22,'Master Data'!A:F,5,FALSE)</f>
        <v>Normal</v>
      </c>
      <c r="H22" s="103"/>
      <c r="I22" s="49" t="s">
        <v>11760</v>
      </c>
      <c r="J22" s="49" t="s">
        <v>11760</v>
      </c>
      <c r="K22" s="49" t="s">
        <v>11760</v>
      </c>
      <c r="L22" s="49" t="s">
        <v>11760</v>
      </c>
      <c r="M22" s="49" t="s">
        <v>11760</v>
      </c>
      <c r="N22" s="49" t="s">
        <v>11760</v>
      </c>
      <c r="O22" s="49"/>
      <c r="P22" s="49" t="s">
        <v>11760</v>
      </c>
    </row>
    <row r="23" spans="1:16" ht="23.25" customHeight="1" x14ac:dyDescent="0.25">
      <c r="A23" s="46" t="str">
        <f>VLOOKUP(D23,'Master Data'!A:F,2,FALSE)</f>
        <v>David</v>
      </c>
      <c r="B23" s="46" t="str">
        <f>VLOOKUP(D23,'Master Data'!A:F,3,FALSE)</f>
        <v>Rubio Hermosa</v>
      </c>
      <c r="C23" s="47" t="str">
        <f>VLOOKUP(D23,'Master Data'!A:F,6,FALSE)</f>
        <v>david.rubiohermosa@gmail.com</v>
      </c>
      <c r="D23" s="30" t="s">
        <v>10565</v>
      </c>
      <c r="E23" s="46"/>
      <c r="F23" s="46" t="str">
        <f>VLOOKUP(D23,'Master Data'!A:F,4,FALSE)</f>
        <v>m</v>
      </c>
      <c r="G23" s="46" t="str">
        <f>VLOOKUP(D23,'Master Data'!A:F,5,FALSE)</f>
        <v>Normal</v>
      </c>
      <c r="H23" s="106">
        <v>170</v>
      </c>
      <c r="I23" s="49" t="s">
        <v>11754</v>
      </c>
      <c r="J23" s="49" t="s">
        <v>11760</v>
      </c>
      <c r="K23" s="49" t="s">
        <v>11760</v>
      </c>
      <c r="L23" s="49" t="s">
        <v>11760</v>
      </c>
      <c r="M23" s="49" t="s">
        <v>11754</v>
      </c>
      <c r="N23" s="49" t="s">
        <v>11760</v>
      </c>
      <c r="O23" s="49"/>
      <c r="P23" s="49" t="s">
        <v>11754</v>
      </c>
    </row>
    <row r="24" spans="1:16" ht="23.25" customHeight="1" x14ac:dyDescent="0.25">
      <c r="A24" s="46" t="str">
        <f>VLOOKUP(D24,'Master Data'!A:F,2,FALSE)</f>
        <v>Björn</v>
      </c>
      <c r="B24" s="46" t="str">
        <f>VLOOKUP(D24,'Master Data'!A:F,3,FALSE)</f>
        <v>Friebe</v>
      </c>
      <c r="C24" s="47">
        <f>VLOOKUP(D24,'Master Data'!A:F,6,FALSE)</f>
        <v>0</v>
      </c>
      <c r="D24" s="30" t="s">
        <v>5885</v>
      </c>
      <c r="E24" s="46"/>
      <c r="F24" s="46" t="str">
        <f>VLOOKUP(D24,'Master Data'!A:F,4,FALSE)</f>
        <v>m</v>
      </c>
      <c r="G24" s="46" t="str">
        <f>VLOOKUP(D24,'Master Data'!A:F,5,FALSE)</f>
        <v>Paar</v>
      </c>
      <c r="H24" s="103"/>
      <c r="I24" s="49" t="s">
        <v>11760</v>
      </c>
      <c r="J24" s="49" t="s">
        <v>11760</v>
      </c>
      <c r="K24" s="49" t="s">
        <v>11760</v>
      </c>
      <c r="L24" s="49" t="s">
        <v>11760</v>
      </c>
      <c r="M24" s="49" t="s">
        <v>11760</v>
      </c>
      <c r="N24" s="49" t="s">
        <v>11760</v>
      </c>
      <c r="O24" s="49"/>
      <c r="P24" s="49" t="s">
        <v>11760</v>
      </c>
    </row>
    <row r="25" spans="1:16" ht="23.25" customHeight="1" x14ac:dyDescent="0.25">
      <c r="A25" s="46" t="str">
        <f>VLOOKUP(D25,'Master Data'!A:F,2,FALSE)</f>
        <v>Doinita</v>
      </c>
      <c r="B25" s="46" t="str">
        <f>VLOOKUP(D25,'Master Data'!A:F,3,FALSE)</f>
        <v>Deliu</v>
      </c>
      <c r="C25" s="47" t="str">
        <f>VLOOKUP(D25,'Master Data'!A:F,6,FALSE)</f>
        <v>d.doinita98@yahoo.com</v>
      </c>
      <c r="D25" s="30" t="s">
        <v>10066</v>
      </c>
      <c r="E25" s="46"/>
      <c r="F25" s="46" t="str">
        <f>VLOOKUP(D25,'Master Data'!A:F,4,FALSE)</f>
        <v>w</v>
      </c>
      <c r="G25" s="46" t="str">
        <f>VLOOKUP(D25,'Master Data'!A:F,5,FALSE)</f>
        <v>Normal</v>
      </c>
      <c r="H25" s="106">
        <v>190</v>
      </c>
      <c r="I25" s="49" t="s">
        <v>11760</v>
      </c>
      <c r="J25" s="49" t="s">
        <v>11760</v>
      </c>
      <c r="K25" s="49" t="s">
        <v>11754</v>
      </c>
      <c r="L25" s="49" t="s">
        <v>11760</v>
      </c>
      <c r="M25" s="49" t="s">
        <v>11760</v>
      </c>
      <c r="N25" s="49" t="s">
        <v>11760</v>
      </c>
      <c r="O25" s="49"/>
      <c r="P25" s="49" t="s">
        <v>11760</v>
      </c>
    </row>
    <row r="26" spans="1:16" ht="23.25" customHeight="1" x14ac:dyDescent="0.25">
      <c r="A26" s="46" t="str">
        <f>VLOOKUP(D26,'Master Data'!A:F,2,FALSE)</f>
        <v>Magalie</v>
      </c>
      <c r="B26" s="46" t="str">
        <f>VLOOKUP(D26,'Master Data'!A:F,3,FALSE)</f>
        <v>Müller</v>
      </c>
      <c r="C26" s="47" t="str">
        <f>VLOOKUP(D26,'Master Data'!A:F,6,FALSE)</f>
        <v>Magalie.mueller@gmail.com</v>
      </c>
      <c r="D26" s="30" t="s">
        <v>9808</v>
      </c>
      <c r="E26" s="46"/>
      <c r="F26" s="46" t="str">
        <f>VLOOKUP(D26,'Master Data'!A:F,4,FALSE)</f>
        <v>w</v>
      </c>
      <c r="G26" s="46" t="str">
        <f>VLOOKUP(D26,'Master Data'!A:F,5,FALSE)</f>
        <v>Normal</v>
      </c>
      <c r="H26" s="103">
        <v>190</v>
      </c>
      <c r="I26" s="49" t="s">
        <v>11760</v>
      </c>
      <c r="J26" s="49" t="s">
        <v>11760</v>
      </c>
      <c r="K26" s="49" t="s">
        <v>11760</v>
      </c>
      <c r="L26" s="49" t="s">
        <v>11754</v>
      </c>
      <c r="M26" s="49" t="s">
        <v>11760</v>
      </c>
      <c r="N26" s="49" t="s">
        <v>11754</v>
      </c>
      <c r="O26" s="49"/>
      <c r="P26" s="49" t="s">
        <v>11760</v>
      </c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6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55" t="e">
        <f>VLOOKUP(D32,'Master Data'!A:F,2,FALSE)</f>
        <v>#N/A</v>
      </c>
      <c r="B32" s="55" t="e">
        <f>VLOOKUP(D32,'Master Data'!A:F,3,FALSE)</f>
        <v>#N/A</v>
      </c>
      <c r="C32" s="56" t="e">
        <f>VLOOKUP(D32,'Master Data'!A:F,5,FALSE)</f>
        <v>#N/A</v>
      </c>
      <c r="D32" s="55"/>
      <c r="E32" s="55"/>
      <c r="F32" s="55"/>
      <c r="G32" s="57" t="s">
        <v>11290</v>
      </c>
      <c r="H32" s="57">
        <f>SUM(H7:H31)</f>
        <v>2415</v>
      </c>
      <c r="I32" s="55"/>
      <c r="J32" s="55"/>
      <c r="K32" s="55"/>
      <c r="L32" s="55"/>
      <c r="M32" s="55"/>
      <c r="N32" s="55"/>
      <c r="O32" s="55"/>
      <c r="P32" s="55"/>
    </row>
  </sheetData>
  <mergeCells count="1">
    <mergeCell ref="I6:P6"/>
  </mergeCells>
  <conditionalFormatting sqref="F7:G31 A7:C32">
    <cfRule type="cellIs" dxfId="63" priority="1" operator="equal">
      <formula>0</formula>
    </cfRule>
    <cfRule type="expression" dxfId="62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x="16383" man="1"/>
  </rowBreaks>
  <colBreaks count="1" manualBreakCount="1">
    <brk id="16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AC2EC"/>
  </sheetPr>
  <dimension ref="A1:P1000"/>
  <sheetViews>
    <sheetView view="pageLayout" zoomScaleNormal="100" workbookViewId="0">
      <selection activeCell="P7" sqref="P7:P17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11300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11644</v>
      </c>
      <c r="C3" s="8"/>
      <c r="D3" s="41" t="s">
        <v>11276</v>
      </c>
      <c r="E3" s="8" t="s">
        <v>11297</v>
      </c>
      <c r="F3" s="8"/>
      <c r="G3" s="41" t="s">
        <v>11278</v>
      </c>
      <c r="H3" s="8" t="s">
        <v>8821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Estelle</v>
      </c>
      <c r="B7" s="46" t="str">
        <f>VLOOKUP(D7,'Master Data'!A:F,3,FALSE)</f>
        <v>Pierrot</v>
      </c>
      <c r="C7" s="47" t="str">
        <f>VLOOKUP(D7,'Master Data'!A:F,6,FALSE)</f>
        <v>stella110@hotmail.fr</v>
      </c>
      <c r="D7" s="30" t="s">
        <v>9894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3"/>
      <c r="I7" s="49" t="s">
        <v>11754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Iryna</v>
      </c>
      <c r="B8" s="46" t="str">
        <f>VLOOKUP(D8,'Master Data'!A:F,3,FALSE)</f>
        <v>Marrini</v>
      </c>
      <c r="C8" s="47" t="str">
        <f>VLOOKUP(D8,'Master Data'!A:F,6,FALSE)</f>
        <v>iryna@marrini.com</v>
      </c>
      <c r="D8" s="34" t="s">
        <v>8791</v>
      </c>
      <c r="E8" s="46" t="s">
        <v>11298</v>
      </c>
      <c r="F8" s="46" t="str">
        <f>VLOOKUP(D8,'Master Data'!A:F,4,FALSE)</f>
        <v>w</v>
      </c>
      <c r="G8" s="46" t="str">
        <f>VLOOKUP(D8,'Master Data'!A:F,5,FALSE)</f>
        <v>Normal</v>
      </c>
      <c r="H8" s="103"/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Kalin</v>
      </c>
      <c r="B9" s="46" t="str">
        <f>VLOOKUP(D9,'Master Data'!A:F,3,FALSE)</f>
        <v>Marinov</v>
      </c>
      <c r="C9" s="47" t="str">
        <f>VLOOKUP(D9,'Master Data'!A:F,6,FALSE)</f>
        <v>kalin.marinov977@gmail.com</v>
      </c>
      <c r="D9" s="34" t="s">
        <v>9579</v>
      </c>
      <c r="E9" s="46" t="s">
        <v>11298</v>
      </c>
      <c r="F9" s="46" t="str">
        <f>VLOOKUP(D9,'Master Data'!A:F,4,FALSE)</f>
        <v>m</v>
      </c>
      <c r="G9" s="46" t="str">
        <f>VLOOKUP(D9,'Master Data'!A:F,5,FALSE)</f>
        <v>Normal</v>
      </c>
      <c r="H9" s="103"/>
      <c r="I9" s="49" t="s">
        <v>11754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Burak</v>
      </c>
      <c r="B10" s="46" t="str">
        <f>VLOOKUP(D10,'Master Data'!A:F,3,FALSE)</f>
        <v>Yildirim</v>
      </c>
      <c r="C10" s="47" t="str">
        <f>VLOOKUP(D10,'Master Data'!A:F,6,FALSE)</f>
        <v>burak.yildirim@gmx.ch</v>
      </c>
      <c r="D10" s="30" t="s">
        <v>11101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3"/>
      <c r="I10" s="49" t="s">
        <v>11754</v>
      </c>
      <c r="J10" s="49" t="s">
        <v>11760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Laszlo</v>
      </c>
      <c r="B11" s="46" t="str">
        <f>VLOOKUP(D11,'Master Data'!A:F,3,FALSE)</f>
        <v>Lukacs</v>
      </c>
      <c r="C11" s="47" t="str">
        <f>VLOOKUP(D11,'Master Data'!A:F,6,FALSE)</f>
        <v>laci91128@gmail.com</v>
      </c>
      <c r="D11" s="34" t="s">
        <v>9433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3"/>
      <c r="I11" s="49" t="s">
        <v>11754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Lena</v>
      </c>
      <c r="B12" s="46" t="str">
        <f>VLOOKUP(D12,'Master Data'!A:F,3,FALSE)</f>
        <v>Bremer</v>
      </c>
      <c r="C12" s="47" t="str">
        <f>VLOOKUP(D12,'Master Data'!A:F,6,FALSE)</f>
        <v>lena_bremer96@web.de</v>
      </c>
      <c r="D12" s="30" t="s">
        <v>8409</v>
      </c>
      <c r="E12" s="46"/>
      <c r="F12" s="46" t="str">
        <f>VLOOKUP(D12,'Master Data'!A:F,4,FALSE)</f>
        <v>w</v>
      </c>
      <c r="G12" s="46" t="str">
        <f>VLOOKUP(D12,'Master Data'!A:F,5,FALSE)</f>
        <v>Pushflow</v>
      </c>
      <c r="H12" s="103"/>
      <c r="I12" s="49" t="s">
        <v>11760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Javier</v>
      </c>
      <c r="B13" s="46" t="str">
        <f>VLOOKUP(D13,'Master Data'!A:F,3,FALSE)</f>
        <v>Gonzalez</v>
      </c>
      <c r="C13" s="47" t="str">
        <f>VLOOKUP(D13,'Master Data'!A:F,6,FALSE)</f>
        <v>j_gonzalez_80@hotmail.com</v>
      </c>
      <c r="D13" s="30" t="s">
        <v>11199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3">
        <v>190</v>
      </c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 xml:space="preserve">Lea </v>
      </c>
      <c r="B14" s="46" t="str">
        <f>VLOOKUP(D14,'Master Data'!A:F,3,FALSE)</f>
        <v>Kurmann</v>
      </c>
      <c r="C14" s="47" t="str">
        <f>VLOOKUP(D14,'Master Data'!A:F,6,FALSE)</f>
        <v>lea.kurmann@bluewin.ch</v>
      </c>
      <c r="D14" s="30" t="s">
        <v>5528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3">
        <v>190</v>
      </c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Bülent</v>
      </c>
      <c r="B15" s="46" t="str">
        <f>VLOOKUP(D15,'Master Data'!A:F,3,FALSE)</f>
        <v>Ekinci</v>
      </c>
      <c r="C15" s="47" t="str">
        <f>VLOOKUP(D15,'Master Data'!A:F,6,FALSE)</f>
        <v>buelentekinci24@gamil.com</v>
      </c>
      <c r="D15" s="67" t="s">
        <v>11955</v>
      </c>
      <c r="E15" s="46" t="s">
        <v>11298</v>
      </c>
      <c r="F15" s="46" t="str">
        <f>VLOOKUP(D15,'Master Data'!A:F,4,FALSE)</f>
        <v>m</v>
      </c>
      <c r="G15" s="46" t="str">
        <f>VLOOKUP(D15,'Master Data'!A:F,5,FALSE)</f>
        <v>Normal</v>
      </c>
      <c r="H15" s="103"/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11760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>Ivan</v>
      </c>
      <c r="B16" s="46" t="str">
        <f>VLOOKUP(D16,'Master Data'!A:F,3,FALSE)</f>
        <v>Glushenkov</v>
      </c>
      <c r="C16" s="47" t="str">
        <f>VLOOKUP(D16,'Master Data'!A:F,6,FALSE)</f>
        <v>ivan.glushenkov.data@gmail.com</v>
      </c>
      <c r="D16" s="30" t="s">
        <v>11116</v>
      </c>
      <c r="E16" s="46"/>
      <c r="F16" s="46" t="str">
        <f>VLOOKUP(D16,'Master Data'!A:F,4,FALSE)</f>
        <v>m</v>
      </c>
      <c r="G16" s="46" t="str">
        <f>VLOOKUP(D16,'Master Data'!A:F,5,FALSE)</f>
        <v>Normal</v>
      </c>
      <c r="H16" s="103"/>
      <c r="I16" s="49" t="s">
        <v>11760</v>
      </c>
      <c r="J16" s="49" t="s">
        <v>11760</v>
      </c>
      <c r="K16" s="49" t="s">
        <v>11760</v>
      </c>
      <c r="L16" s="49" t="s">
        <v>11760</v>
      </c>
      <c r="M16" s="49" t="s">
        <v>11760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Ben</v>
      </c>
      <c r="B17" s="46" t="str">
        <f>VLOOKUP(D17,'Master Data'!A:F,3,FALSE)</f>
        <v>Böke</v>
      </c>
      <c r="C17" s="47" t="str">
        <f>VLOOKUP(D17,'Master Data'!A:F,6,FALSE)</f>
        <v>ben25boeke@gmail.com</v>
      </c>
      <c r="D17" s="98" t="s">
        <v>11951</v>
      </c>
      <c r="E17" s="46" t="s">
        <v>11298</v>
      </c>
      <c r="F17" s="46" t="str">
        <f>VLOOKUP(D17,'Master Data'!A:F,4,FALSE)</f>
        <v>m</v>
      </c>
      <c r="G17" s="46" t="str">
        <f>VLOOKUP(D17,'Master Data'!A:F,5,FALSE)</f>
        <v>Normal</v>
      </c>
      <c r="H17" s="103"/>
      <c r="I17" s="49" t="s">
        <v>11760</v>
      </c>
      <c r="J17" s="49" t="s">
        <v>11760</v>
      </c>
      <c r="K17" s="49" t="s">
        <v>11760</v>
      </c>
      <c r="L17" s="49" t="s">
        <v>11760</v>
      </c>
      <c r="M17" s="49" t="s">
        <v>11760</v>
      </c>
      <c r="N17" s="49" t="s">
        <v>11760</v>
      </c>
      <c r="O17" s="49"/>
      <c r="P17" s="49" t="s">
        <v>11760</v>
      </c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67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380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61" priority="1" operator="equal">
      <formula>0</formula>
    </cfRule>
    <cfRule type="expression" dxfId="60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AC2EC"/>
  </sheetPr>
  <dimension ref="A1:P1000"/>
  <sheetViews>
    <sheetView view="pageLayout" zoomScaleNormal="100" workbookViewId="0">
      <selection activeCell="F12" sqref="F12"/>
    </sheetView>
  </sheetViews>
  <sheetFormatPr baseColWidth="10" defaultColWidth="14.42578125" defaultRowHeight="15" customHeight="1" x14ac:dyDescent="0.25"/>
  <cols>
    <col min="1" max="1" width="14.42578125" customWidth="1"/>
    <col min="2" max="2" width="16.42578125" customWidth="1"/>
    <col min="3" max="3" width="28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1" width="4" customWidth="1"/>
    <col min="12" max="12" width="3.42578125" customWidth="1"/>
    <col min="13" max="16" width="4" customWidth="1"/>
    <col min="17" max="26" width="7" customWidth="1"/>
  </cols>
  <sheetData>
    <row r="1" spans="1:16" ht="23.25" customHeight="1" x14ac:dyDescent="0.25">
      <c r="A1" s="36" t="s">
        <v>11398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11644</v>
      </c>
      <c r="C3" s="8"/>
      <c r="D3" s="41" t="s">
        <v>11276</v>
      </c>
      <c r="E3" s="8" t="s">
        <v>11297</v>
      </c>
      <c r="F3" s="8"/>
      <c r="G3" s="41" t="s">
        <v>11278</v>
      </c>
      <c r="H3" s="8" t="s">
        <v>11299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Svitlana</v>
      </c>
      <c r="B7" s="46" t="str">
        <f>VLOOKUP(D7,'Master Data'!A:F,3,FALSE)</f>
        <v>Logvinova</v>
      </c>
      <c r="C7" s="47" t="str">
        <f>VLOOKUP(D7,'Master Data'!A:F,6,FALSE)</f>
        <v>sway@ua.fm</v>
      </c>
      <c r="D7" s="34" t="s">
        <v>9957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3">
        <v>190</v>
      </c>
      <c r="I7" s="49" t="s">
        <v>11760</v>
      </c>
      <c r="J7" s="49" t="s">
        <v>11760</v>
      </c>
      <c r="K7" s="49" t="s">
        <v>11754</v>
      </c>
      <c r="L7" s="49" t="s">
        <v>11760</v>
      </c>
      <c r="M7" s="49" t="s">
        <v>11760</v>
      </c>
      <c r="N7" s="49" t="s">
        <v>11754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Imanol</v>
      </c>
      <c r="B8" s="46" t="str">
        <f>VLOOKUP(D8,'Master Data'!A:F,3,FALSE)</f>
        <v>Moreno Huerga</v>
      </c>
      <c r="C8" s="47" t="str">
        <f>VLOOKUP(D8,'Master Data'!A:F,6,FALSE)</f>
        <v>i.moreno.huerga@gmail.com</v>
      </c>
      <c r="D8" s="34" t="s">
        <v>7642</v>
      </c>
      <c r="E8" s="46"/>
      <c r="F8" s="46" t="str">
        <f>VLOOKUP(D8,'Master Data'!A:F,4,FALSE)</f>
        <v>m</v>
      </c>
      <c r="G8" s="46" t="str">
        <f>VLOOKUP(D8,'Master Data'!A:F,5,FALSE)</f>
        <v>Normal</v>
      </c>
      <c r="H8" s="106">
        <v>160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Diana</v>
      </c>
      <c r="B9" s="46" t="str">
        <f>VLOOKUP(D9,'Master Data'!A:F,3,FALSE)</f>
        <v>Albertos Torres</v>
      </c>
      <c r="C9" s="47" t="str">
        <f>VLOOKUP(D9,'Master Data'!A:F,6,FALSE)</f>
        <v>didialbertos@hotmail.com</v>
      </c>
      <c r="D9" s="34" t="s">
        <v>7647</v>
      </c>
      <c r="E9" s="46"/>
      <c r="F9" s="46" t="str">
        <f>VLOOKUP(D9,'Master Data'!A:F,4,FALSE)</f>
        <v>w</v>
      </c>
      <c r="G9" s="46" t="str">
        <f>VLOOKUP(D9,'Master Data'!A:F,5,FALSE)</f>
        <v>Paar</v>
      </c>
      <c r="H9" s="106">
        <v>160</v>
      </c>
      <c r="I9" s="49" t="s">
        <v>11760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Tamara</v>
      </c>
      <c r="B10" s="46" t="str">
        <f>VLOOKUP(D10,'Master Data'!A:F,3,FALSE)</f>
        <v>Rzehak</v>
      </c>
      <c r="C10" s="47" t="str">
        <f>VLOOKUP(D10,'Master Data'!A:F,6,FALSE)</f>
        <v>tamara.rzehak@sunrise.ch</v>
      </c>
      <c r="D10" s="19" t="s">
        <v>10053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06">
        <v>190</v>
      </c>
      <c r="I10" s="49" t="s">
        <v>11760</v>
      </c>
      <c r="J10" s="49" t="s">
        <v>11760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Jacqueline</v>
      </c>
      <c r="B11" s="46" t="str">
        <f>VLOOKUP(D11,'Master Data'!A:F,3,FALSE)</f>
        <v>Meier</v>
      </c>
      <c r="C11" s="47" t="str">
        <f>VLOOKUP(D11,'Master Data'!A:F,6,FALSE)</f>
        <v>jacquelinemeier@msn.com</v>
      </c>
      <c r="D11" s="19" t="s">
        <v>7016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6">
        <v>75</v>
      </c>
      <c r="I11" s="49" t="s">
        <v>11760</v>
      </c>
      <c r="J11" s="49" t="s">
        <v>11760</v>
      </c>
      <c r="K11" s="49" t="s">
        <v>11760</v>
      </c>
      <c r="L11" s="49" t="s">
        <v>11754</v>
      </c>
      <c r="M11" s="49" t="s">
        <v>11754</v>
      </c>
      <c r="N11" s="49" t="s">
        <v>11754</v>
      </c>
      <c r="O11" s="49" t="s">
        <v>11754</v>
      </c>
      <c r="P11" s="49" t="s">
        <v>11754</v>
      </c>
    </row>
    <row r="12" spans="1:16" ht="23.25" customHeight="1" x14ac:dyDescent="0.25">
      <c r="A12" s="46" t="str">
        <f>VLOOKUP(D12,'Master Data'!A:F,2,FALSE)</f>
        <v>Corinne</v>
      </c>
      <c r="B12" s="46" t="str">
        <f>VLOOKUP(D12,'Master Data'!A:F,3,FALSE)</f>
        <v>Leiser</v>
      </c>
      <c r="C12" s="47" t="str">
        <f>VLOOKUP(D12,'Master Data'!A:F,6,FALSE)</f>
        <v>corinneleiser@bluewin.ch</v>
      </c>
      <c r="D12" s="19" t="s">
        <v>7820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8">
        <v>190</v>
      </c>
      <c r="I12" s="49" t="s">
        <v>11760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Ruben</v>
      </c>
      <c r="B13" s="46" t="str">
        <f>VLOOKUP(D13,'Master Data'!A:F,3,FALSE)</f>
        <v>Castillo</v>
      </c>
      <c r="C13" s="47" t="str">
        <f>VLOOKUP(D13,'Master Data'!A:F,6,FALSE)</f>
        <v>rubencastillo@hotmail.ch</v>
      </c>
      <c r="D13" s="30" t="s">
        <v>7045</v>
      </c>
      <c r="E13" s="46"/>
      <c r="F13" s="46" t="str">
        <f>VLOOKUP(D13,'Master Data'!A:F,4,FALSE)</f>
        <v>m</v>
      </c>
      <c r="G13" s="46" t="str">
        <f>VLOOKUP(D13,'Master Data'!A:F,5,FALSE)</f>
        <v>Pushflow</v>
      </c>
      <c r="H13" s="103"/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Torben</v>
      </c>
      <c r="B14" s="46" t="str">
        <f>VLOOKUP(D14,'Master Data'!A:F,3,FALSE)</f>
        <v>Lietzke</v>
      </c>
      <c r="C14" s="47" t="str">
        <f>VLOOKUP(D14,'Master Data'!A:F,6,FALSE)</f>
        <v>t.lietzke@gmx.ch</v>
      </c>
      <c r="D14" s="30" t="s">
        <v>10354</v>
      </c>
      <c r="E14" s="46"/>
      <c r="F14" s="46" t="str">
        <f>VLOOKUP(D14,'Master Data'!A:F,4,FALSE)</f>
        <v>m</v>
      </c>
      <c r="G14" s="46" t="str">
        <f>VLOOKUP(D14,'Master Data'!A:F,5,FALSE)</f>
        <v>Normal</v>
      </c>
      <c r="H14" s="106">
        <v>160</v>
      </c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Eva</v>
      </c>
      <c r="B15" s="46" t="str">
        <f>VLOOKUP(D15,'Master Data'!A:F,3,FALSE)</f>
        <v>Hammel</v>
      </c>
      <c r="C15" s="47" t="str">
        <f>VLOOKUP(D15,'Master Data'!A:F,6,FALSE)</f>
        <v>eva.hammel@protonmail.ch</v>
      </c>
      <c r="D15" s="19" t="s">
        <v>8417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03">
        <v>190</v>
      </c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11754</v>
      </c>
      <c r="O15" s="49"/>
      <c r="P15" s="49" t="s">
        <v>11754</v>
      </c>
    </row>
    <row r="16" spans="1:16" ht="23.25" customHeight="1" x14ac:dyDescent="0.25">
      <c r="A16" s="46" t="str">
        <f>VLOOKUP(D16,'Master Data'!A:F,2,FALSE)</f>
        <v>Rayan</v>
      </c>
      <c r="B16" s="46" t="str">
        <f>VLOOKUP(D16,'Master Data'!A:F,3,FALSE)</f>
        <v>Kieffer</v>
      </c>
      <c r="C16" s="47" t="str">
        <f>VLOOKUP(D16,'Master Data'!A:F,6,FALSE)</f>
        <v>rayan.kieffer@gmail.com</v>
      </c>
      <c r="D16" s="30" t="s">
        <v>8321</v>
      </c>
      <c r="E16" s="46" t="s">
        <v>11665</v>
      </c>
      <c r="F16" s="46" t="str">
        <f>VLOOKUP(D16,'Master Data'!A:F,4,FALSE)</f>
        <v>m</v>
      </c>
      <c r="G16" s="46" t="str">
        <f>VLOOKUP(D16,'Master Data'!A:F,5,FALSE)</f>
        <v>Normal</v>
      </c>
      <c r="H16" s="103"/>
      <c r="I16" s="49" t="s">
        <v>11760</v>
      </c>
      <c r="J16" s="49" t="s">
        <v>11760</v>
      </c>
      <c r="K16" s="49" t="s">
        <v>11760</v>
      </c>
      <c r="L16" s="49" t="s">
        <v>11760</v>
      </c>
      <c r="M16" s="49" t="s">
        <v>11754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Regula</v>
      </c>
      <c r="B17" s="46" t="str">
        <f>VLOOKUP(D17,'Master Data'!A:F,3,FALSE)</f>
        <v>Rudolf von Rohr</v>
      </c>
      <c r="C17" s="47" t="str">
        <f>VLOOKUP(D17,'Master Data'!A:F,6,FALSE)</f>
        <v>regula.rvr@hotmail.com</v>
      </c>
      <c r="D17" s="30" t="s">
        <v>5841</v>
      </c>
      <c r="E17" s="46" t="s">
        <v>11298</v>
      </c>
      <c r="F17" s="46" t="str">
        <f>VLOOKUP(D17,'Master Data'!A:F,4,FALSE)</f>
        <v>w</v>
      </c>
      <c r="G17" s="46" t="str">
        <f>VLOOKUP(D17,'Master Data'!A:F,5,FALSE)</f>
        <v>Normal</v>
      </c>
      <c r="H17" s="106">
        <v>410</v>
      </c>
      <c r="I17" s="49" t="s">
        <v>11760</v>
      </c>
      <c r="J17" s="49" t="s">
        <v>11760</v>
      </c>
      <c r="K17" s="49" t="s">
        <v>11754</v>
      </c>
      <c r="L17" s="49" t="s">
        <v>11760</v>
      </c>
      <c r="M17" s="49" t="s">
        <v>11760</v>
      </c>
      <c r="N17" s="49" t="s">
        <v>11760</v>
      </c>
      <c r="O17" s="49"/>
      <c r="P17" s="49" t="s">
        <v>11754</v>
      </c>
    </row>
    <row r="18" spans="1:16" ht="23.25" customHeight="1" x14ac:dyDescent="0.25">
      <c r="A18" s="46" t="str">
        <f>VLOOKUP(D18,'Master Data'!A:F,2,FALSE)</f>
        <v>Janina</v>
      </c>
      <c r="B18" s="46" t="str">
        <f>VLOOKUP(D18,'Master Data'!A:F,3,FALSE)</f>
        <v>Aufrichtig</v>
      </c>
      <c r="C18" s="47" t="str">
        <f>VLOOKUP(D18,'Master Data'!A:F,6,FALSE)</f>
        <v>j.aufrichtig@gmx.ch</v>
      </c>
      <c r="D18" s="30" t="s">
        <v>8609</v>
      </c>
      <c r="E18" s="46" t="s">
        <v>11665</v>
      </c>
      <c r="F18" s="46" t="str">
        <f>VLOOKUP(D18,'Master Data'!A:F,4,FALSE)</f>
        <v>w</v>
      </c>
      <c r="G18" s="46" t="str">
        <f>VLOOKUP(D18,'Master Data'!A:F,5,FALSE)</f>
        <v>Normal</v>
      </c>
      <c r="H18" s="103">
        <v>285</v>
      </c>
      <c r="I18" s="49" t="s">
        <v>11760</v>
      </c>
      <c r="J18" s="49" t="s">
        <v>11760</v>
      </c>
      <c r="K18" s="49" t="s">
        <v>11754</v>
      </c>
      <c r="L18" s="49" t="s">
        <v>11760</v>
      </c>
      <c r="M18" s="49" t="s">
        <v>11760</v>
      </c>
      <c r="N18" s="49" t="s">
        <v>11760</v>
      </c>
      <c r="O18" s="49"/>
      <c r="P18" s="49" t="s">
        <v>11760</v>
      </c>
    </row>
    <row r="19" spans="1:16" ht="23.25" customHeight="1" x14ac:dyDescent="0.25">
      <c r="A19" s="46" t="str">
        <f>VLOOKUP(D19,'Master Data'!A:F,2,FALSE)</f>
        <v>Naida</v>
      </c>
      <c r="B19" s="46" t="str">
        <f>VLOOKUP(D19,'Master Data'!A:F,3,FALSE)</f>
        <v>Lulic</v>
      </c>
      <c r="C19" s="47" t="str">
        <f>VLOOKUP(D19,'Master Data'!A:F,6,FALSE)</f>
        <v>naida.lulic@gmail.com</v>
      </c>
      <c r="D19" s="19" t="s">
        <v>7301</v>
      </c>
      <c r="E19" s="46"/>
      <c r="F19" s="46" t="str">
        <f>VLOOKUP(D19,'Master Data'!A:F,4,FALSE)</f>
        <v>w</v>
      </c>
      <c r="G19" s="46" t="str">
        <f>VLOOKUP(D19,'Master Data'!A:F,5,FALSE)</f>
        <v>Normal</v>
      </c>
      <c r="H19" s="103">
        <v>190</v>
      </c>
      <c r="I19" s="49" t="s">
        <v>11760</v>
      </c>
      <c r="J19" s="49" t="s">
        <v>11760</v>
      </c>
      <c r="K19" s="49" t="s">
        <v>11760</v>
      </c>
      <c r="L19" s="49" t="s">
        <v>11760</v>
      </c>
      <c r="M19" s="49" t="s">
        <v>11760</v>
      </c>
      <c r="N19" s="49" t="s">
        <v>11760</v>
      </c>
      <c r="O19" s="49"/>
      <c r="P19" s="49" t="s">
        <v>11760</v>
      </c>
    </row>
    <row r="20" spans="1:16" ht="23.25" customHeight="1" x14ac:dyDescent="0.25">
      <c r="A20" s="46" t="str">
        <f>VLOOKUP(D20,'Master Data'!A:F,2,FALSE)</f>
        <v>Myriam</v>
      </c>
      <c r="B20" s="46" t="str">
        <f>VLOOKUP(D20,'Master Data'!A:F,3,FALSE)</f>
        <v>Aouadi</v>
      </c>
      <c r="C20" s="47" t="str">
        <f>VLOOKUP(D20,'Master Data'!A:F,6,FALSE)</f>
        <v>aouadme@gmail.com</v>
      </c>
      <c r="D20" s="30" t="s">
        <v>5648</v>
      </c>
      <c r="E20" s="46" t="s">
        <v>11950</v>
      </c>
      <c r="F20" s="46" t="str">
        <f>VLOOKUP(D20,'Master Data'!A:F,4,FALSE)</f>
        <v>w</v>
      </c>
      <c r="G20" s="46" t="str">
        <f>VLOOKUP(D20,'Master Data'!A:F,5,FALSE)</f>
        <v>Normal</v>
      </c>
      <c r="H20" s="103"/>
      <c r="I20" s="49" t="s">
        <v>11760</v>
      </c>
      <c r="J20" s="49" t="s">
        <v>11760</v>
      </c>
      <c r="K20" s="49" t="s">
        <v>11754</v>
      </c>
      <c r="L20" s="49" t="s">
        <v>11760</v>
      </c>
      <c r="M20" s="49" t="s">
        <v>11760</v>
      </c>
      <c r="N20" s="49" t="s">
        <v>11760</v>
      </c>
      <c r="O20" s="49"/>
      <c r="P20" s="49" t="s">
        <v>11760</v>
      </c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19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19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19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19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19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19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19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2200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59" priority="1" operator="equal">
      <formula>0</formula>
    </cfRule>
    <cfRule type="expression" dxfId="58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x="16383" man="1"/>
  </rowBreaks>
  <colBreaks count="1" manualBreakCount="1">
    <brk id="16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AC2EC"/>
  </sheetPr>
  <dimension ref="A1:P1000"/>
  <sheetViews>
    <sheetView view="pageLayout" topLeftCell="A5" zoomScaleNormal="100" workbookViewId="0">
      <selection activeCell="F8" sqref="F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11639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11644</v>
      </c>
      <c r="C3" s="8"/>
      <c r="D3" s="41" t="s">
        <v>11276</v>
      </c>
      <c r="E3" s="8" t="s">
        <v>11297</v>
      </c>
      <c r="F3" s="8"/>
      <c r="G3" s="41" t="s">
        <v>11278</v>
      </c>
      <c r="H3" s="8" t="s">
        <v>11302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58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Pavel</v>
      </c>
      <c r="B7" s="46" t="str">
        <f>VLOOKUP(D7,'Master Data'!A:F,3,FALSE)</f>
        <v>Kos</v>
      </c>
      <c r="C7" s="59" t="str">
        <f>VLOOKUP(D7,'Master Data'!A:F,6,FALSE)</f>
        <v>pavel.kos.personal@gmail.com</v>
      </c>
      <c r="D7" s="19" t="s">
        <v>11913</v>
      </c>
      <c r="E7" s="60"/>
      <c r="F7" s="46" t="str">
        <f>VLOOKUP(D7,'Master Data'!A:F,4,FALSE)</f>
        <v>m</v>
      </c>
      <c r="G7" s="46" t="str">
        <f>VLOOKUP(D7,'Master Data'!A:F,5,FALSE)</f>
        <v>Normal</v>
      </c>
      <c r="H7" s="103">
        <v>190</v>
      </c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Katharina</v>
      </c>
      <c r="B8" s="46" t="str">
        <f>VLOOKUP(D8,'Master Data'!A:F,3,FALSE)</f>
        <v>Haaf</v>
      </c>
      <c r="C8" s="59" t="str">
        <f>VLOOKUP(D8,'Master Data'!A:F,6,FALSE)</f>
        <v>katharinahaaf@web.de</v>
      </c>
      <c r="D8" s="34" t="s">
        <v>11140</v>
      </c>
      <c r="E8" s="60"/>
      <c r="F8" s="46" t="str">
        <f>VLOOKUP(D8,'Master Data'!A:F,4,FALSE)</f>
        <v>w</v>
      </c>
      <c r="G8" s="46" t="str">
        <f>VLOOKUP(D8,'Master Data'!A:F,5,FALSE)</f>
        <v>Normal</v>
      </c>
      <c r="H8" s="103">
        <v>190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11754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Ivan</v>
      </c>
      <c r="B9" s="46" t="str">
        <f>VLOOKUP(D9,'Master Data'!A:F,3,FALSE)</f>
        <v>Glushenkov</v>
      </c>
      <c r="C9" s="59" t="str">
        <f>VLOOKUP(D9,'Master Data'!A:F,6,FALSE)</f>
        <v>ivan.glushenkov.data@gmail.com</v>
      </c>
      <c r="D9" s="30" t="s">
        <v>11116</v>
      </c>
      <c r="E9" s="46" t="s">
        <v>11298</v>
      </c>
      <c r="F9" s="46" t="str">
        <f>VLOOKUP(D9,'Master Data'!A:F,4,FALSE)</f>
        <v>m</v>
      </c>
      <c r="G9" s="46" t="str">
        <f>VLOOKUP(D9,'Master Data'!A:F,5,FALSE)</f>
        <v>Normal</v>
      </c>
      <c r="H9" s="103"/>
      <c r="I9" s="49" t="s">
        <v>11760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Ben</v>
      </c>
      <c r="B10" s="46" t="str">
        <f>VLOOKUP(D10,'Master Data'!A:F,3,FALSE)</f>
        <v>Böke</v>
      </c>
      <c r="C10" s="59" t="str">
        <f>VLOOKUP(D10,'Master Data'!A:F,6,FALSE)</f>
        <v>ben25boeke@gmail.com</v>
      </c>
      <c r="D10" s="98" t="s">
        <v>11951</v>
      </c>
      <c r="E10" s="46" t="s">
        <v>11298</v>
      </c>
      <c r="F10" s="46" t="str">
        <f>VLOOKUP(D10,'Master Data'!A:F,4,FALSE)</f>
        <v>m</v>
      </c>
      <c r="G10" s="46" t="str">
        <f>VLOOKUP(D10,'Master Data'!A:F,5,FALSE)</f>
        <v>Normal</v>
      </c>
      <c r="H10" s="103"/>
      <c r="I10" s="49" t="s">
        <v>11760</v>
      </c>
      <c r="J10" s="49" t="s">
        <v>11760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Simão Pedro</v>
      </c>
      <c r="B11" s="46" t="str">
        <f>VLOOKUP(D11,'Master Data'!A:F,3,FALSE)</f>
        <v>Oliveira</v>
      </c>
      <c r="C11" s="59" t="str">
        <f>VLOOKUP(D11,'Master Data'!A:F,6,FALSE)</f>
        <v>spedro.oliveira@gmail.com</v>
      </c>
      <c r="D11" s="30" t="s">
        <v>11166</v>
      </c>
      <c r="E11" s="60"/>
      <c r="F11" s="46" t="str">
        <f>VLOOKUP(D11,'Master Data'!A:F,4,FALSE)</f>
        <v>m</v>
      </c>
      <c r="G11" s="46" t="str">
        <f>VLOOKUP(D11,'Master Data'!A:F,5,FALSE)</f>
        <v>Normal</v>
      </c>
      <c r="H11" s="103">
        <v>285</v>
      </c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Dino</v>
      </c>
      <c r="B12" s="46" t="str">
        <f>VLOOKUP(D12,'Master Data'!A:F,3,FALSE)</f>
        <v>Nienhold</v>
      </c>
      <c r="C12" s="59" t="str">
        <f>VLOOKUP(D12,'Master Data'!A:F,6,FALSE)</f>
        <v>dino.nienhold@gmail.com</v>
      </c>
      <c r="D12" s="19" t="s">
        <v>10712</v>
      </c>
      <c r="E12" s="60"/>
      <c r="F12" s="46" t="str">
        <f>VLOOKUP(D12,'Master Data'!A:F,4,FALSE)</f>
        <v>m</v>
      </c>
      <c r="G12" s="46" t="str">
        <f>VLOOKUP(D12,'Master Data'!A:F,5,FALSE)</f>
        <v>Normal</v>
      </c>
      <c r="H12" s="106">
        <v>190</v>
      </c>
      <c r="I12" s="49" t="s">
        <v>11760</v>
      </c>
      <c r="J12" s="49" t="s">
        <v>11760</v>
      </c>
      <c r="K12" s="49" t="s">
        <v>11760</v>
      </c>
      <c r="L12" s="49" t="s">
        <v>11760</v>
      </c>
      <c r="M12" s="49" t="s">
        <v>11754</v>
      </c>
      <c r="N12" s="49" t="s">
        <v>11760</v>
      </c>
      <c r="O12" s="49" t="s">
        <v>11754</v>
      </c>
      <c r="P12" s="49" t="s">
        <v>11754</v>
      </c>
    </row>
    <row r="13" spans="1:16" ht="23.25" customHeight="1" x14ac:dyDescent="0.25">
      <c r="A13" s="46" t="str">
        <f>VLOOKUP(D13,'Master Data'!A:F,2,FALSE)</f>
        <v>Philipp</v>
      </c>
      <c r="B13" s="46" t="str">
        <f>VLOOKUP(D13,'Master Data'!A:F,3,FALSE)</f>
        <v>Schaub</v>
      </c>
      <c r="C13" s="59" t="str">
        <f>VLOOKUP(D13,'Master Data'!A:F,6,FALSE)</f>
        <v>philipp.schaub@magnet.ch</v>
      </c>
      <c r="D13" s="61" t="s">
        <v>11178</v>
      </c>
      <c r="E13" s="60"/>
      <c r="F13" s="46" t="str">
        <f>VLOOKUP(D13,'Master Data'!A:F,4,FALSE)</f>
        <v>m</v>
      </c>
      <c r="G13" s="46" t="str">
        <f>VLOOKUP(D13,'Master Data'!A:F,5,FALSE)</f>
        <v>Normal</v>
      </c>
      <c r="H13" s="103">
        <v>190</v>
      </c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Evgenij</v>
      </c>
      <c r="B14" s="46" t="str">
        <f>VLOOKUP(D14,'Master Data'!A:F,3,FALSE)</f>
        <v>Komarov</v>
      </c>
      <c r="C14" s="59" t="str">
        <f>VLOOKUP(D14,'Master Data'!A:F,6,FALSE)</f>
        <v>k_ewe@hotmail.de</v>
      </c>
      <c r="D14" s="30" t="s">
        <v>11347</v>
      </c>
      <c r="E14" s="60"/>
      <c r="F14" s="46" t="str">
        <f>VLOOKUP(D14,'Master Data'!A:F,4,FALSE)</f>
        <v>m</v>
      </c>
      <c r="G14" s="46" t="str">
        <f>VLOOKUP(D14,'Master Data'!A:F,5,FALSE)</f>
        <v>Normal</v>
      </c>
      <c r="H14" s="103">
        <v>190</v>
      </c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11754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Imân</v>
      </c>
      <c r="B15" s="46" t="str">
        <f>VLOOKUP(D15,'Master Data'!A:F,3,FALSE)</f>
        <v>Hofer</v>
      </c>
      <c r="C15" s="59" t="str">
        <f>VLOOKUP(D15,'Master Data'!A:F,6,FALSE)</f>
        <v>i.hofer@hotmail.com</v>
      </c>
      <c r="D15" s="34" t="s">
        <v>11392</v>
      </c>
      <c r="E15" s="60"/>
      <c r="F15" s="46" t="str">
        <f>VLOOKUP(D15,'Master Data'!A:F,4,FALSE)</f>
        <v>w</v>
      </c>
      <c r="G15" s="46" t="str">
        <f>VLOOKUP(D15,'Master Data'!A:F,5,FALSE)</f>
        <v>Normal</v>
      </c>
      <c r="H15" s="103">
        <v>145</v>
      </c>
      <c r="I15" s="49" t="s">
        <v>11760</v>
      </c>
      <c r="J15" s="49" t="s">
        <v>11754</v>
      </c>
      <c r="K15" s="49" t="s">
        <v>11754</v>
      </c>
      <c r="L15" s="49" t="s">
        <v>11760</v>
      </c>
      <c r="M15" s="49" t="s">
        <v>11760</v>
      </c>
      <c r="N15" s="49" t="s">
        <v>11760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>Linda</v>
      </c>
      <c r="B16" s="46" t="str">
        <f>VLOOKUP(D16,'Master Data'!A:F,3,FALSE)</f>
        <v>Pedrazzoli</v>
      </c>
      <c r="C16" s="59" t="str">
        <f>VLOOKUP(D16,'Master Data'!A:F,6,FALSE)</f>
        <v>linda.pedrazzoli@bluewin.ch</v>
      </c>
      <c r="D16" s="30" t="s">
        <v>11248</v>
      </c>
      <c r="E16" s="60"/>
      <c r="F16" s="46" t="str">
        <f>VLOOKUP(D16,'Master Data'!A:F,4,FALSE)</f>
        <v>w</v>
      </c>
      <c r="G16" s="46" t="str">
        <f>VLOOKUP(D16,'Master Data'!A:F,5,FALSE)</f>
        <v>Paar</v>
      </c>
      <c r="H16" s="106">
        <v>160</v>
      </c>
      <c r="I16" s="49" t="s">
        <v>11754</v>
      </c>
      <c r="J16" s="49" t="s">
        <v>11760</v>
      </c>
      <c r="K16" s="49" t="s">
        <v>11760</v>
      </c>
      <c r="L16" s="49" t="s">
        <v>11760</v>
      </c>
      <c r="M16" s="49" t="s">
        <v>11754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Claudio</v>
      </c>
      <c r="B17" s="46" t="str">
        <f>VLOOKUP(D17,'Master Data'!A:F,3,FALSE)</f>
        <v>Laely</v>
      </c>
      <c r="C17" s="59" t="str">
        <f>VLOOKUP(D17,'Master Data'!A:F,6,FALSE)</f>
        <v>claudiolaely@bluewin.ch</v>
      </c>
      <c r="D17" s="34" t="s">
        <v>11251</v>
      </c>
      <c r="E17" s="60"/>
      <c r="F17" s="46" t="str">
        <f>VLOOKUP(D17,'Master Data'!A:F,4,FALSE)</f>
        <v>m</v>
      </c>
      <c r="G17" s="46" t="str">
        <f>VLOOKUP(D17,'Master Data'!A:F,5,FALSE)</f>
        <v>Paar</v>
      </c>
      <c r="H17" s="106">
        <v>160</v>
      </c>
      <c r="I17" s="49" t="s">
        <v>11754</v>
      </c>
      <c r="J17" s="49" t="s">
        <v>11760</v>
      </c>
      <c r="K17" s="49" t="s">
        <v>11760</v>
      </c>
      <c r="L17" s="49" t="s">
        <v>11760</v>
      </c>
      <c r="M17" s="49" t="s">
        <v>11754</v>
      </c>
      <c r="N17" s="49" t="s">
        <v>11760</v>
      </c>
      <c r="O17" s="49"/>
      <c r="P17" s="49" t="s">
        <v>11754</v>
      </c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59" t="e">
        <f>VLOOKUP(D18,'Master Data'!A:F,6,FALSE)</f>
        <v>#N/A</v>
      </c>
      <c r="D18" s="19"/>
      <c r="E18" s="60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59" t="e">
        <f>VLOOKUP(D19,'Master Data'!A:F,6,FALSE)</f>
        <v>#N/A</v>
      </c>
      <c r="D19" s="19"/>
      <c r="E19" s="60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59" t="e">
        <f>VLOOKUP(D20,'Master Data'!A:F,6,FALSE)</f>
        <v>#N/A</v>
      </c>
      <c r="D20" s="19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59" t="e">
        <f>VLOOKUP(D21,'Master Data'!A:F,6,FALSE)</f>
        <v>#N/A</v>
      </c>
      <c r="D21" s="19"/>
      <c r="E21" s="46"/>
      <c r="F21" s="46"/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59" t="e">
        <f>VLOOKUP(D22,'Master Data'!A:F,6,FALSE)</f>
        <v>#N/A</v>
      </c>
      <c r="D22" s="30"/>
      <c r="E22" s="46"/>
      <c r="F22" s="46"/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59" t="e">
        <f>VLOOKUP(D23,'Master Data'!A:F,6,FALSE)</f>
        <v>#N/A</v>
      </c>
      <c r="D23" s="98"/>
      <c r="E23" s="46"/>
      <c r="F23" s="46"/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98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1700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57" priority="1" operator="equal">
      <formula>0</formula>
    </cfRule>
    <cfRule type="expression" dxfId="56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AC2EC"/>
  </sheetPr>
  <dimension ref="A1:P1000"/>
  <sheetViews>
    <sheetView view="pageLayout" zoomScaleNormal="100" workbookViewId="0">
      <selection activeCell="P7" sqref="P7:P1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11643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11644</v>
      </c>
      <c r="C3" s="8"/>
      <c r="D3" s="41" t="s">
        <v>11276</v>
      </c>
      <c r="E3" s="8" t="s">
        <v>11297</v>
      </c>
      <c r="F3" s="8"/>
      <c r="G3" s="41" t="s">
        <v>11278</v>
      </c>
      <c r="H3" s="8" t="s">
        <v>8821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Kalin</v>
      </c>
      <c r="B7" s="46" t="str">
        <f>VLOOKUP(D7,'Master Data'!A:F,3,FALSE)</f>
        <v>Marinov</v>
      </c>
      <c r="C7" s="47" t="str">
        <f>VLOOKUP(D7,'Master Data'!A:F,6,FALSE)</f>
        <v>kalin.marinov977@gmail.com</v>
      </c>
      <c r="D7" s="34" t="s">
        <v>9579</v>
      </c>
      <c r="E7" s="46" t="s">
        <v>11298</v>
      </c>
      <c r="F7" s="46" t="str">
        <f>VLOOKUP(D7,'Master Data'!A:F,4,FALSE)</f>
        <v>m</v>
      </c>
      <c r="G7" s="46" t="str">
        <f>VLOOKUP(D7,'Master Data'!A:F,5,FALSE)</f>
        <v>Normal</v>
      </c>
      <c r="H7" s="103"/>
      <c r="I7" s="49" t="s">
        <v>11754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Lena</v>
      </c>
      <c r="B8" s="46" t="str">
        <f>VLOOKUP(D8,'Master Data'!A:F,3,FALSE)</f>
        <v>Bremer</v>
      </c>
      <c r="C8" s="47" t="str">
        <f>VLOOKUP(D8,'Master Data'!A:F,6,FALSE)</f>
        <v>lena_bremer96@web.de</v>
      </c>
      <c r="D8" s="30" t="s">
        <v>8409</v>
      </c>
      <c r="E8" s="46"/>
      <c r="F8" s="46" t="str">
        <f>VLOOKUP(D8,'Master Data'!A:F,4,FALSE)</f>
        <v>w</v>
      </c>
      <c r="G8" s="46" t="str">
        <f>VLOOKUP(D8,'Master Data'!A:F,5,FALSE)</f>
        <v>Pushflow</v>
      </c>
      <c r="H8" s="103"/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Burak</v>
      </c>
      <c r="B9" s="46" t="str">
        <f>VLOOKUP(D9,'Master Data'!A:F,3,FALSE)</f>
        <v>Yildirim</v>
      </c>
      <c r="C9" s="47" t="str">
        <f>VLOOKUP(D9,'Master Data'!A:F,6,FALSE)</f>
        <v>burak.yildirim@gmx.ch</v>
      </c>
      <c r="D9" s="30" t="s">
        <v>11101</v>
      </c>
      <c r="E9" s="46"/>
      <c r="F9" s="46" t="str">
        <f>VLOOKUP(D9,'Master Data'!A:F,4,FALSE)</f>
        <v>m</v>
      </c>
      <c r="G9" s="46" t="str">
        <f>VLOOKUP(D9,'Master Data'!A:F,5,FALSE)</f>
        <v>Normal</v>
      </c>
      <c r="H9" s="103">
        <v>410</v>
      </c>
      <c r="I9" s="49" t="s">
        <v>11754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Estelle</v>
      </c>
      <c r="B10" s="46" t="str">
        <f>VLOOKUP(D10,'Master Data'!A:F,3,FALSE)</f>
        <v>Pierrot</v>
      </c>
      <c r="C10" s="47" t="str">
        <f>VLOOKUP(D10,'Master Data'!A:F,6,FALSE)</f>
        <v>stella110@hotmail.fr</v>
      </c>
      <c r="D10" s="30" t="s">
        <v>9894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03"/>
      <c r="I10" s="49" t="s">
        <v>11754</v>
      </c>
      <c r="J10" s="49" t="s">
        <v>11760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Regula</v>
      </c>
      <c r="B11" s="46" t="str">
        <f>VLOOKUP(D11,'Master Data'!A:F,3,FALSE)</f>
        <v>Rudolf von Rohr</v>
      </c>
      <c r="C11" s="47" t="str">
        <f>VLOOKUP(D11,'Master Data'!A:F,6,FALSE)</f>
        <v>regula.rvr@hotmail.com</v>
      </c>
      <c r="D11" s="30" t="s">
        <v>5841</v>
      </c>
      <c r="E11" s="46" t="s">
        <v>11298</v>
      </c>
      <c r="F11" s="46" t="str">
        <f>VLOOKUP(D11,'Master Data'!A:F,4,FALSE)</f>
        <v>w</v>
      </c>
      <c r="G11" s="46" t="str">
        <f>VLOOKUP(D11,'Master Data'!A:F,5,FALSE)</f>
        <v>Normal</v>
      </c>
      <c r="H11" s="103"/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Iryna</v>
      </c>
      <c r="B12" s="46" t="str">
        <f>VLOOKUP(D12,'Master Data'!A:F,3,FALSE)</f>
        <v>Marrini</v>
      </c>
      <c r="C12" s="47" t="str">
        <f>VLOOKUP(D12,'Master Data'!A:F,6,FALSE)</f>
        <v>iryna@marrini.com</v>
      </c>
      <c r="D12" s="34" t="s">
        <v>8791</v>
      </c>
      <c r="E12" s="46" t="s">
        <v>11298</v>
      </c>
      <c r="F12" s="46" t="str">
        <f>VLOOKUP(D12,'Master Data'!A:F,4,FALSE)</f>
        <v>w</v>
      </c>
      <c r="G12" s="46" t="str">
        <f>VLOOKUP(D12,'Master Data'!A:F,5,FALSE)</f>
        <v>Normal</v>
      </c>
      <c r="H12" s="103"/>
      <c r="I12" s="49" t="s">
        <v>11760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Ben</v>
      </c>
      <c r="B13" s="46" t="str">
        <f>VLOOKUP(D13,'Master Data'!A:F,3,FALSE)</f>
        <v>Böke</v>
      </c>
      <c r="C13" s="47" t="str">
        <f>VLOOKUP(D13,'Master Data'!A:F,6,FALSE)</f>
        <v>ben25boeke@gmail.com</v>
      </c>
      <c r="D13" s="98" t="s">
        <v>11951</v>
      </c>
      <c r="E13" s="46" t="s">
        <v>11298</v>
      </c>
      <c r="F13" s="46" t="str">
        <f>VLOOKUP(D13,'Master Data'!A:F,4,FALSE)</f>
        <v>m</v>
      </c>
      <c r="G13" s="46" t="str">
        <f>VLOOKUP(D13,'Master Data'!A:F,5,FALSE)</f>
        <v>Normal</v>
      </c>
      <c r="H13" s="103"/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Ivan</v>
      </c>
      <c r="B14" s="46" t="str">
        <f>VLOOKUP(D14,'Master Data'!A:F,3,FALSE)</f>
        <v>Glushenkov</v>
      </c>
      <c r="C14" s="47" t="str">
        <f>VLOOKUP(D14,'Master Data'!A:F,6,FALSE)</f>
        <v>ivan.glushenkov.data@gmail.com</v>
      </c>
      <c r="D14" s="30" t="s">
        <v>11116</v>
      </c>
      <c r="E14" s="46" t="s">
        <v>11298</v>
      </c>
      <c r="F14" s="46" t="str">
        <f>VLOOKUP(D14,'Master Data'!A:F,4,FALSE)</f>
        <v>m</v>
      </c>
      <c r="G14" s="46" t="str">
        <f>VLOOKUP(D14,'Master Data'!A:F,5,FALSE)</f>
        <v>Normal</v>
      </c>
      <c r="H14" s="103"/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Bülent</v>
      </c>
      <c r="B15" s="46" t="str">
        <f>VLOOKUP(D15,'Master Data'!A:F,3,FALSE)</f>
        <v>Ekinci</v>
      </c>
      <c r="C15" s="47" t="str">
        <f>VLOOKUP(D15,'Master Data'!A:F,6,FALSE)</f>
        <v>buelentekinci24@gamil.com</v>
      </c>
      <c r="D15" s="67" t="s">
        <v>11955</v>
      </c>
      <c r="E15" s="46" t="s">
        <v>11298</v>
      </c>
      <c r="F15" s="46" t="str">
        <f>VLOOKUP(D15,'Master Data'!A:F,4,FALSE)</f>
        <v>m</v>
      </c>
      <c r="G15" s="46" t="str">
        <f>VLOOKUP(D15,'Master Data'!A:F,5,FALSE)</f>
        <v>Normal</v>
      </c>
      <c r="H15" s="103"/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11760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>Stephanie</v>
      </c>
      <c r="B16" s="46" t="str">
        <f>VLOOKUP(D16,'Master Data'!A:F,3,FALSE)</f>
        <v>Csendes</v>
      </c>
      <c r="C16" s="47" t="str">
        <f>VLOOKUP(D16,'Master Data'!A:F,6,FALSE)</f>
        <v>stephanie.csendes@gmail.com</v>
      </c>
      <c r="D16" s="30" t="s">
        <v>9476</v>
      </c>
      <c r="E16" s="46" t="s">
        <v>1359</v>
      </c>
      <c r="F16" s="46" t="str">
        <f>VLOOKUP(D16,'Master Data'!A:F,4,FALSE)</f>
        <v>w</v>
      </c>
      <c r="G16" s="46" t="str">
        <f>VLOOKUP(D16,'Master Data'!A:F,5,FALSE)</f>
        <v>Normal</v>
      </c>
      <c r="H16" s="103"/>
      <c r="I16" s="49" t="s">
        <v>11760</v>
      </c>
      <c r="J16" s="49" t="s">
        <v>11760</v>
      </c>
      <c r="K16" s="49" t="s">
        <v>11760</v>
      </c>
      <c r="L16" s="49" t="s">
        <v>11754</v>
      </c>
      <c r="M16" s="49" t="s">
        <v>11754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Laszlo</v>
      </c>
      <c r="B17" s="46" t="str">
        <f>VLOOKUP(D17,'Master Data'!A:F,3,FALSE)</f>
        <v>Lukacs</v>
      </c>
      <c r="C17" s="47" t="str">
        <f>VLOOKUP(D17,'Master Data'!A:F,6,FALSE)</f>
        <v>laci91128@gmail.com</v>
      </c>
      <c r="D17" s="34" t="s">
        <v>9433</v>
      </c>
      <c r="E17" s="46"/>
      <c r="F17" s="46" t="str">
        <f>VLOOKUP(D17,'Master Data'!A:F,4,FALSE)</f>
        <v>m</v>
      </c>
      <c r="G17" s="46" t="str">
        <f>VLOOKUP(D17,'Master Data'!A:F,5,FALSE)</f>
        <v>Normal</v>
      </c>
      <c r="H17" s="103"/>
      <c r="I17" s="49" t="s">
        <v>11754</v>
      </c>
      <c r="J17" s="49" t="s">
        <v>11760</v>
      </c>
      <c r="K17" s="49" t="s">
        <v>11760</v>
      </c>
      <c r="L17" s="49" t="s">
        <v>11760</v>
      </c>
      <c r="M17" s="49" t="s">
        <v>11760</v>
      </c>
      <c r="N17" s="49" t="s">
        <v>11754</v>
      </c>
      <c r="O17" s="49"/>
      <c r="P17" s="49" t="s">
        <v>11760</v>
      </c>
    </row>
    <row r="18" spans="1:16" ht="23.25" customHeight="1" x14ac:dyDescent="0.25">
      <c r="A18" s="46" t="str">
        <f>VLOOKUP(D18,'Master Data'!A:F,2,FALSE)</f>
        <v>Ali</v>
      </c>
      <c r="B18" s="46" t="str">
        <f>VLOOKUP(D18,'Master Data'!A:F,3,FALSE)</f>
        <v>Üstündag</v>
      </c>
      <c r="C18" s="47" t="str">
        <f>VLOOKUP(D18,'Master Data'!A:F,6,FALSE)</f>
        <v>ali.uestuendag@gmail.com</v>
      </c>
      <c r="D18" s="30" t="s">
        <v>8514</v>
      </c>
      <c r="E18" s="46"/>
      <c r="F18" s="46" t="str">
        <f>VLOOKUP(D18,'Master Data'!A:F,4,FALSE)</f>
        <v>m</v>
      </c>
      <c r="G18" s="46" t="str">
        <f>VLOOKUP(D18,'Master Data'!A:F,5,FALSE)</f>
        <v>Pushflow</v>
      </c>
      <c r="H18" s="103"/>
      <c r="I18" s="49" t="s">
        <v>11760</v>
      </c>
      <c r="J18" s="49" t="s">
        <v>11754</v>
      </c>
      <c r="K18" s="49" t="s">
        <v>11760</v>
      </c>
      <c r="L18" s="49" t="s">
        <v>11760</v>
      </c>
      <c r="M18" s="49" t="s">
        <v>11760</v>
      </c>
      <c r="N18" s="49" t="s">
        <v>11760</v>
      </c>
      <c r="O18" s="49"/>
      <c r="P18" s="49" t="s">
        <v>11760</v>
      </c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98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67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410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55" priority="1" operator="equal">
      <formula>0</formula>
    </cfRule>
    <cfRule type="expression" dxfId="54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x="16383" man="1"/>
  </rowBreaks>
  <colBreaks count="1" manualBreakCount="1">
    <brk id="16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AC2EC"/>
  </sheetPr>
  <dimension ref="A1:P1000"/>
  <sheetViews>
    <sheetView view="pageLayout" topLeftCell="A4" zoomScale="89" zoomScaleNormal="100" zoomScalePageLayoutView="89" workbookViewId="0">
      <selection activeCell="P7" sqref="P7:P1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11294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11644</v>
      </c>
      <c r="C3" s="8"/>
      <c r="D3" s="41" t="s">
        <v>11276</v>
      </c>
      <c r="E3" s="8" t="s">
        <v>11297</v>
      </c>
      <c r="F3" s="8"/>
      <c r="G3" s="41" t="s">
        <v>11278</v>
      </c>
      <c r="H3" s="8" t="s">
        <v>11299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Helmut</v>
      </c>
      <c r="B7" s="46" t="str">
        <f>VLOOKUP(D7,'Master Data'!A:F,3,FALSE)</f>
        <v>Trippel</v>
      </c>
      <c r="C7" s="47" t="str">
        <f>VLOOKUP(D7,'Master Data'!A:F,6,FALSE)</f>
        <v>helmuttrippel@web.de</v>
      </c>
      <c r="D7" s="34" t="s">
        <v>8208</v>
      </c>
      <c r="E7" s="46"/>
      <c r="F7" s="46" t="str">
        <f>VLOOKUP(D7,'Master Data'!A:F,4,FALSE)</f>
        <v>m</v>
      </c>
      <c r="G7" s="46" t="str">
        <f>VLOOKUP(D7,'Master Data'!A:F,5,FALSE)</f>
        <v>Normal</v>
      </c>
      <c r="H7" s="103">
        <v>190</v>
      </c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Susanna</v>
      </c>
      <c r="B8" s="46" t="str">
        <f>VLOOKUP(D8,'Master Data'!A:F,3,FALSE)</f>
        <v>Zamolo</v>
      </c>
      <c r="C8" s="47" t="str">
        <f>VLOOKUP(D8,'Master Data'!A:F,6,FALSE)</f>
        <v>joellezamolo@gmail.com</v>
      </c>
      <c r="D8" s="30" t="s">
        <v>11099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6">
        <v>190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Solange</v>
      </c>
      <c r="B9" s="46" t="str">
        <f>VLOOKUP(D9,'Master Data'!A:F,3,FALSE)</f>
        <v>Burmeister</v>
      </c>
      <c r="C9" s="47" t="str">
        <f>VLOOKUP(D9,'Master Data'!A:F,6,FALSE)</f>
        <v>burmesol27@gmail.com</v>
      </c>
      <c r="D9" s="34" t="s">
        <v>8466</v>
      </c>
      <c r="E9" s="46" t="s">
        <v>11665</v>
      </c>
      <c r="F9" s="46" t="str">
        <f>VLOOKUP(D9,'Master Data'!A:F,4,FALSE)</f>
        <v>w</v>
      </c>
      <c r="G9" s="46" t="str">
        <f>VLOOKUP(D9,'Master Data'!A:F,5,FALSE)</f>
        <v>Normal</v>
      </c>
      <c r="H9" s="106">
        <v>285</v>
      </c>
      <c r="I9" s="49" t="s">
        <v>11760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Linda</v>
      </c>
      <c r="B10" s="46" t="str">
        <f>VLOOKUP(D10,'Master Data'!A:F,3,FALSE)</f>
        <v>Baumgartl</v>
      </c>
      <c r="C10" s="47" t="str">
        <f>VLOOKUP(D10,'Master Data'!A:F,6,FALSE)</f>
        <v>baumgartl_linda@yahoo.de</v>
      </c>
      <c r="D10" s="34" t="s">
        <v>8162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06">
        <v>190</v>
      </c>
      <c r="I10" s="49" t="s">
        <v>11760</v>
      </c>
      <c r="J10" s="49" t="s">
        <v>11754</v>
      </c>
      <c r="K10" s="49" t="s">
        <v>11760</v>
      </c>
      <c r="L10" s="49" t="s">
        <v>11760</v>
      </c>
      <c r="M10" s="49" t="s">
        <v>11754</v>
      </c>
      <c r="N10" s="49" t="s">
        <v>11754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Daniel</v>
      </c>
      <c r="B11" s="46" t="str">
        <f>VLOOKUP(D11,'Master Data'!A:F,3,FALSE)</f>
        <v>Gmür</v>
      </c>
      <c r="C11" s="47" t="str">
        <f>VLOOKUP(D11,'Master Data'!A:F,6,FALSE)</f>
        <v>danielgmuer5@hotmail.com</v>
      </c>
      <c r="D11" s="30" t="s">
        <v>11368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6">
        <v>160</v>
      </c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Pia Maria</v>
      </c>
      <c r="B12" s="46" t="str">
        <f>VLOOKUP(D12,'Master Data'!A:F,3,FALSE)</f>
        <v>Köppen</v>
      </c>
      <c r="C12" s="47" t="str">
        <f>VLOOKUP(D12,'Master Data'!A:F,6,FALSE)</f>
        <v>pia_maria.k@hotmail.com</v>
      </c>
      <c r="D12" s="30" t="s">
        <v>6182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6">
        <v>160</v>
      </c>
      <c r="I12" s="49" t="s">
        <v>11760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Katarzyna</v>
      </c>
      <c r="B13" s="46" t="str">
        <f>VLOOKUP(D13,'Master Data'!A:F,3,FALSE)</f>
        <v>Werczynska</v>
      </c>
      <c r="C13" s="47" t="str">
        <f>VLOOKUP(D13,'Master Data'!A:F,6,FALSE)</f>
        <v>kwerczynska@op.pl</v>
      </c>
      <c r="D13" s="19" t="s">
        <v>8781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3">
        <v>190</v>
      </c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11754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Lukas</v>
      </c>
      <c r="B14" s="46" t="str">
        <f>VLOOKUP(D14,'Master Data'!A:F,3,FALSE)</f>
        <v>Erni</v>
      </c>
      <c r="C14" s="47" t="str">
        <f>VLOOKUP(D14,'Master Data'!A:F,6,FALSE)</f>
        <v>ernilweber@icloud.com</v>
      </c>
      <c r="D14" s="30" t="s">
        <v>6684</v>
      </c>
      <c r="E14" s="46"/>
      <c r="F14" s="46" t="str">
        <f>VLOOKUP(D14,'Master Data'!A:F,4,FALSE)</f>
        <v>m</v>
      </c>
      <c r="G14" s="46" t="str">
        <f>VLOOKUP(D14,'Master Data'!A:F,5,FALSE)</f>
        <v>Normal</v>
      </c>
      <c r="H14" s="103">
        <v>285</v>
      </c>
      <c r="I14" s="49" t="s">
        <v>11754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Markus</v>
      </c>
      <c r="B15" s="46" t="str">
        <f>VLOOKUP(D15,'Master Data'!A:F,3,FALSE)</f>
        <v>Schürch</v>
      </c>
      <c r="C15" s="47">
        <f>VLOOKUP(D15,'Master Data'!A:F,6,FALSE)</f>
        <v>0</v>
      </c>
      <c r="D15" s="33" t="s">
        <v>8337</v>
      </c>
      <c r="E15" s="46"/>
      <c r="F15" s="46" t="str">
        <f>VLOOKUP(D15,'Master Data'!A:F,4,FALSE)</f>
        <v>m</v>
      </c>
      <c r="G15" s="46" t="str">
        <f>VLOOKUP(D15,'Master Data'!A:F,5,FALSE)</f>
        <v>Normal</v>
      </c>
      <c r="H15" s="106">
        <v>160</v>
      </c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11754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>Sabina</v>
      </c>
      <c r="B16" s="46" t="str">
        <f>VLOOKUP(D16,'Master Data'!A:F,3,FALSE)</f>
        <v>Ziberi</v>
      </c>
      <c r="C16" s="47" t="str">
        <f>VLOOKUP(D16,'Master Data'!A:F,6,FALSE)</f>
        <v>s_ziberi@hotmail.ch</v>
      </c>
      <c r="D16" s="34" t="s">
        <v>8040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3">
        <v>160</v>
      </c>
      <c r="I16" s="49" t="s">
        <v>11760</v>
      </c>
      <c r="J16" s="49" t="s">
        <v>11760</v>
      </c>
      <c r="K16" s="49" t="s">
        <v>11760</v>
      </c>
      <c r="L16" s="49" t="s">
        <v>11760</v>
      </c>
      <c r="M16" s="49" t="s">
        <v>11760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Michelle</v>
      </c>
      <c r="B17" s="46" t="str">
        <f>VLOOKUP(D17,'Master Data'!A:F,3,FALSE)</f>
        <v>Roggo</v>
      </c>
      <c r="C17" s="47" t="str">
        <f>VLOOKUP(D17,'Master Data'!A:F,6,FALSE)</f>
        <v>michelle222@hotmail.ch</v>
      </c>
      <c r="D17" s="34" t="s">
        <v>2207</v>
      </c>
      <c r="E17" s="46"/>
      <c r="F17" s="46" t="str">
        <f>VLOOKUP(D17,'Master Data'!A:F,4,FALSE)</f>
        <v>w</v>
      </c>
      <c r="G17" s="46" t="str">
        <f>VLOOKUP(D17,'Master Data'!A:F,5,FALSE)</f>
        <v>Normal</v>
      </c>
      <c r="H17" s="106">
        <v>190</v>
      </c>
      <c r="I17" s="49" t="s">
        <v>11760</v>
      </c>
      <c r="J17" s="49" t="s">
        <v>11760</v>
      </c>
      <c r="K17" s="49" t="s">
        <v>11754</v>
      </c>
      <c r="L17" s="49" t="s">
        <v>11760</v>
      </c>
      <c r="M17" s="49" t="s">
        <v>11760</v>
      </c>
      <c r="N17" s="49" t="s">
        <v>11754</v>
      </c>
      <c r="O17" s="49"/>
      <c r="P17" s="49" t="s">
        <v>11760</v>
      </c>
    </row>
    <row r="18" spans="1:16" ht="23.25" customHeight="1" x14ac:dyDescent="0.25">
      <c r="A18" s="46" t="str">
        <f>VLOOKUP(D18,'Master Data'!A:F,2,FALSE)</f>
        <v>Arina</v>
      </c>
      <c r="B18" s="46" t="str">
        <f>VLOOKUP(D18,'Master Data'!A:F,3,FALSE)</f>
        <v>Kadanik</v>
      </c>
      <c r="C18" s="47" t="str">
        <f>VLOOKUP(D18,'Master Data'!A:F,6,FALSE)</f>
        <v>arina.ber@bluewin.ch</v>
      </c>
      <c r="D18" s="30" t="s">
        <v>8519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3">
        <v>190</v>
      </c>
      <c r="I18" s="49" t="s">
        <v>11760</v>
      </c>
      <c r="J18" s="49" t="s">
        <v>11760</v>
      </c>
      <c r="K18" s="49" t="s">
        <v>11760</v>
      </c>
      <c r="L18" s="49" t="s">
        <v>11760</v>
      </c>
      <c r="M18" s="49" t="s">
        <v>11754</v>
      </c>
      <c r="N18" s="49" t="s">
        <v>11754</v>
      </c>
      <c r="O18" s="49"/>
      <c r="P18" s="49" t="s">
        <v>11760</v>
      </c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2350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53" priority="1" operator="equal">
      <formula>0</formula>
    </cfRule>
    <cfRule type="expression" dxfId="52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AC2EC"/>
  </sheetPr>
  <dimension ref="A1:P1000"/>
  <sheetViews>
    <sheetView view="pageLayout" zoomScaleNormal="100" workbookViewId="0">
      <selection activeCell="D9" sqref="D9:D10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11292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11644</v>
      </c>
      <c r="C3" s="8"/>
      <c r="D3" s="41" t="s">
        <v>11276</v>
      </c>
      <c r="E3" s="8" t="s">
        <v>11297</v>
      </c>
      <c r="F3" s="8"/>
      <c r="G3" s="41" t="s">
        <v>11278</v>
      </c>
      <c r="H3" s="8" t="s">
        <v>11302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e">
        <f>VLOOKUP(D7,'Master Data'!A:F,2,FALSE)</f>
        <v>#N/A</v>
      </c>
      <c r="B7" s="46" t="e">
        <f>VLOOKUP(D7,'Master Data'!A:F,3,FALSE)</f>
        <v>#N/A</v>
      </c>
      <c r="C7" s="47" t="e">
        <f>VLOOKUP(D7,'Master Data'!A:F,6,FALSE)</f>
        <v>#N/A</v>
      </c>
      <c r="D7" s="34"/>
      <c r="E7" s="66"/>
      <c r="F7" s="46" t="e">
        <f>VLOOKUP(D7,'Master Data'!A:F,4,FALSE)</f>
        <v>#N/A</v>
      </c>
      <c r="G7" s="46" t="e">
        <f>VLOOKUP(D7,'Master Data'!A:F,5,FALSE)</f>
        <v>#N/A</v>
      </c>
      <c r="H7" s="48"/>
      <c r="I7" s="49"/>
      <c r="J7" s="49"/>
      <c r="K7" s="49"/>
      <c r="L7" s="49"/>
      <c r="M7" s="49"/>
      <c r="N7" s="49"/>
      <c r="O7" s="49"/>
      <c r="P7" s="49"/>
    </row>
    <row r="8" spans="1:16" ht="23.25" customHeight="1" x14ac:dyDescent="0.25">
      <c r="A8" s="46" t="e">
        <f>VLOOKUP(D8,'Master Data'!A:F,2,FALSE)</f>
        <v>#N/A</v>
      </c>
      <c r="B8" s="46" t="e">
        <f>VLOOKUP(D8,'Master Data'!A:F,3,FALSE)</f>
        <v>#N/A</v>
      </c>
      <c r="C8" s="47" t="e">
        <f>VLOOKUP(D8,'Master Data'!A:F,6,FALSE)</f>
        <v>#N/A</v>
      </c>
      <c r="D8" s="19"/>
      <c r="E8" s="66"/>
      <c r="F8" s="46" t="e">
        <f>VLOOKUP(D8,'Master Data'!A:F,4,FALSE)</f>
        <v>#N/A</v>
      </c>
      <c r="G8" s="46" t="e">
        <f>VLOOKUP(D8,'Master Data'!A:F,5,FALSE)</f>
        <v>#N/A</v>
      </c>
      <c r="H8" s="48"/>
      <c r="I8" s="49"/>
      <c r="J8" s="49"/>
      <c r="K8" s="49"/>
      <c r="L8" s="49"/>
      <c r="M8" s="49"/>
      <c r="N8" s="49"/>
      <c r="O8" s="49"/>
      <c r="P8" s="49"/>
    </row>
    <row r="9" spans="1:16" ht="23.25" customHeight="1" x14ac:dyDescent="0.25">
      <c r="A9" s="46" t="e">
        <f>VLOOKUP(D9,'Master Data'!A:F,2,FALSE)</f>
        <v>#N/A</v>
      </c>
      <c r="B9" s="46" t="e">
        <f>VLOOKUP(D9,'Master Data'!A:F,3,FALSE)</f>
        <v>#N/A</v>
      </c>
      <c r="C9" s="47" t="e">
        <f>VLOOKUP(D9,'Master Data'!A:F,6,FALSE)</f>
        <v>#N/A</v>
      </c>
      <c r="D9" s="30"/>
      <c r="E9" s="46"/>
      <c r="F9" s="46" t="e">
        <f>VLOOKUP(D9,'Master Data'!A:F,4,FALSE)</f>
        <v>#N/A</v>
      </c>
      <c r="G9" s="46" t="e">
        <f>VLOOKUP(D9,'Master Data'!A:F,5,FALSE)</f>
        <v>#N/A</v>
      </c>
      <c r="H9" s="48"/>
      <c r="I9" s="49" t="s">
        <v>11754</v>
      </c>
      <c r="J9" s="49"/>
      <c r="K9" s="49"/>
      <c r="L9" s="49"/>
      <c r="M9" s="49"/>
      <c r="N9" s="49"/>
      <c r="O9" s="49" t="s">
        <v>11754</v>
      </c>
      <c r="P9" s="49"/>
    </row>
    <row r="10" spans="1:16" ht="23.25" customHeight="1" x14ac:dyDescent="0.25">
      <c r="A10" s="46" t="e">
        <f>VLOOKUP(D10,'Master Data'!A:F,2,FALSE)</f>
        <v>#N/A</v>
      </c>
      <c r="B10" s="46" t="e">
        <f>VLOOKUP(D10,'Master Data'!A:F,3,FALSE)</f>
        <v>#N/A</v>
      </c>
      <c r="C10" s="47" t="e">
        <f>VLOOKUP(D10,'Master Data'!A:F,6,FALSE)</f>
        <v>#N/A</v>
      </c>
      <c r="D10" s="30"/>
      <c r="E10" s="46"/>
      <c r="F10" s="46" t="e">
        <f>VLOOKUP(D10,'Master Data'!A:F,4,FALSE)</f>
        <v>#N/A</v>
      </c>
      <c r="G10" s="46" t="e">
        <f>VLOOKUP(D10,'Master Data'!A:F,5,FALSE)</f>
        <v>#N/A</v>
      </c>
      <c r="H10" s="48"/>
      <c r="I10" s="49" t="s">
        <v>11754</v>
      </c>
      <c r="J10" s="49"/>
      <c r="K10" s="49"/>
      <c r="L10" s="49"/>
      <c r="M10" s="49"/>
      <c r="N10" s="49"/>
      <c r="O10" s="49" t="s">
        <v>11754</v>
      </c>
      <c r="P10" s="49"/>
    </row>
    <row r="11" spans="1:16" ht="23.25" customHeight="1" x14ac:dyDescent="0.25">
      <c r="A11" s="46" t="e">
        <f>VLOOKUP(D11,'Master Data'!A:F,2,FALSE)</f>
        <v>#N/A</v>
      </c>
      <c r="B11" s="46" t="e">
        <f>VLOOKUP(D11,'Master Data'!A:F,3,FALSE)</f>
        <v>#N/A</v>
      </c>
      <c r="C11" s="47" t="e">
        <f>VLOOKUP(D11,'Master Data'!A:F,6,FALSE)</f>
        <v>#N/A</v>
      </c>
      <c r="D11" s="30"/>
      <c r="E11" s="46"/>
      <c r="F11" s="46" t="e">
        <f>VLOOKUP(D11,'Master Data'!A:F,4,FALSE)</f>
        <v>#N/A</v>
      </c>
      <c r="G11" s="46" t="e">
        <f>VLOOKUP(D11,'Master Data'!A:F,5,FALSE)</f>
        <v>#N/A</v>
      </c>
      <c r="H11" s="48"/>
      <c r="I11" s="49"/>
      <c r="J11" s="49"/>
      <c r="K11" s="49"/>
      <c r="L11" s="49"/>
      <c r="M11" s="49"/>
      <c r="N11" s="49"/>
      <c r="O11" s="49"/>
      <c r="P11" s="49"/>
    </row>
    <row r="12" spans="1:16" ht="23.25" customHeight="1" x14ac:dyDescent="0.25">
      <c r="A12" s="46" t="e">
        <f>VLOOKUP(D12,'Master Data'!A:F,2,FALSE)</f>
        <v>#N/A</v>
      </c>
      <c r="B12" s="46" t="e">
        <f>VLOOKUP(D12,'Master Data'!A:F,3,FALSE)</f>
        <v>#N/A</v>
      </c>
      <c r="C12" s="47" t="e">
        <f>VLOOKUP(D12,'Master Data'!A:F,6,FALSE)</f>
        <v>#N/A</v>
      </c>
      <c r="D12" s="19"/>
      <c r="E12" s="46"/>
      <c r="F12" s="46" t="e">
        <f>VLOOKUP(D12,'Master Data'!A:F,4,FALSE)</f>
        <v>#N/A</v>
      </c>
      <c r="G12" s="46" t="e">
        <f>VLOOKUP(D12,'Master Data'!A:F,5,FALSE)</f>
        <v>#N/A</v>
      </c>
      <c r="H12" s="48"/>
      <c r="I12" s="49"/>
      <c r="J12" s="49"/>
      <c r="K12" s="49"/>
      <c r="L12" s="49"/>
      <c r="M12" s="49"/>
      <c r="N12" s="49"/>
      <c r="O12" s="49"/>
      <c r="P12" s="49"/>
    </row>
    <row r="13" spans="1:16" ht="23.25" customHeight="1" x14ac:dyDescent="0.25">
      <c r="A13" s="46" t="e">
        <f>VLOOKUP(D13,'Master Data'!A:F,2,FALSE)</f>
        <v>#N/A</v>
      </c>
      <c r="B13" s="46" t="e">
        <f>VLOOKUP(D13,'Master Data'!A:F,3,FALSE)</f>
        <v>#N/A</v>
      </c>
      <c r="C13" s="47" t="e">
        <f>VLOOKUP(D13,'Master Data'!A:F,6,FALSE)</f>
        <v>#N/A</v>
      </c>
      <c r="D13" s="30"/>
      <c r="E13" s="46"/>
      <c r="F13" s="46" t="e">
        <f>VLOOKUP(D13,'Master Data'!A:F,4,FALSE)</f>
        <v>#N/A</v>
      </c>
      <c r="G13" s="46" t="e">
        <f>VLOOKUP(D13,'Master Data'!A:F,5,FALSE)</f>
        <v>#N/A</v>
      </c>
      <c r="H13" s="48"/>
      <c r="I13" s="49"/>
      <c r="J13" s="49"/>
      <c r="K13" s="49"/>
      <c r="L13" s="49"/>
      <c r="M13" s="49"/>
      <c r="N13" s="49"/>
      <c r="O13" s="49"/>
      <c r="P13" s="49"/>
    </row>
    <row r="14" spans="1:16" ht="23.25" customHeight="1" x14ac:dyDescent="0.25">
      <c r="A14" s="46" t="e">
        <f>VLOOKUP(D14,'Master Data'!A:F,2,FALSE)</f>
        <v>#N/A</v>
      </c>
      <c r="B14" s="46" t="e">
        <f>VLOOKUP(D14,'Master Data'!A:F,3,FALSE)</f>
        <v>#N/A</v>
      </c>
      <c r="C14" s="47" t="e">
        <f>VLOOKUP(D14,'Master Data'!A:F,6,FALSE)</f>
        <v>#N/A</v>
      </c>
      <c r="D14" s="19"/>
      <c r="E14" s="46"/>
      <c r="F14" s="46" t="e">
        <f>VLOOKUP(D14,'Master Data'!A:F,4,FALSE)</f>
        <v>#N/A</v>
      </c>
      <c r="G14" s="46" t="e">
        <f>VLOOKUP(D14,'Master Data'!A:F,5,FALSE)</f>
        <v>#N/A</v>
      </c>
      <c r="H14" s="48"/>
      <c r="I14" s="49"/>
      <c r="J14" s="49"/>
      <c r="K14" s="49"/>
      <c r="L14" s="49"/>
      <c r="M14" s="49"/>
      <c r="N14" s="49"/>
      <c r="O14" s="49"/>
      <c r="P14" s="49"/>
    </row>
    <row r="15" spans="1:16" ht="23.25" customHeight="1" x14ac:dyDescent="0.25">
      <c r="A15" s="46" t="e">
        <f>VLOOKUP(D15,'Master Data'!A:F,2,FALSE)</f>
        <v>#N/A</v>
      </c>
      <c r="B15" s="46" t="e">
        <f>VLOOKUP(D15,'Master Data'!A:F,3,FALSE)</f>
        <v>#N/A</v>
      </c>
      <c r="C15" s="47" t="e">
        <f>VLOOKUP(D15,'Master Data'!A:F,6,FALSE)</f>
        <v>#N/A</v>
      </c>
      <c r="D15" s="30"/>
      <c r="E15" s="46"/>
      <c r="F15" s="46" t="e">
        <f>VLOOKUP(D15,'Master Data'!A:F,4,FALSE)</f>
        <v>#N/A</v>
      </c>
      <c r="G15" s="46" t="e">
        <f>VLOOKUP(D15,'Master Data'!A:F,5,FALSE)</f>
        <v>#N/A</v>
      </c>
      <c r="H15" s="48"/>
      <c r="I15" s="49"/>
      <c r="J15" s="49"/>
      <c r="K15" s="49"/>
      <c r="L15" s="49"/>
      <c r="M15" s="49"/>
      <c r="N15" s="49"/>
      <c r="O15" s="49"/>
      <c r="P15" s="49"/>
    </row>
    <row r="16" spans="1:16" ht="23.25" customHeight="1" x14ac:dyDescent="0.25">
      <c r="A16" s="46" t="e">
        <f>VLOOKUP(D16,'Master Data'!A:F,2,FALSE)</f>
        <v>#N/A</v>
      </c>
      <c r="B16" s="46" t="e">
        <f>VLOOKUP(D16,'Master Data'!A:F,3,FALSE)</f>
        <v>#N/A</v>
      </c>
      <c r="C16" s="47" t="e">
        <f>VLOOKUP(D16,'Master Data'!A:F,6,FALSE)</f>
        <v>#N/A</v>
      </c>
      <c r="D16" s="19"/>
      <c r="E16" s="46"/>
      <c r="F16" s="46" t="e">
        <f>VLOOKUP(D16,'Master Data'!A:F,4,FALSE)</f>
        <v>#N/A</v>
      </c>
      <c r="G16" s="46" t="e">
        <f>VLOOKUP(D16,'Master Data'!A:F,5,FALSE)</f>
        <v>#N/A</v>
      </c>
      <c r="H16" s="48"/>
      <c r="I16" s="49"/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e">
        <f>VLOOKUP(D17,'Master Data'!A:F,2,FALSE)</f>
        <v>#N/A</v>
      </c>
      <c r="B17" s="46" t="e">
        <f>VLOOKUP(D17,'Master Data'!A:F,3,FALSE)</f>
        <v>#N/A</v>
      </c>
      <c r="C17" s="47" t="e">
        <f>VLOOKUP(D17,'Master Data'!A:F,6,FALSE)</f>
        <v>#N/A</v>
      </c>
      <c r="D17" s="19"/>
      <c r="E17" s="46"/>
      <c r="F17" s="46" t="e">
        <f>VLOOKUP(D17,'Master Data'!A:F,4,FALSE)</f>
        <v>#N/A</v>
      </c>
      <c r="G17" s="46" t="e">
        <f>VLOOKUP(D17,'Master Data'!A:F,5,FALSE)</f>
        <v>#N/A</v>
      </c>
      <c r="H17" s="48"/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19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24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19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19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19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4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19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53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19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Data'!A:F,5,FALSE)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/>
      <c r="B32" s="31"/>
      <c r="C32" s="50"/>
      <c r="D32" s="31"/>
      <c r="E32" s="31"/>
      <c r="F32" s="31"/>
      <c r="G32" s="51" t="s">
        <v>11290</v>
      </c>
      <c r="H32" s="51">
        <f>SUM(H7:H31)</f>
        <v>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51" priority="1" operator="equal">
      <formula>0</formula>
    </cfRule>
    <cfRule type="expression" dxfId="50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BE4D5"/>
  </sheetPr>
  <dimension ref="A1:P1001"/>
  <sheetViews>
    <sheetView view="pageLayout" topLeftCell="A8" zoomScale="115" zoomScaleNormal="100" zoomScalePageLayoutView="115" workbookViewId="0">
      <selection activeCell="P28" sqref="P2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11292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11652</v>
      </c>
      <c r="C3" s="8"/>
      <c r="D3" s="41" t="s">
        <v>11276</v>
      </c>
      <c r="E3" s="8" t="s">
        <v>11303</v>
      </c>
      <c r="F3" s="8"/>
      <c r="G3" s="41" t="s">
        <v>11278</v>
      </c>
      <c r="H3" s="8" t="s">
        <v>11308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Valentin</v>
      </c>
      <c r="B7" s="46" t="str">
        <f>VLOOKUP(D7,'Master Data'!A:F,3,FALSE)</f>
        <v>Alvarellos</v>
      </c>
      <c r="C7" s="47" t="str">
        <f>VLOOKUP(D7,'Master Data'!A:F,6,FALSE)</f>
        <v>valentinbetesh97@gmail.com</v>
      </c>
      <c r="D7" s="19" t="s">
        <v>11761</v>
      </c>
      <c r="E7" s="46"/>
      <c r="F7" s="46" t="str">
        <f>VLOOKUP(D7,'Master Data'!A:F,4,FALSE)</f>
        <v>m</v>
      </c>
      <c r="G7" s="46" t="str">
        <f>VLOOKUP(D7,'Master Data'!A:F,5,FALSE)</f>
        <v>Normal</v>
      </c>
      <c r="H7" s="103">
        <v>150</v>
      </c>
      <c r="I7" s="49" t="s">
        <v>11760</v>
      </c>
      <c r="J7" s="49" t="s">
        <v>11760</v>
      </c>
      <c r="K7" s="49" t="s">
        <v>11941</v>
      </c>
      <c r="L7" s="49"/>
      <c r="M7" s="49" t="s">
        <v>11941</v>
      </c>
      <c r="N7" s="49"/>
      <c r="O7" s="49"/>
      <c r="P7" s="49"/>
    </row>
    <row r="8" spans="1:16" ht="23.25" customHeight="1" x14ac:dyDescent="0.25">
      <c r="A8" s="46" t="str">
        <f>VLOOKUP(D8,'Master Data'!A:F,2,FALSE)</f>
        <v>Meral</v>
      </c>
      <c r="B8" s="46" t="str">
        <f>VLOOKUP(D8,'Master Data'!A:F,3,FALSE)</f>
        <v>Korkmaz</v>
      </c>
      <c r="C8" s="47" t="str">
        <f>VLOOKUP(D8,'Master Data'!A:F,6,FALSE)</f>
        <v>meral_kz@hotmail.com</v>
      </c>
      <c r="D8" s="34" t="s">
        <v>11770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3">
        <v>190</v>
      </c>
      <c r="I8" s="49" t="s">
        <v>11760</v>
      </c>
      <c r="J8" s="49" t="s">
        <v>11760</v>
      </c>
      <c r="K8" s="49" t="s">
        <v>11941</v>
      </c>
      <c r="L8" s="49"/>
      <c r="M8" s="49" t="s">
        <v>11941</v>
      </c>
      <c r="N8" s="49"/>
      <c r="O8" s="49"/>
      <c r="P8" s="49"/>
    </row>
    <row r="9" spans="1:16" ht="23.25" customHeight="1" x14ac:dyDescent="0.25">
      <c r="A9" s="46" t="str">
        <f>VLOOKUP(D9,'Master Data'!A:F,2,FALSE)</f>
        <v>Ràel</v>
      </c>
      <c r="B9" s="46" t="str">
        <f>VLOOKUP(D9,'Master Data'!A:F,3,FALSE)</f>
        <v>Probst</v>
      </c>
      <c r="C9" s="47" t="str">
        <f>VLOOKUP(D9,'Master Data'!A:F,6,FALSE)</f>
        <v>p.rael@hotmail.com</v>
      </c>
      <c r="D9" s="34" t="s">
        <v>11789</v>
      </c>
      <c r="E9" s="46"/>
      <c r="F9" s="46" t="str">
        <f>VLOOKUP(D9,'Master Data'!A:F,4,FALSE)</f>
        <v>w</v>
      </c>
      <c r="G9" s="46" t="str">
        <f>VLOOKUP(D9,'Master Data'!A:F,5,FALSE)</f>
        <v>Paar</v>
      </c>
      <c r="H9" s="103">
        <v>160</v>
      </c>
      <c r="I9" s="49" t="s">
        <v>11760</v>
      </c>
      <c r="J9" s="49" t="s">
        <v>11760</v>
      </c>
      <c r="K9" s="49" t="s">
        <v>11941</v>
      </c>
      <c r="L9" s="49"/>
      <c r="M9" s="49" t="s">
        <v>11941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Pascal</v>
      </c>
      <c r="B10" s="46" t="str">
        <f>VLOOKUP(D10,'Master Data'!A:F,3,FALSE)</f>
        <v>Aeschi</v>
      </c>
      <c r="C10" s="47" t="str">
        <f>VLOOKUP(D10,'Master Data'!A:F,6,FALSE)</f>
        <v>aeschi.p@gmx.ch</v>
      </c>
      <c r="D10" s="7" t="s">
        <v>11790</v>
      </c>
      <c r="E10" s="46"/>
      <c r="F10" s="46" t="str">
        <f>VLOOKUP(D10,'Master Data'!A:F,4,FALSE)</f>
        <v>m</v>
      </c>
      <c r="G10" s="46" t="str">
        <f>VLOOKUP(D10,'Master Data'!A:F,5,FALSE)</f>
        <v>Paar</v>
      </c>
      <c r="H10" s="103">
        <v>160</v>
      </c>
      <c r="I10" s="49" t="s">
        <v>11760</v>
      </c>
      <c r="J10" s="49" t="s">
        <v>11760</v>
      </c>
      <c r="K10" s="49" t="s">
        <v>11941</v>
      </c>
      <c r="L10" s="49"/>
      <c r="M10" s="49" t="s">
        <v>11941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Marvin</v>
      </c>
      <c r="B11" s="46" t="str">
        <f>VLOOKUP(D11,'Master Data'!A:F,3,FALSE)</f>
        <v>Hankel</v>
      </c>
      <c r="C11" s="47" t="str">
        <f>VLOOKUP(D11,'Master Data'!A:F,6,FALSE)</f>
        <v>marv.hankel@gmail.com</v>
      </c>
      <c r="D11" s="19" t="s">
        <v>11806</v>
      </c>
      <c r="E11" s="46" t="s">
        <v>11665</v>
      </c>
      <c r="F11" s="46" t="str">
        <f>VLOOKUP(D11,'Master Data'!A:F,4,FALSE)</f>
        <v>m</v>
      </c>
      <c r="G11" s="46" t="str">
        <f>VLOOKUP(D11,'Master Data'!A:F,5,FALSE)</f>
        <v>Normal</v>
      </c>
      <c r="H11" s="103">
        <v>285</v>
      </c>
      <c r="I11" s="49" t="s">
        <v>11760</v>
      </c>
      <c r="J11" s="49" t="s">
        <v>11760</v>
      </c>
      <c r="K11" s="49" t="s">
        <v>11754</v>
      </c>
      <c r="L11" s="49"/>
      <c r="M11" s="49" t="s">
        <v>11941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Corey</v>
      </c>
      <c r="B12" s="46" t="str">
        <f>VLOOKUP(D12,'Master Data'!A:F,3,FALSE)</f>
        <v>Rigley</v>
      </c>
      <c r="C12" s="47" t="str">
        <f>VLOOKUP(D12,'Master Data'!A:F,6,FALSE)</f>
        <v>coreyrigley@gmail.com</v>
      </c>
      <c r="D12" s="19" t="s">
        <v>12090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3">
        <v>190</v>
      </c>
      <c r="I12" s="49" t="s">
        <v>11760</v>
      </c>
      <c r="J12" s="49" t="s">
        <v>11760</v>
      </c>
      <c r="K12" s="49" t="s">
        <v>11941</v>
      </c>
      <c r="L12" s="49"/>
      <c r="M12" s="49" t="s">
        <v>11941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Martina</v>
      </c>
      <c r="B13" s="46" t="str">
        <f>VLOOKUP(D13,'Master Data'!A:F,3,FALSE)</f>
        <v>Veider Hochfilzer</v>
      </c>
      <c r="C13" s="47" t="str">
        <f>VLOOKUP(D13,'Master Data'!A:F,6,FALSE)</f>
        <v>veider@veider.com</v>
      </c>
      <c r="D13" s="34" t="s">
        <v>11864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3">
        <v>190</v>
      </c>
      <c r="I13" s="49" t="s">
        <v>11760</v>
      </c>
      <c r="J13" s="49" t="s">
        <v>11760</v>
      </c>
      <c r="K13" s="49" t="s">
        <v>11941</v>
      </c>
      <c r="L13" s="49"/>
      <c r="M13" s="49" t="s">
        <v>11941</v>
      </c>
      <c r="N13" s="49"/>
      <c r="O13" s="49" t="s">
        <v>11754</v>
      </c>
      <c r="P13" s="49"/>
    </row>
    <row r="14" spans="1:16" ht="23.25" customHeight="1" x14ac:dyDescent="0.25">
      <c r="A14" s="46" t="str">
        <f>VLOOKUP(D14,'Master Data'!A:F,2,FALSE)</f>
        <v>Thomas</v>
      </c>
      <c r="B14" s="46" t="str">
        <f>VLOOKUP(D14,'Master Data'!A:F,3,FALSE)</f>
        <v>Studer</v>
      </c>
      <c r="C14" s="47" t="str">
        <f>VLOOKUP(D14,'Master Data'!A:F,6,FALSE)</f>
        <v>th.studer@gmail.com</v>
      </c>
      <c r="D14" s="34" t="s">
        <v>11873</v>
      </c>
      <c r="E14" s="46"/>
      <c r="F14" s="46" t="str">
        <f>VLOOKUP(D14,'Master Data'!A:F,4,FALSE)</f>
        <v>m</v>
      </c>
      <c r="G14" s="46" t="str">
        <f>VLOOKUP(D14,'Master Data'!A:F,5,FALSE)</f>
        <v>Normal</v>
      </c>
      <c r="H14" s="103">
        <v>190</v>
      </c>
      <c r="I14" s="49" t="s">
        <v>11760</v>
      </c>
      <c r="J14" s="49" t="s">
        <v>11754</v>
      </c>
      <c r="K14" s="49" t="s">
        <v>11941</v>
      </c>
      <c r="L14" s="49"/>
      <c r="M14" s="49" t="s">
        <v>11941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>Doris</v>
      </c>
      <c r="B15" s="46" t="str">
        <f>VLOOKUP(D15,'Master Data'!A:F,3,FALSE)</f>
        <v>Aznar</v>
      </c>
      <c r="C15" s="47" t="str">
        <f>VLOOKUP(D15,'Master Data'!A:F,6,FALSE)</f>
        <v>doris_aznar@hotmail.com</v>
      </c>
      <c r="D15" s="19" t="s">
        <v>8091</v>
      </c>
      <c r="E15" s="46" t="s">
        <v>11884</v>
      </c>
      <c r="F15" s="46" t="s">
        <v>3163</v>
      </c>
      <c r="G15" s="46" t="str">
        <f>VLOOKUP(D15,'Master Data'!A:F,5,FALSE)</f>
        <v>Normal</v>
      </c>
      <c r="H15" s="103"/>
      <c r="I15" s="49" t="s">
        <v>11760</v>
      </c>
      <c r="J15" s="49" t="s">
        <v>11760</v>
      </c>
      <c r="K15" s="49" t="s">
        <v>11941</v>
      </c>
      <c r="L15" s="49"/>
      <c r="M15" s="49" t="s">
        <v>11941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Cristian</v>
      </c>
      <c r="B16" s="46" t="str">
        <f>VLOOKUP(D16,'Master Data'!A:F,3,FALSE)</f>
        <v>Aznar</v>
      </c>
      <c r="C16" s="47" t="str">
        <f>VLOOKUP(D16,'Master Data'!A:F,6,FALSE)</f>
        <v>krisy84@hotmail.com</v>
      </c>
      <c r="D16" s="19" t="s">
        <v>11885</v>
      </c>
      <c r="E16" s="46"/>
      <c r="F16" s="46" t="str">
        <f>VLOOKUP(D16,'Master Data'!A:F,4,FALSE)</f>
        <v>m</v>
      </c>
      <c r="G16" s="46" t="str">
        <f>VLOOKUP(D16,'Master Data'!A:F,5,FALSE)</f>
        <v>Normal</v>
      </c>
      <c r="H16" s="106">
        <v>190</v>
      </c>
      <c r="I16" s="49" t="s">
        <v>11760</v>
      </c>
      <c r="J16" s="49" t="s">
        <v>11760</v>
      </c>
      <c r="K16" s="49" t="s">
        <v>11941</v>
      </c>
      <c r="L16" s="49"/>
      <c r="M16" s="49" t="s">
        <v>11941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Bülent</v>
      </c>
      <c r="B17" s="46" t="str">
        <f>VLOOKUP(D17,'Master Data'!A:F,3,FALSE)</f>
        <v>Ekinci</v>
      </c>
      <c r="C17" s="47" t="str">
        <f>VLOOKUP(D17,'Master Data'!A:F,6,FALSE)</f>
        <v>buelentekinci24@gamil.com</v>
      </c>
      <c r="D17" s="67" t="s">
        <v>11955</v>
      </c>
      <c r="E17" s="46" t="s">
        <v>11298</v>
      </c>
      <c r="F17" s="46" t="str">
        <f>VLOOKUP(D17,'Master Data'!A:F,4,FALSE)</f>
        <v>m</v>
      </c>
      <c r="G17" s="46" t="str">
        <f>VLOOKUP(D17,'Master Data'!A:F,5,FALSE)</f>
        <v>Normal</v>
      </c>
      <c r="H17" s="103"/>
      <c r="I17" s="49" t="s">
        <v>11760</v>
      </c>
      <c r="J17" s="49" t="s">
        <v>11760</v>
      </c>
      <c r="K17" s="49" t="s">
        <v>11941</v>
      </c>
      <c r="L17" s="49"/>
      <c r="M17" s="49" t="s">
        <v>11941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Anastasia</v>
      </c>
      <c r="B18" s="46" t="str">
        <f>VLOOKUP(D18,'Master Data'!A:F,3,FALSE)</f>
        <v>Zeugin</v>
      </c>
      <c r="C18" s="47" t="str">
        <f>VLOOKUP(D18,'Master Data'!A:F,6,FALSE)</f>
        <v>a.zeugin@gmx.ch</v>
      </c>
      <c r="D18" s="30" t="s">
        <v>11960</v>
      </c>
      <c r="E18" s="46"/>
      <c r="F18" s="46" t="str">
        <f>VLOOKUP(D18,'Master Data'!A:F,4,FALSE)</f>
        <v>w</v>
      </c>
      <c r="G18" s="46" t="str">
        <f>VLOOKUP(D18,'Master Data'!A:F,5,FALSE)</f>
        <v>Paar</v>
      </c>
      <c r="H18" s="103">
        <v>160</v>
      </c>
      <c r="I18" s="49" t="s">
        <v>11760</v>
      </c>
      <c r="J18" s="49" t="s">
        <v>11760</v>
      </c>
      <c r="K18" s="49" t="s">
        <v>11941</v>
      </c>
      <c r="L18" s="49"/>
      <c r="M18" s="49" t="s">
        <v>11941</v>
      </c>
      <c r="N18" s="49"/>
      <c r="O18" s="49"/>
      <c r="P18" s="49"/>
    </row>
    <row r="19" spans="1:16" ht="23.25" customHeight="1" x14ac:dyDescent="0.25">
      <c r="A19" s="46" t="str">
        <f>VLOOKUP(D19,'Master Data'!A:F,2,FALSE)</f>
        <v>Sassoundine</v>
      </c>
      <c r="B19" s="46" t="str">
        <f>VLOOKUP(D19,'Master Data'!A:F,3,FALSE)</f>
        <v>Sibabi</v>
      </c>
      <c r="C19" s="47">
        <f>VLOOKUP(D19,'Master Data'!A:F,6,FALSE)</f>
        <v>0</v>
      </c>
      <c r="D19" s="30" t="s">
        <v>11961</v>
      </c>
      <c r="E19" s="46"/>
      <c r="F19" s="46" t="str">
        <f>VLOOKUP(D19,'Master Data'!A:F,4,FALSE)</f>
        <v>m</v>
      </c>
      <c r="G19" s="46" t="str">
        <f>VLOOKUP(D19,'Master Data'!A:F,5,FALSE)</f>
        <v>Paar</v>
      </c>
      <c r="H19" s="103">
        <v>160</v>
      </c>
      <c r="I19" s="49" t="s">
        <v>11760</v>
      </c>
      <c r="J19" s="49" t="s">
        <v>11760</v>
      </c>
      <c r="K19" s="49" t="s">
        <v>11941</v>
      </c>
      <c r="L19" s="49"/>
      <c r="M19" s="49" t="s">
        <v>11941</v>
      </c>
      <c r="N19" s="49"/>
      <c r="O19" s="49" t="s">
        <v>11754</v>
      </c>
      <c r="P19" s="49" t="s">
        <v>11754</v>
      </c>
    </row>
    <row r="20" spans="1:16" ht="23.25" customHeight="1" x14ac:dyDescent="0.25">
      <c r="A20" s="46" t="str">
        <f>VLOOKUP(D20,'Master Data'!A:F,2,FALSE)</f>
        <v>Madlen</v>
      </c>
      <c r="B20" s="46" t="str">
        <f>VLOOKUP(D20,'Master Data'!A:F,3,FALSE)</f>
        <v>Holzer</v>
      </c>
      <c r="C20" s="47" t="str">
        <f>VLOOKUP(D20,'Master Data'!A:F,6,FALSE)</f>
        <v>madlen_holzer@hotmail.com</v>
      </c>
      <c r="D20" s="30" t="s">
        <v>12026</v>
      </c>
      <c r="E20" s="46" t="s">
        <v>12031</v>
      </c>
      <c r="F20" s="46" t="str">
        <f>VLOOKUP(D20,'Master Data'!A:F,4,FALSE)</f>
        <v>w</v>
      </c>
      <c r="G20" s="46" t="str">
        <f>VLOOKUP(D20,'Master Data'!A:F,5,FALSE)</f>
        <v>Normal</v>
      </c>
      <c r="H20" s="106">
        <v>160</v>
      </c>
      <c r="I20" s="49" t="s">
        <v>11754</v>
      </c>
      <c r="J20" s="49" t="s">
        <v>11760</v>
      </c>
      <c r="K20" s="49" t="s">
        <v>11754</v>
      </c>
      <c r="L20" s="49"/>
      <c r="M20" s="49" t="s">
        <v>11941</v>
      </c>
      <c r="N20" s="49"/>
      <c r="O20" s="49"/>
      <c r="P20" s="49"/>
    </row>
    <row r="21" spans="1:16" ht="23.25" customHeight="1" x14ac:dyDescent="0.25">
      <c r="A21" s="46" t="str">
        <f>VLOOKUP(D21,'Master Data'!A:F,2,FALSE)</f>
        <v>Bianca</v>
      </c>
      <c r="B21" s="46" t="str">
        <f>VLOOKUP(D21,'Master Data'!A:F,3,FALSE)</f>
        <v>Heidersdorf</v>
      </c>
      <c r="C21" s="47" t="str">
        <f>VLOOKUP(D21,'Master Data'!A:F,6,FALSE)</f>
        <v>biancah._@web.de</v>
      </c>
      <c r="D21" s="30" t="s">
        <v>11971</v>
      </c>
      <c r="E21" s="46"/>
      <c r="F21" s="46" t="str">
        <f>VLOOKUP(D21,'Master Data'!A:F,4,FALSE)</f>
        <v>w</v>
      </c>
      <c r="G21" s="46" t="str">
        <f>VLOOKUP(D21,'Master Data'!A:F,5,FALSE)</f>
        <v>Paar</v>
      </c>
      <c r="H21" s="103">
        <v>160</v>
      </c>
      <c r="I21" s="49" t="s">
        <v>11760</v>
      </c>
      <c r="J21" s="49" t="s">
        <v>11760</v>
      </c>
      <c r="K21" s="49" t="s">
        <v>11941</v>
      </c>
      <c r="L21" s="49"/>
      <c r="M21" s="49" t="s">
        <v>11941</v>
      </c>
      <c r="N21" s="49"/>
      <c r="O21" s="49" t="s">
        <v>11754</v>
      </c>
      <c r="P21" s="49"/>
    </row>
    <row r="22" spans="1:16" ht="23.25" customHeight="1" x14ac:dyDescent="0.25">
      <c r="A22" s="46" t="str">
        <f>VLOOKUP(D22,'Master Data'!A:F,2,FALSE)</f>
        <v>Adrian</v>
      </c>
      <c r="B22" s="46" t="str">
        <f>VLOOKUP(D22,'Master Data'!A:F,3,FALSE)</f>
        <v>Brumann</v>
      </c>
      <c r="C22" s="47" t="str">
        <f>VLOOKUP(D22,'Master Data'!A:F,6,FALSE)</f>
        <v>brumanski@hotmail.com</v>
      </c>
      <c r="D22" s="30" t="s">
        <v>11972</v>
      </c>
      <c r="E22" s="46"/>
      <c r="F22" s="46" t="str">
        <f>VLOOKUP(D22,'Master Data'!A:F,4,FALSE)</f>
        <v>m</v>
      </c>
      <c r="G22" s="46" t="str">
        <f>VLOOKUP(D22,'Master Data'!A:F,5,FALSE)</f>
        <v>Paar</v>
      </c>
      <c r="H22" s="103">
        <v>160</v>
      </c>
      <c r="I22" s="49" t="s">
        <v>11760</v>
      </c>
      <c r="J22" s="49" t="s">
        <v>11760</v>
      </c>
      <c r="K22" s="49" t="s">
        <v>11941</v>
      </c>
      <c r="L22" s="49"/>
      <c r="M22" s="49" t="s">
        <v>11941</v>
      </c>
      <c r="N22" s="49"/>
      <c r="O22" s="49" t="s">
        <v>11754</v>
      </c>
      <c r="P22" s="49"/>
    </row>
    <row r="23" spans="1:16" ht="23.25" customHeight="1" x14ac:dyDescent="0.25">
      <c r="A23" s="46" t="str">
        <f>VLOOKUP(D23,'Master Data'!A:F,2,FALSE)</f>
        <v>Salome</v>
      </c>
      <c r="B23" s="46" t="str">
        <f>VLOOKUP(D23,'Master Data'!A:F,3,FALSE)</f>
        <v>Amstutz</v>
      </c>
      <c r="C23" s="47" t="str">
        <f>VLOOKUP(D23,'Master Data'!A:F,6,FALSE)</f>
        <v>salome.amstutz@gmail.com</v>
      </c>
      <c r="D23" s="30" t="s">
        <v>11978</v>
      </c>
      <c r="E23" s="46"/>
      <c r="F23" s="46" t="str">
        <f>VLOOKUP(D23,'Master Data'!A:F,4,FALSE)</f>
        <v>w</v>
      </c>
      <c r="G23" s="46" t="str">
        <f>VLOOKUP(D23,'Master Data'!A:F,5,FALSE)</f>
        <v>Paar</v>
      </c>
      <c r="H23" s="103">
        <v>110</v>
      </c>
      <c r="I23" s="49" t="s">
        <v>11760</v>
      </c>
      <c r="J23" s="49" t="s">
        <v>11760</v>
      </c>
      <c r="K23" s="49" t="s">
        <v>11941</v>
      </c>
      <c r="L23" s="49" t="s">
        <v>11754</v>
      </c>
      <c r="M23" s="49" t="s">
        <v>11754</v>
      </c>
      <c r="N23" s="49" t="s">
        <v>11754</v>
      </c>
      <c r="O23" s="49" t="s">
        <v>11754</v>
      </c>
      <c r="P23" s="49"/>
    </row>
    <row r="24" spans="1:16" ht="23.25" customHeight="1" x14ac:dyDescent="0.25">
      <c r="A24" s="46" t="str">
        <f>VLOOKUP(D24,'Master Data'!A:F,2,FALSE)</f>
        <v>Cédric</v>
      </c>
      <c r="B24" s="46" t="str">
        <f>VLOOKUP(D24,'Master Data'!A:F,3,FALSE)</f>
        <v>Sidler</v>
      </c>
      <c r="C24" s="47" t="str">
        <f>VLOOKUP(D24,'Master Data'!A:F,6,FALSE)</f>
        <v>c.sidler@hotmail.com</v>
      </c>
      <c r="D24" s="30" t="s">
        <v>11979</v>
      </c>
      <c r="E24" s="46"/>
      <c r="F24" s="46" t="str">
        <f>VLOOKUP(D24,'Master Data'!A:F,4,FALSE)</f>
        <v>m</v>
      </c>
      <c r="G24" s="46" t="str">
        <f>VLOOKUP(D24,'Master Data'!A:F,5,FALSE)</f>
        <v>Paar</v>
      </c>
      <c r="H24" s="103">
        <v>110</v>
      </c>
      <c r="I24" s="49" t="s">
        <v>11760</v>
      </c>
      <c r="J24" s="49" t="s">
        <v>11760</v>
      </c>
      <c r="K24" s="49" t="s">
        <v>11941</v>
      </c>
      <c r="L24" s="49" t="s">
        <v>11754</v>
      </c>
      <c r="M24" s="49" t="s">
        <v>11754</v>
      </c>
      <c r="N24" s="49" t="s">
        <v>11754</v>
      </c>
      <c r="O24" s="49" t="s">
        <v>11754</v>
      </c>
      <c r="P24" s="49"/>
    </row>
    <row r="25" spans="1:16" ht="23.25" customHeight="1" x14ac:dyDescent="0.25">
      <c r="A25" s="46" t="str">
        <f>VLOOKUP(D25,'Master Data'!A:F,2,FALSE)</f>
        <v>Ana</v>
      </c>
      <c r="B25" s="46" t="str">
        <f>VLOOKUP(D25,'Master Data'!A:F,3,FALSE)</f>
        <v>Cruz</v>
      </c>
      <c r="C25" s="47" t="str">
        <f>VLOOKUP(D25,'Master Data'!A:F,6,FALSE)</f>
        <v>ag-more@live.com.pt</v>
      </c>
      <c r="D25" s="30" t="s">
        <v>11032</v>
      </c>
      <c r="E25" s="46"/>
      <c r="F25" s="46" t="str">
        <f>VLOOKUP(D25,'Master Data'!A:F,4,FALSE)</f>
        <v>w</v>
      </c>
      <c r="G25" s="46" t="str">
        <f>VLOOKUP(D25,'Master Data'!A:F,5,FALSE)</f>
        <v>Normal</v>
      </c>
      <c r="H25" s="103">
        <v>190</v>
      </c>
      <c r="I25" s="49"/>
      <c r="J25" s="49" t="s">
        <v>11760</v>
      </c>
      <c r="K25" s="49" t="s">
        <v>11941</v>
      </c>
      <c r="L25" s="49"/>
      <c r="M25" s="49" t="s">
        <v>11941</v>
      </c>
      <c r="N25" s="49"/>
      <c r="O25" s="49"/>
      <c r="P25" s="49"/>
    </row>
    <row r="26" spans="1:16" ht="23.25" customHeight="1" x14ac:dyDescent="0.25">
      <c r="A26" s="46" t="str">
        <f>VLOOKUP(D26,'Master Data'!A:F,2,FALSE)</f>
        <v>Silvan</v>
      </c>
      <c r="B26" s="46" t="str">
        <f>VLOOKUP(D26,'Master Data'!A:F,3,FALSE)</f>
        <v>Irniger</v>
      </c>
      <c r="C26" s="47" t="str">
        <f>VLOOKUP(D26,'Master Data'!A:F,6,FALSE)</f>
        <v>silvanirniger@gmail.com</v>
      </c>
      <c r="D26" s="30" t="s">
        <v>11823</v>
      </c>
      <c r="E26" s="46"/>
      <c r="F26" s="46" t="str">
        <f>VLOOKUP(D26,'Master Data'!A:F,4,FALSE)</f>
        <v>m</v>
      </c>
      <c r="G26" s="46" t="str">
        <f>VLOOKUP(D26,'Master Data'!A:F,5,FALSE)</f>
        <v>Paar</v>
      </c>
      <c r="H26" s="103">
        <v>100</v>
      </c>
      <c r="I26" s="49" t="s">
        <v>11754</v>
      </c>
      <c r="J26" s="49" t="s">
        <v>11754</v>
      </c>
      <c r="K26" s="49" t="s">
        <v>11941</v>
      </c>
      <c r="L26" s="49"/>
      <c r="M26" s="49" t="s">
        <v>11941</v>
      </c>
      <c r="N26" s="49"/>
      <c r="O26" s="49"/>
      <c r="P26" s="49"/>
    </row>
    <row r="27" spans="1:16" ht="23.25" customHeight="1" x14ac:dyDescent="0.25">
      <c r="A27" s="46" t="str">
        <f>VLOOKUP(D27,'Master Data'!A:F,2,FALSE)</f>
        <v>Nadzeya</v>
      </c>
      <c r="B27" s="46" t="str">
        <f>VLOOKUP(D27,'Master Data'!A:F,3,FALSE)</f>
        <v>Kurzava</v>
      </c>
      <c r="C27" s="47" t="str">
        <f>VLOOKUP(D27,'Master Data'!A:F,6,FALSE)</f>
        <v>nadzeya.kurzava@gmail.com</v>
      </c>
      <c r="D27" s="30" t="s">
        <v>11824</v>
      </c>
      <c r="E27" s="46"/>
      <c r="F27" s="46" t="str">
        <f>VLOOKUP(D27,'Master Data'!A:F,4,FALSE)</f>
        <v>w</v>
      </c>
      <c r="G27" s="46" t="str">
        <f>VLOOKUP(D27,'Master Data'!A:F,5,FALSE)</f>
        <v>Paar</v>
      </c>
      <c r="H27" s="103">
        <v>100</v>
      </c>
      <c r="I27" s="49" t="s">
        <v>11754</v>
      </c>
      <c r="J27" s="49" t="s">
        <v>11754</v>
      </c>
      <c r="K27" s="49" t="s">
        <v>11941</v>
      </c>
      <c r="L27" s="49"/>
      <c r="M27" s="49" t="s">
        <v>11941</v>
      </c>
      <c r="N27" s="49"/>
      <c r="O27" s="49"/>
      <c r="P27" s="49"/>
    </row>
    <row r="28" spans="1:16" ht="23.25" customHeight="1" x14ac:dyDescent="0.25">
      <c r="A28" s="46" t="str">
        <f>VLOOKUP(D28,'Master Data'!A:F,2,FALSE)</f>
        <v xml:space="preserve">Isabel </v>
      </c>
      <c r="B28" s="46" t="str">
        <f>VLOOKUP(D28,'Master Data'!A:F,3,FALSE)</f>
        <v>Garcia</v>
      </c>
      <c r="C28" s="47">
        <f>VLOOKUP(D28,'Master Data'!A:F,6,FALSE)</f>
        <v>0</v>
      </c>
      <c r="D28" s="34" t="s">
        <v>7392</v>
      </c>
      <c r="E28" s="46"/>
      <c r="F28" s="46" t="s">
        <v>3163</v>
      </c>
      <c r="G28" s="46" t="str">
        <f>VLOOKUP(D28,'Master Data'!A:F,5,FALSE)</f>
        <v>Pushflow</v>
      </c>
      <c r="H28" s="103"/>
      <c r="I28" s="49"/>
      <c r="J28" s="49"/>
      <c r="K28" s="49"/>
      <c r="L28" s="49"/>
      <c r="M28" s="49"/>
      <c r="N28" s="49"/>
      <c r="O28" s="49" t="s">
        <v>11754</v>
      </c>
      <c r="P28" s="49" t="s">
        <v>11754</v>
      </c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4"/>
      <c r="E29" s="30"/>
      <c r="F29" s="46"/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3.25" customHeight="1" x14ac:dyDescent="0.25">
      <c r="A32" s="46" t="e">
        <f>VLOOKUP(D32,'Master Data'!A:F,2,FALSE)</f>
        <v>#N/A</v>
      </c>
      <c r="B32" s="46" t="e">
        <f>VLOOKUP(D32,'Master Data'!A:F,3,FALSE)</f>
        <v>#N/A</v>
      </c>
      <c r="C32" s="47" t="e">
        <f>VLOOKUP(D32,'Master Data'!A:F,6,FALSE)</f>
        <v>#N/A</v>
      </c>
      <c r="D32" s="34"/>
      <c r="E32" s="30"/>
      <c r="F32" s="46" t="e">
        <f>VLOOKUP(D32,'Master Data'!A:F,4,FALSE)</f>
        <v>#N/A</v>
      </c>
      <c r="G32" s="46" t="e">
        <f>VLOOKUP(D32,'Master Data'!A:F,5,FALSE)</f>
        <v>#N/A</v>
      </c>
      <c r="H32" s="48"/>
      <c r="I32" s="49"/>
      <c r="J32" s="49"/>
      <c r="K32" s="49"/>
      <c r="L32" s="49"/>
      <c r="M32" s="49"/>
      <c r="N32" s="49"/>
      <c r="O32" s="49"/>
      <c r="P32" s="49"/>
    </row>
    <row r="33" spans="1:16" ht="20.25" customHeight="1" x14ac:dyDescent="0.25">
      <c r="A33" s="31" t="e">
        <f>VLOOKUP(D33,'Master Data'!A:F,2,FALSE)</f>
        <v>#N/A</v>
      </c>
      <c r="B33" s="31" t="e">
        <f>VLOOKUP(D33,'Master Data'!A:F,3,FALSE)</f>
        <v>#N/A</v>
      </c>
      <c r="C33" s="50" t="e">
        <f>VLOOKUP(D33,'Master Data'!A:F,5,FALSE)</f>
        <v>#N/A</v>
      </c>
      <c r="D33" s="31"/>
      <c r="E33" s="31"/>
      <c r="F33" s="31"/>
      <c r="G33" s="51" t="s">
        <v>11290</v>
      </c>
      <c r="H33" s="51">
        <f>SUM(H7:H32)</f>
        <v>3115</v>
      </c>
      <c r="I33" s="31"/>
      <c r="J33" s="31"/>
      <c r="K33" s="31"/>
      <c r="L33" s="31"/>
      <c r="M33" s="31"/>
      <c r="N33" s="31"/>
      <c r="O33" s="31"/>
      <c r="P33" s="31"/>
    </row>
    <row r="34" spans="1:16" ht="15.75" customHeight="1" x14ac:dyDescent="0.25"/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I6:P6"/>
  </mergeCells>
  <conditionalFormatting sqref="F7:G32 A7:C33">
    <cfRule type="cellIs" dxfId="49" priority="1" operator="equal">
      <formula>0</formula>
    </cfRule>
    <cfRule type="expression" dxfId="48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
 Aeschenvorstadt 67, 4051 Basel&amp;CSebastian - Tel. 076 218 21 98 Fabio - Tel. 076 478 84 11&amp;Rinfo@salsaflow-dc.com www.salsaflow-dc.com</oddFooter>
  </headerFooter>
  <rowBreaks count="1" manualBreakCount="1">
    <brk id="32" man="1"/>
  </rowBreaks>
  <colBreaks count="1" manualBreakCount="1">
    <brk id="16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BE4D5"/>
  </sheetPr>
  <dimension ref="A1:P1002"/>
  <sheetViews>
    <sheetView view="pageLayout" zoomScaleNormal="100" workbookViewId="0">
      <selection activeCell="D18" sqref="D1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11304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11652</v>
      </c>
      <c r="C3" s="8"/>
      <c r="D3" s="41" t="s">
        <v>11276</v>
      </c>
      <c r="E3" s="8" t="s">
        <v>11303</v>
      </c>
      <c r="F3" s="8"/>
      <c r="G3" s="41" t="s">
        <v>11278</v>
      </c>
      <c r="H3" s="8" t="s">
        <v>553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Julia</v>
      </c>
      <c r="B7" s="46" t="str">
        <f>VLOOKUP(D7,'Master Data'!A:F,3,FALSE)</f>
        <v>Ritter</v>
      </c>
      <c r="C7" s="47" t="str">
        <f>VLOOKUP(D7,'Master Data'!A:F,6,FALSE)</f>
        <v>julia_schlachter@gmx.ch</v>
      </c>
      <c r="D7" s="30" t="s">
        <v>6913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3">
        <v>30</v>
      </c>
      <c r="I7" s="49" t="s">
        <v>11760</v>
      </c>
      <c r="J7" s="49"/>
      <c r="K7" s="49"/>
      <c r="L7" s="49"/>
      <c r="M7" s="49" t="s">
        <v>11754</v>
      </c>
      <c r="N7" s="49"/>
      <c r="O7" s="49"/>
      <c r="P7" s="49"/>
    </row>
    <row r="8" spans="1:16" ht="23.25" customHeight="1" x14ac:dyDescent="0.25">
      <c r="A8" s="46" t="str">
        <f>VLOOKUP(D8,'Master Data'!A:F,2,FALSE)</f>
        <v>Iryna</v>
      </c>
      <c r="B8" s="46" t="str">
        <f>VLOOKUP(D8,'Master Data'!A:F,3,FALSE)</f>
        <v>Marrini</v>
      </c>
      <c r="C8" s="47" t="str">
        <f>VLOOKUP(D8,'Master Data'!A:F,6,FALSE)</f>
        <v>iryna@marrini.com</v>
      </c>
      <c r="D8" s="34" t="s">
        <v>8791</v>
      </c>
      <c r="E8" s="46" t="s">
        <v>11298</v>
      </c>
      <c r="F8" s="46" t="str">
        <f>VLOOKUP(D8,'Master Data'!A:F,4,FALSE)</f>
        <v>w</v>
      </c>
      <c r="G8" s="46" t="str">
        <f>VLOOKUP(D8,'Master Data'!A:F,5,FALSE)</f>
        <v>Normal</v>
      </c>
      <c r="H8" s="103"/>
      <c r="I8" s="49"/>
      <c r="J8" s="49"/>
      <c r="K8" s="49"/>
      <c r="L8" s="49"/>
      <c r="M8" s="49" t="s">
        <v>11760</v>
      </c>
      <c r="N8" s="49"/>
      <c r="O8" s="49"/>
      <c r="P8" s="49"/>
    </row>
    <row r="9" spans="1:16" ht="23.25" customHeight="1" x14ac:dyDescent="0.25">
      <c r="A9" s="46" t="str">
        <f>VLOOKUP(D9,'Master Data'!A:F,2,FALSE)</f>
        <v>Alexandra</v>
      </c>
      <c r="B9" s="46" t="str">
        <f>VLOOKUP(D9,'Master Data'!A:F,3,FALSE)</f>
        <v>Meier</v>
      </c>
      <c r="C9" s="47" t="str">
        <f>VLOOKUP(D9,'Master Data'!A:F,6,FALSE)</f>
        <v>alexandra.meier@unibas.ch</v>
      </c>
      <c r="D9" s="30" t="s">
        <v>5980</v>
      </c>
      <c r="E9" s="46" t="s">
        <v>1359</v>
      </c>
      <c r="F9" s="46" t="str">
        <f>VLOOKUP(D9,'Master Data'!A:F,4,FALSE)</f>
        <v>w</v>
      </c>
      <c r="G9" s="46" t="str">
        <f>VLOOKUP(D9,'Master Data'!A:F,5,FALSE)</f>
        <v>Paar</v>
      </c>
      <c r="H9" s="103"/>
      <c r="I9" s="49" t="s">
        <v>11760</v>
      </c>
      <c r="J9" s="49"/>
      <c r="K9" s="49"/>
      <c r="L9" s="49"/>
      <c r="M9" s="49" t="s">
        <v>11754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Jo</v>
      </c>
      <c r="B10" s="46" t="str">
        <f>VLOOKUP(D10,'Master Data'!A:F,3,FALSE)</f>
        <v>Storrar</v>
      </c>
      <c r="C10" s="47" t="str">
        <f>VLOOKUP(D10,'Master Data'!A:F,6,FALSE)</f>
        <v>joanne_storrar@hotmail.com</v>
      </c>
      <c r="D10" s="30" t="s">
        <v>6679</v>
      </c>
      <c r="E10" s="46"/>
      <c r="F10" s="46" t="str">
        <f>VLOOKUP(D10,'Master Data'!A:F,4,FALSE)</f>
        <v>w</v>
      </c>
      <c r="G10" s="46" t="str">
        <f>VLOOKUP(D10,'Master Data'!A:F,5,FALSE)</f>
        <v>Pushflow</v>
      </c>
      <c r="H10" s="103"/>
      <c r="I10" s="49" t="s">
        <v>11760</v>
      </c>
      <c r="J10" s="49"/>
      <c r="K10" s="49"/>
      <c r="L10" s="49"/>
      <c r="M10" s="49" t="s">
        <v>11754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Rita</v>
      </c>
      <c r="B11" s="46" t="str">
        <f>VLOOKUP(D11,'Master Data'!A:F,3,FALSE)</f>
        <v>Gonzalez</v>
      </c>
      <c r="C11" s="47" t="str">
        <f>VLOOKUP(D11,'Master Data'!A:F,6,FALSE)</f>
        <v>ritamaria.gd@gmail.com</v>
      </c>
      <c r="D11" s="30" t="s">
        <v>8759</v>
      </c>
      <c r="E11" s="46"/>
      <c r="F11" s="46" t="str">
        <f>VLOOKUP(D11,'Master Data'!A:F,4,FALSE)</f>
        <v>w</v>
      </c>
      <c r="G11" s="46" t="str">
        <f>VLOOKUP(D11,'Master Data'!A:F,5,FALSE)</f>
        <v>Pushflow</v>
      </c>
      <c r="H11" s="103"/>
      <c r="I11" s="49" t="s">
        <v>11760</v>
      </c>
      <c r="J11" s="49"/>
      <c r="K11" s="49"/>
      <c r="L11" s="49"/>
      <c r="M11" s="49" t="s">
        <v>11754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Ali</v>
      </c>
      <c r="B12" s="46" t="str">
        <f>VLOOKUP(D12,'Master Data'!A:F,3,FALSE)</f>
        <v>Üstündag</v>
      </c>
      <c r="C12" s="47" t="str">
        <f>VLOOKUP(D12,'Master Data'!A:F,6,FALSE)</f>
        <v>ali.uestuendag@gmail.com</v>
      </c>
      <c r="D12" s="19" t="s">
        <v>8514</v>
      </c>
      <c r="E12" s="46"/>
      <c r="F12" s="46" t="str">
        <f>VLOOKUP(D12,'Master Data'!A:F,4,FALSE)</f>
        <v>m</v>
      </c>
      <c r="G12" s="46" t="str">
        <f>VLOOKUP(D12,'Master Data'!A:F,5,FALSE)</f>
        <v>Pushflow</v>
      </c>
      <c r="H12" s="103"/>
      <c r="I12" s="49" t="s">
        <v>11760</v>
      </c>
      <c r="J12" s="49"/>
      <c r="K12" s="49"/>
      <c r="L12" s="49"/>
      <c r="M12" s="49" t="s">
        <v>11754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Jenny</v>
      </c>
      <c r="B13" s="46" t="str">
        <f>VLOOKUP(D13,'Master Data'!A:F,3,FALSE)</f>
        <v>Castro</v>
      </c>
      <c r="C13" s="47" t="str">
        <f>VLOOKUP(D13,'Master Data'!A:F,6,FALSE)</f>
        <v>castro.jenny@hotmail.ch</v>
      </c>
      <c r="D13" s="19" t="s">
        <v>7183</v>
      </c>
      <c r="E13" s="46"/>
      <c r="F13" s="46" t="str">
        <f>VLOOKUP(D13,'Master Data'!A:F,4,FALSE)</f>
        <v>w</v>
      </c>
      <c r="G13" s="46" t="str">
        <f>VLOOKUP(D13,'Master Data'!A:F,5,FALSE)</f>
        <v>Pushflow</v>
      </c>
      <c r="H13" s="103"/>
      <c r="I13" s="49" t="s">
        <v>11760</v>
      </c>
      <c r="J13" s="49"/>
      <c r="K13" s="49"/>
      <c r="L13" s="49"/>
      <c r="M13" s="49" t="s">
        <v>11754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Maarten</v>
      </c>
      <c r="B14" s="46" t="str">
        <f>VLOOKUP(D14,'Master Data'!A:F,3,FALSE)</f>
        <v>De Laat</v>
      </c>
      <c r="C14" s="47" t="str">
        <f>VLOOKUP(D14,'Master Data'!A:F,6,FALSE)</f>
        <v>smaaardy@gmail.com</v>
      </c>
      <c r="D14" s="30" t="s">
        <v>5181</v>
      </c>
      <c r="E14" s="46"/>
      <c r="F14" s="46" t="str">
        <f>VLOOKUP(D14,'Master Data'!A:F,4,FALSE)</f>
        <v>m</v>
      </c>
      <c r="G14" s="46" t="str">
        <f>VLOOKUP(D14,'Master Data'!A:F,5,FALSE)</f>
        <v>Pushflow</v>
      </c>
      <c r="H14" s="103"/>
      <c r="I14" s="49" t="s">
        <v>11760</v>
      </c>
      <c r="J14" s="49"/>
      <c r="K14" s="49"/>
      <c r="L14" s="49"/>
      <c r="M14" s="49" t="s">
        <v>11754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 xml:space="preserve">Rabea </v>
      </c>
      <c r="B15" s="46" t="str">
        <f>VLOOKUP(D15,'Master Data'!A:F,3,FALSE)</f>
        <v>Widmer</v>
      </c>
      <c r="C15" s="47" t="str">
        <f>VLOOKUP(D15,'Master Data'!A:F,6,FALSE)</f>
        <v>widmerrabea@gmail.com</v>
      </c>
      <c r="D15" s="30" t="s">
        <v>6531</v>
      </c>
      <c r="E15" s="46"/>
      <c r="F15" s="46" t="str">
        <f>VLOOKUP(D15,'Master Data'!A:F,4,FALSE)</f>
        <v>w</v>
      </c>
      <c r="G15" s="46" t="str">
        <f>VLOOKUP(D15,'Master Data'!A:F,5,FALSE)</f>
        <v>Pushflow</v>
      </c>
      <c r="H15" s="103"/>
      <c r="I15" s="49" t="s">
        <v>11760</v>
      </c>
      <c r="J15" s="49"/>
      <c r="K15" s="49"/>
      <c r="L15" s="49"/>
      <c r="M15" s="49" t="s">
        <v>11754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Lena</v>
      </c>
      <c r="B16" s="46" t="str">
        <f>VLOOKUP(D16,'Master Data'!A:F,3,FALSE)</f>
        <v>Bremer</v>
      </c>
      <c r="C16" s="47" t="str">
        <f>VLOOKUP(D16,'Master Data'!A:F,6,FALSE)</f>
        <v>lena_bremer96@web.de</v>
      </c>
      <c r="D16" s="30" t="s">
        <v>8409</v>
      </c>
      <c r="E16" s="46"/>
      <c r="F16" s="46" t="str">
        <f>VLOOKUP(D16,'Master Data'!A:F,4,FALSE)</f>
        <v>w</v>
      </c>
      <c r="G16" s="46" t="str">
        <f>VLOOKUP(D16,'Master Data'!A:F,5,FALSE)</f>
        <v>Pushflow</v>
      </c>
      <c r="H16" s="103"/>
      <c r="I16" s="49" t="s">
        <v>11760</v>
      </c>
      <c r="J16" s="49"/>
      <c r="K16" s="49"/>
      <c r="L16" s="49"/>
      <c r="M16" s="49" t="s">
        <v>11754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Sarah</v>
      </c>
      <c r="B17" s="46" t="str">
        <f>VLOOKUP(D17,'Master Data'!A:F,3,FALSE)</f>
        <v>Lindenmayer</v>
      </c>
      <c r="C17" s="47" t="str">
        <f>VLOOKUP(D17,'Master Data'!A:F,6,FALSE)</f>
        <v>slindenmayer@outlook.de</v>
      </c>
      <c r="D17" s="30" t="s">
        <v>8618</v>
      </c>
      <c r="E17" s="46"/>
      <c r="F17" s="46" t="str">
        <f>VLOOKUP(D17,'Master Data'!A:F,4,FALSE)</f>
        <v>w</v>
      </c>
      <c r="G17" s="46" t="str">
        <f>VLOOKUP(D17,'Master Data'!A:F,5,FALSE)</f>
        <v>Normal</v>
      </c>
      <c r="H17" s="103">
        <v>240</v>
      </c>
      <c r="I17" s="49" t="s">
        <v>11760</v>
      </c>
      <c r="J17" s="49"/>
      <c r="K17" s="49"/>
      <c r="L17" s="49"/>
      <c r="M17" s="49" t="s">
        <v>11760</v>
      </c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34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4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4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Data'!A:F,5,FALSE)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Data'!A:F,5,FALSE)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Data'!A:F,5,FALSE)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Data'!A:F,5,FALSE)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/>
      <c r="B32" s="31"/>
      <c r="C32" s="50"/>
      <c r="D32" s="31"/>
      <c r="E32" s="31"/>
      <c r="F32" s="31"/>
      <c r="G32" s="51" t="s">
        <v>11290</v>
      </c>
      <c r="H32" s="51">
        <f>SUM(H7:H31)</f>
        <v>270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I6:P6"/>
  </mergeCells>
  <conditionalFormatting sqref="F7:G31 A7:C32">
    <cfRule type="cellIs" dxfId="47" priority="1" operator="equal">
      <formula>0</formula>
    </cfRule>
    <cfRule type="expression" dxfId="46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BE4D5"/>
  </sheetPr>
  <dimension ref="A1:P1000"/>
  <sheetViews>
    <sheetView view="pageLayout" topLeftCell="A6" zoomScaleNormal="100" workbookViewId="0">
      <selection activeCell="P9" sqref="P9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11402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>
        <v>4</v>
      </c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11652</v>
      </c>
      <c r="C3" s="8"/>
      <c r="D3" s="41" t="s">
        <v>11276</v>
      </c>
      <c r="E3" s="8" t="s">
        <v>11303</v>
      </c>
      <c r="F3" s="8"/>
      <c r="G3" s="41" t="s">
        <v>11278</v>
      </c>
      <c r="H3" s="8" t="s">
        <v>11400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Eleanor</v>
      </c>
      <c r="B7" s="46" t="str">
        <f>VLOOKUP(D7,'Master Data'!A:F,3,FALSE)</f>
        <v>Low</v>
      </c>
      <c r="C7" s="47" t="str">
        <f>VLOOKUP(D7,'Master Data'!A:F,6,FALSE)</f>
        <v>elebasel@gmail.com</v>
      </c>
      <c r="D7" s="21" t="s">
        <v>11702</v>
      </c>
      <c r="E7" s="46" t="s">
        <v>11665</v>
      </c>
      <c r="F7" s="46" t="str">
        <f>VLOOKUP(D7,'Master Data'!A:F,4,FALSE)</f>
        <v>w</v>
      </c>
      <c r="G7" s="46" t="str">
        <f>VLOOKUP(D7,'Master Data'!A:F,5,FALSE)</f>
        <v>Normal</v>
      </c>
      <c r="H7" s="103">
        <v>285</v>
      </c>
      <c r="I7" s="49" t="s">
        <v>11760</v>
      </c>
      <c r="J7" s="49"/>
      <c r="K7" s="49"/>
      <c r="L7" s="49"/>
      <c r="M7" s="49" t="s">
        <v>11760</v>
      </c>
      <c r="N7" s="49" t="s">
        <v>11754</v>
      </c>
      <c r="O7" s="49"/>
      <c r="P7" s="49"/>
    </row>
    <row r="8" spans="1:16" ht="23.25" customHeight="1" x14ac:dyDescent="0.25">
      <c r="A8" s="46" t="str">
        <f>VLOOKUP(D8,'Master Data'!A:F,2,FALSE)</f>
        <v xml:space="preserve">Daniela </v>
      </c>
      <c r="B8" s="46" t="str">
        <f>VLOOKUP(D8,'Master Data'!A:F,3,FALSE)</f>
        <v>Azzolin</v>
      </c>
      <c r="C8" s="47" t="str">
        <f>VLOOKUP(D8,'Master Data'!A:F,6,FALSE)</f>
        <v>ddschoepf@gmx.ch</v>
      </c>
      <c r="D8" s="30" t="s">
        <v>10832</v>
      </c>
      <c r="E8" s="46" t="s">
        <v>11985</v>
      </c>
      <c r="F8" s="46" t="str">
        <f>VLOOKUP(D8,'Master Data'!A:F,4,FALSE)</f>
        <v>w</v>
      </c>
      <c r="G8" s="46" t="str">
        <f>VLOOKUP(D8,'Master Data'!A:F,5,FALSE)</f>
        <v>Paar</v>
      </c>
      <c r="H8" s="103">
        <v>100</v>
      </c>
      <c r="I8" s="49" t="s">
        <v>11760</v>
      </c>
      <c r="J8" s="49" t="s">
        <v>11754</v>
      </c>
      <c r="K8" s="49" t="s">
        <v>11754</v>
      </c>
      <c r="L8" s="49"/>
      <c r="M8" s="49" t="s">
        <v>11754</v>
      </c>
      <c r="N8" s="49" t="s">
        <v>11754</v>
      </c>
      <c r="O8" s="49"/>
      <c r="P8" s="49"/>
    </row>
    <row r="9" spans="1:16" ht="23.25" customHeight="1" x14ac:dyDescent="0.25">
      <c r="A9" s="46" t="str">
        <f>VLOOKUP(D9,'Master Data'!A:F,2,FALSE)</f>
        <v>Enrique</v>
      </c>
      <c r="B9" s="46" t="str">
        <f>VLOOKUP(D9,'Master Data'!A:F,3,FALSE)</f>
        <v>Munoz</v>
      </c>
      <c r="C9" s="47" t="str">
        <f>VLOOKUP(D9,'Master Data'!A:F,6,FALSE)</f>
        <v>enrique.munoz@gmx.ch</v>
      </c>
      <c r="D9" s="30" t="s">
        <v>9361</v>
      </c>
      <c r="E9" s="46" t="s">
        <v>11985</v>
      </c>
      <c r="F9" s="46" t="str">
        <f>VLOOKUP(D9,'Master Data'!A:F,4,FALSE)</f>
        <v>m</v>
      </c>
      <c r="G9" s="46" t="str">
        <f>VLOOKUP(D9,'Master Data'!A:F,5,FALSE)</f>
        <v>Normal</v>
      </c>
      <c r="H9" s="103">
        <v>100</v>
      </c>
      <c r="I9" s="49" t="s">
        <v>11760</v>
      </c>
      <c r="J9" s="49" t="s">
        <v>11754</v>
      </c>
      <c r="K9" s="49" t="s">
        <v>11754</v>
      </c>
      <c r="L9" s="49"/>
      <c r="M9" s="49" t="s">
        <v>11754</v>
      </c>
      <c r="N9" s="49" t="s">
        <v>11754</v>
      </c>
      <c r="O9" s="49"/>
      <c r="P9" s="49"/>
    </row>
    <row r="10" spans="1:16" ht="23.25" customHeight="1" x14ac:dyDescent="0.25">
      <c r="A10" s="46" t="str">
        <f>VLOOKUP(D10,'Master Data'!A:F,2,FALSE)</f>
        <v>Melina</v>
      </c>
      <c r="B10" s="46" t="str">
        <f>VLOOKUP(D10,'Master Data'!A:F,3,FALSE)</f>
        <v>Götschi</v>
      </c>
      <c r="C10" s="47" t="str">
        <f>VLOOKUP(D10,'Master Data'!A:F,6,FALSE)</f>
        <v>melinagoetschi@outlook.com</v>
      </c>
      <c r="D10" s="30" t="s">
        <v>10634</v>
      </c>
      <c r="E10" s="46" t="s">
        <v>11665</v>
      </c>
      <c r="F10" s="46" t="str">
        <f>VLOOKUP(D10,'Master Data'!A:F,4,FALSE)</f>
        <v>w</v>
      </c>
      <c r="G10" s="46" t="str">
        <f>VLOOKUP(D10,'Master Data'!A:F,5,FALSE)</f>
        <v>Normal</v>
      </c>
      <c r="H10" s="106">
        <v>285</v>
      </c>
      <c r="I10" s="49" t="s">
        <v>11754</v>
      </c>
      <c r="J10" s="49"/>
      <c r="K10" s="49"/>
      <c r="L10" s="49"/>
      <c r="M10" s="49" t="s">
        <v>11754</v>
      </c>
      <c r="N10" s="49"/>
      <c r="O10" s="49" t="s">
        <v>11754</v>
      </c>
      <c r="P10" s="49"/>
    </row>
    <row r="11" spans="1:16" ht="23.25" customHeight="1" x14ac:dyDescent="0.25">
      <c r="A11" s="46" t="str">
        <f>VLOOKUP(D11,'Master Data'!A:F,2,FALSE)</f>
        <v>Julie</v>
      </c>
      <c r="B11" s="46" t="str">
        <f>VLOOKUP(D11,'Master Data'!A:F,3,FALSE)</f>
        <v>Pfenninger</v>
      </c>
      <c r="C11" s="47" t="str">
        <f>VLOOKUP(D11,'Master Data'!A:F,6,FALSE)</f>
        <v>j.pfenninger@hotmail.com</v>
      </c>
      <c r="D11" s="30" t="s">
        <v>10994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3"/>
      <c r="I11" s="49" t="s">
        <v>11760</v>
      </c>
      <c r="J11" s="49"/>
      <c r="K11" s="49"/>
      <c r="L11" s="49"/>
      <c r="M11" s="49" t="s">
        <v>11760</v>
      </c>
      <c r="N11" s="49"/>
      <c r="O11" s="49" t="s">
        <v>11754</v>
      </c>
      <c r="P11" s="49"/>
    </row>
    <row r="12" spans="1:16" ht="23.25" customHeight="1" x14ac:dyDescent="0.25">
      <c r="A12" s="46" t="str">
        <f>VLOOKUP(D12,'Master Data'!A:F,2,FALSE)</f>
        <v>Inigo</v>
      </c>
      <c r="B12" s="46" t="str">
        <f>VLOOKUP(D12,'Master Data'!A:F,3,FALSE)</f>
        <v>de la Maza</v>
      </c>
      <c r="C12" s="47" t="str">
        <f>VLOOKUP(D12,'Master Data'!A:F,6,FALSE)</f>
        <v>i.delamaza.prieto@gmail.com</v>
      </c>
      <c r="D12" s="30" t="s">
        <v>11066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3"/>
      <c r="I12" s="49" t="s">
        <v>11760</v>
      </c>
      <c r="J12" s="49"/>
      <c r="K12" s="49"/>
      <c r="L12" s="49"/>
      <c r="M12" s="49" t="s">
        <v>11760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Raphael</v>
      </c>
      <c r="B13" s="46" t="str">
        <f>VLOOKUP(D13,'Master Data'!A:F,3,FALSE)</f>
        <v>Hubler</v>
      </c>
      <c r="C13" s="47" t="str">
        <f>VLOOKUP(D13,'Master Data'!A:F,6,FALSE)</f>
        <v>raphaelhubler@gmail.com</v>
      </c>
      <c r="D13" s="34" t="s">
        <v>6428</v>
      </c>
      <c r="E13" s="46"/>
      <c r="F13" s="46" t="str">
        <f>VLOOKUP(D13,'Master Data'!A:F,4,FALSE)</f>
        <v>m</v>
      </c>
      <c r="G13" s="46" t="str">
        <f>VLOOKUP(D13,'Master Data'!A:F,5,FALSE)</f>
        <v>Pushflow</v>
      </c>
      <c r="H13" s="103"/>
      <c r="I13" s="49" t="s">
        <v>11760</v>
      </c>
      <c r="J13" s="49"/>
      <c r="K13" s="49"/>
      <c r="L13" s="49"/>
      <c r="M13" s="49" t="s">
        <v>11760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Irma</v>
      </c>
      <c r="B14" s="46" t="str">
        <f>VLOOKUP(D14,'Master Data'!A:F,3,FALSE)</f>
        <v>Waltisberg</v>
      </c>
      <c r="C14" s="47" t="str">
        <f>VLOOKUP(D14,'Master Data'!A:F,6,FALSE)</f>
        <v>walirma@bluewin.ch</v>
      </c>
      <c r="D14" s="30" t="s">
        <v>9119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6">
        <v>190</v>
      </c>
      <c r="I14" s="49" t="s">
        <v>11754</v>
      </c>
      <c r="J14" s="49"/>
      <c r="K14" s="49"/>
      <c r="L14" s="49"/>
      <c r="M14" s="49" t="s">
        <v>11754</v>
      </c>
      <c r="N14" s="49"/>
      <c r="O14" s="49"/>
      <c r="P14" s="49" t="s">
        <v>11754</v>
      </c>
    </row>
    <row r="15" spans="1:16" ht="23.25" customHeight="1" x14ac:dyDescent="0.25">
      <c r="A15" s="46" t="str">
        <f>VLOOKUP(D15,'Master Data'!A:F,2,FALSE)</f>
        <v>Franziska</v>
      </c>
      <c r="B15" s="46" t="str">
        <f>VLOOKUP(D15,'Master Data'!A:F,3,FALSE)</f>
        <v>Krenmayr</v>
      </c>
      <c r="C15" s="47" t="str">
        <f>VLOOKUP(D15,'Master Data'!A:F,6,FALSE)</f>
        <v>franzi.krenmayr@bluewin.ch</v>
      </c>
      <c r="D15" s="30" t="s">
        <v>11507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06">
        <v>285</v>
      </c>
      <c r="I15" s="49" t="s">
        <v>11760</v>
      </c>
      <c r="J15" s="49"/>
      <c r="K15" s="49"/>
      <c r="L15" s="49"/>
      <c r="M15" s="49" t="s">
        <v>11760</v>
      </c>
      <c r="N15" s="49"/>
      <c r="O15" s="49"/>
      <c r="P15" s="49" t="s">
        <v>11754</v>
      </c>
    </row>
    <row r="16" spans="1:16" ht="23.25" customHeight="1" x14ac:dyDescent="0.25">
      <c r="A16" s="46" t="str">
        <f>VLOOKUP(D16,'Master Data'!A:F,2,FALSE)</f>
        <v>Mathias</v>
      </c>
      <c r="B16" s="46" t="str">
        <f>VLOOKUP(D16,'Master Data'!A:F,3,FALSE)</f>
        <v>Landsrath</v>
      </c>
      <c r="C16" s="47" t="str">
        <f>VLOOKUP(D16,'Master Data'!A:F,6,FALSE)</f>
        <v>matila@gmx.de</v>
      </c>
      <c r="D16" s="34" t="s">
        <v>4067</v>
      </c>
      <c r="E16" s="46"/>
      <c r="F16" s="46" t="str">
        <f>VLOOKUP(D16,'Master Data'!A:F,4,FALSE)</f>
        <v>m</v>
      </c>
      <c r="G16" s="46" t="str">
        <f>VLOOKUP(D16,'Master Data'!A:F,5,FALSE)</f>
        <v>Normal</v>
      </c>
      <c r="H16" s="103">
        <v>410</v>
      </c>
      <c r="I16" s="49" t="s">
        <v>11760</v>
      </c>
      <c r="J16" s="49"/>
      <c r="K16" s="49"/>
      <c r="L16" s="49"/>
      <c r="M16" s="49" t="s">
        <v>11760</v>
      </c>
      <c r="N16" s="49"/>
      <c r="O16" s="49"/>
      <c r="P16" s="49"/>
    </row>
    <row r="17" spans="1:16" ht="23.25" customHeight="1" x14ac:dyDescent="0.25">
      <c r="A17" s="46" t="e">
        <f>VLOOKUP(D17,'Master Data'!A:F,2,FALSE)</f>
        <v>#N/A</v>
      </c>
      <c r="B17" s="46" t="e">
        <f>VLOOKUP(D17,'Master Data'!A:F,3,FALSE)</f>
        <v>#N/A</v>
      </c>
      <c r="C17" s="47" t="e">
        <f>VLOOKUP(D17,'Master Data'!A:F,6,FALSE)</f>
        <v>#N/A</v>
      </c>
      <c r="D17" s="21"/>
      <c r="E17" s="46"/>
      <c r="F17" s="46" t="e">
        <f>VLOOKUP(D17,'Master Data'!A:F,4,FALSE)</f>
        <v>#N/A</v>
      </c>
      <c r="G17" s="46" t="e">
        <f>VLOOKUP(D17,'Master Data'!A:F,5,FALSE)</f>
        <v>#N/A</v>
      </c>
      <c r="H17" s="48"/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30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1655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45" priority="1" operator="equal">
      <formula>0</formula>
    </cfRule>
    <cfRule type="expression" dxfId="44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BE4D5"/>
  </sheetPr>
  <dimension ref="A1:P32"/>
  <sheetViews>
    <sheetView view="pageLayout" topLeftCell="A4" zoomScaleNormal="100" workbookViewId="0">
      <selection activeCell="P7" sqref="P7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17" width="10.42578125" customWidth="1"/>
    <col min="18" max="26" width="7" customWidth="1"/>
  </cols>
  <sheetData>
    <row r="1" spans="1:16" ht="23.25" customHeight="1" x14ac:dyDescent="0.25">
      <c r="A1" s="36" t="s">
        <v>11305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11652</v>
      </c>
      <c r="C3" s="8"/>
      <c r="D3" s="41" t="s">
        <v>11276</v>
      </c>
      <c r="E3" s="8" t="s">
        <v>11303</v>
      </c>
      <c r="F3" s="8"/>
      <c r="G3" s="41" t="s">
        <v>11278</v>
      </c>
      <c r="H3" s="8" t="s">
        <v>11306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Raphael</v>
      </c>
      <c r="B7" s="46" t="str">
        <f>VLOOKUP(D7,'Master Data'!A:F,3,FALSE)</f>
        <v>Hubler</v>
      </c>
      <c r="C7" s="47" t="str">
        <f>VLOOKUP(D7,'Master Data'!A:F,6,FALSE)</f>
        <v>raphaelhubler@gmail.com</v>
      </c>
      <c r="D7" s="34" t="s">
        <v>6428</v>
      </c>
      <c r="E7" s="46"/>
      <c r="F7" s="46" t="str">
        <f>VLOOKUP(D7,'Master Data'!A:F,4,FALSE)</f>
        <v>m</v>
      </c>
      <c r="G7" s="46" t="str">
        <f>VLOOKUP(D7,'Master Data'!A:F,5,FALSE)</f>
        <v>Pushflow</v>
      </c>
      <c r="H7" s="103"/>
      <c r="I7" s="49" t="s">
        <v>11760</v>
      </c>
      <c r="J7" s="49" t="s">
        <v>11760</v>
      </c>
      <c r="K7" s="49" t="s">
        <v>11941</v>
      </c>
      <c r="L7" s="49"/>
      <c r="M7" s="49" t="s">
        <v>11941</v>
      </c>
      <c r="N7" s="49"/>
      <c r="O7" s="49"/>
      <c r="P7" s="49"/>
    </row>
    <row r="8" spans="1:16" ht="23.25" customHeight="1" x14ac:dyDescent="0.25">
      <c r="A8" s="46" t="str">
        <f>VLOOKUP(D8,'Master Data'!A:F,2,FALSE)</f>
        <v xml:space="preserve">Isabel </v>
      </c>
      <c r="B8" s="46" t="str">
        <f>VLOOKUP(D8,'Master Data'!A:F,3,FALSE)</f>
        <v>Garcia</v>
      </c>
      <c r="C8" s="47">
        <f>VLOOKUP(D8,'Master Data'!A:F,6,FALSE)</f>
        <v>0</v>
      </c>
      <c r="D8" s="34" t="s">
        <v>7392</v>
      </c>
      <c r="E8" s="46"/>
      <c r="F8" s="46" t="str">
        <f>VLOOKUP(D8,'Master Data'!A:F,4,FALSE)</f>
        <v>w</v>
      </c>
      <c r="G8" s="46" t="str">
        <f>VLOOKUP(D8,'Master Data'!A:F,5,FALSE)</f>
        <v>Pushflow</v>
      </c>
      <c r="H8" s="103"/>
      <c r="I8" s="49" t="s">
        <v>11760</v>
      </c>
      <c r="J8" s="49" t="s">
        <v>11760</v>
      </c>
      <c r="K8" s="49" t="s">
        <v>11941</v>
      </c>
      <c r="L8" s="49"/>
      <c r="M8" s="49" t="s">
        <v>11941</v>
      </c>
      <c r="N8" s="49"/>
      <c r="O8" s="49" t="s">
        <v>11754</v>
      </c>
      <c r="P8" s="49" t="s">
        <v>11754</v>
      </c>
    </row>
    <row r="9" spans="1:16" ht="23.25" customHeight="1" x14ac:dyDescent="0.25">
      <c r="A9" s="46" t="str">
        <f>VLOOKUP(D9,'Master Data'!A:F,2,FALSE)</f>
        <v>Jo</v>
      </c>
      <c r="B9" s="46" t="str">
        <f>VLOOKUP(D9,'Master Data'!A:F,3,FALSE)</f>
        <v>Storrar</v>
      </c>
      <c r="C9" s="47" t="str">
        <f>VLOOKUP(D9,'Master Data'!A:F,6,FALSE)</f>
        <v>joanne_storrar@hotmail.com</v>
      </c>
      <c r="D9" s="34" t="s">
        <v>6679</v>
      </c>
      <c r="E9" s="46"/>
      <c r="F9" s="46" t="str">
        <f>VLOOKUP(D9,'Master Data'!A:F,4,FALSE)</f>
        <v>w</v>
      </c>
      <c r="G9" s="46" t="str">
        <f>VLOOKUP(D9,'Master Data'!A:F,5,FALSE)</f>
        <v>Pushflow</v>
      </c>
      <c r="H9" s="103"/>
      <c r="I9" s="49" t="s">
        <v>11760</v>
      </c>
      <c r="J9" s="49" t="s">
        <v>11760</v>
      </c>
      <c r="K9" s="49" t="s">
        <v>11754</v>
      </c>
      <c r="L9" s="49" t="s">
        <v>11754</v>
      </c>
      <c r="M9" s="49" t="s">
        <v>11754</v>
      </c>
      <c r="N9" s="49" t="s">
        <v>11754</v>
      </c>
      <c r="O9" s="49" t="s">
        <v>11754</v>
      </c>
      <c r="P9" s="49" t="s">
        <v>11754</v>
      </c>
    </row>
    <row r="10" spans="1:16" ht="23.25" customHeight="1" x14ac:dyDescent="0.25">
      <c r="A10" s="46" t="str">
        <f>VLOOKUP(D10,'Master Data'!A:F,2,FALSE)</f>
        <v>Franziska</v>
      </c>
      <c r="B10" s="46" t="str">
        <f>VLOOKUP(D10,'Master Data'!A:F,3,FALSE)</f>
        <v>Krenmayr</v>
      </c>
      <c r="C10" s="47" t="str">
        <f>VLOOKUP(D10,'Master Data'!A:F,6,FALSE)</f>
        <v>franzi.krenmayr@bluewin.ch</v>
      </c>
      <c r="D10" s="30" t="s">
        <v>11507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03"/>
      <c r="I10" s="49" t="s">
        <v>11760</v>
      </c>
      <c r="J10" s="49" t="s">
        <v>11760</v>
      </c>
      <c r="K10" s="49" t="s">
        <v>11754</v>
      </c>
      <c r="L10" s="49"/>
      <c r="M10" s="49" t="s">
        <v>11941</v>
      </c>
      <c r="N10" s="49"/>
      <c r="O10" s="49"/>
      <c r="P10" s="49" t="s">
        <v>11754</v>
      </c>
    </row>
    <row r="11" spans="1:16" ht="23.25" customHeight="1" x14ac:dyDescent="0.25">
      <c r="A11" s="46" t="str">
        <f>VLOOKUP(D11,'Master Data'!A:F,2,FALSE)</f>
        <v>Tamas</v>
      </c>
      <c r="B11" s="46" t="str">
        <f>VLOOKUP(D11,'Master Data'!A:F,3,FALSE)</f>
        <v>Faludi</v>
      </c>
      <c r="C11" s="47" t="str">
        <f>VLOOKUP(D11,'Master Data'!A:F,6,FALSE)</f>
        <v>tamasfld@gmail.com</v>
      </c>
      <c r="D11" s="30" t="s">
        <v>6780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3"/>
      <c r="I11" s="49" t="s">
        <v>11760</v>
      </c>
      <c r="J11" s="49" t="s">
        <v>11754</v>
      </c>
      <c r="K11" s="49" t="s">
        <v>11941</v>
      </c>
      <c r="L11" s="49"/>
      <c r="M11" s="49" t="s">
        <v>11754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Ali</v>
      </c>
      <c r="B12" s="46" t="str">
        <f>VLOOKUP(D12,'Master Data'!A:F,3,FALSE)</f>
        <v>Üstündag</v>
      </c>
      <c r="C12" s="47" t="str">
        <f>VLOOKUP(D12,'Master Data'!A:F,6,FALSE)</f>
        <v>ali.uestuendag@gmail.com</v>
      </c>
      <c r="D12" s="30" t="s">
        <v>8514</v>
      </c>
      <c r="E12" s="46"/>
      <c r="F12" s="46" t="str">
        <f>VLOOKUP(D12,'Master Data'!A:F,4,FALSE)</f>
        <v>m</v>
      </c>
      <c r="G12" s="46" t="str">
        <f>VLOOKUP(D12,'Master Data'!A:F,5,FALSE)</f>
        <v>Pushflow</v>
      </c>
      <c r="H12" s="103"/>
      <c r="I12" s="49" t="s">
        <v>11760</v>
      </c>
      <c r="J12" s="49" t="s">
        <v>11760</v>
      </c>
      <c r="K12" s="49" t="s">
        <v>11941</v>
      </c>
      <c r="L12" s="49"/>
      <c r="M12" s="49" t="s">
        <v>11754</v>
      </c>
      <c r="N12" s="49"/>
      <c r="O12" s="49"/>
      <c r="P12" s="49" t="s">
        <v>11754</v>
      </c>
    </row>
    <row r="13" spans="1:16" ht="23.25" customHeight="1" x14ac:dyDescent="0.25">
      <c r="A13" s="46" t="str">
        <f>VLOOKUP(D13,'Master Data'!A:F,2,FALSE)</f>
        <v>Jenny</v>
      </c>
      <c r="B13" s="46" t="str">
        <f>VLOOKUP(D13,'Master Data'!A:F,3,FALSE)</f>
        <v>Castro</v>
      </c>
      <c r="C13" s="47" t="str">
        <f>VLOOKUP(D13,'Master Data'!A:F,6,FALSE)</f>
        <v>castro.jenny@hotmail.ch</v>
      </c>
      <c r="D13" s="19" t="s">
        <v>7183</v>
      </c>
      <c r="E13" s="46"/>
      <c r="F13" s="46" t="str">
        <f>VLOOKUP(D13,'Master Data'!A:F,4,FALSE)</f>
        <v>w</v>
      </c>
      <c r="G13" s="46" t="str">
        <f>VLOOKUP(D13,'Master Data'!A:F,5,FALSE)</f>
        <v>Pushflow</v>
      </c>
      <c r="H13" s="103"/>
      <c r="I13" s="49" t="s">
        <v>11760</v>
      </c>
      <c r="J13" s="49" t="s">
        <v>11760</v>
      </c>
      <c r="K13" s="49" t="s">
        <v>11941</v>
      </c>
      <c r="L13" s="49"/>
      <c r="M13" s="49" t="s">
        <v>11941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Ilaria</v>
      </c>
      <c r="B14" s="46" t="str">
        <f>VLOOKUP(D14,'Master Data'!A:F,3,FALSE)</f>
        <v>Seminatore</v>
      </c>
      <c r="C14" s="47" t="str">
        <f>VLOOKUP(D14,'Master Data'!A:F,6,FALSE)</f>
        <v>ilaria.seminatore@gmail.com</v>
      </c>
      <c r="D14" s="19" t="s">
        <v>6710</v>
      </c>
      <c r="E14" s="46"/>
      <c r="F14" s="46" t="str">
        <f>VLOOKUP(D14,'Master Data'!A:F,4,FALSE)</f>
        <v>w</v>
      </c>
      <c r="G14" s="46" t="str">
        <f>VLOOKUP(D14,'Master Data'!A:F,5,FALSE)</f>
        <v>Pushflow</v>
      </c>
      <c r="H14" s="103"/>
      <c r="I14" s="49" t="s">
        <v>11760</v>
      </c>
      <c r="J14" s="49" t="s">
        <v>11760</v>
      </c>
      <c r="K14" s="49" t="s">
        <v>11941</v>
      </c>
      <c r="L14" s="49"/>
      <c r="M14" s="49" t="s">
        <v>11941</v>
      </c>
      <c r="N14" s="49"/>
      <c r="O14" s="49"/>
      <c r="P14" s="49" t="s">
        <v>11754</v>
      </c>
    </row>
    <row r="15" spans="1:16" ht="23.25" customHeight="1" x14ac:dyDescent="0.25">
      <c r="A15" s="46" t="str">
        <f>VLOOKUP(D15,'Master Data'!A:F,2,FALSE)</f>
        <v>Marco</v>
      </c>
      <c r="B15" s="46" t="str">
        <f>VLOOKUP(D15,'Master Data'!A:F,3,FALSE)</f>
        <v>Krummenacher</v>
      </c>
      <c r="C15" s="47" t="str">
        <f>VLOOKUP(D15,'Master Data'!A:F,6,FALSE)</f>
        <v>marco.krummenacher@unibas.ch</v>
      </c>
      <c r="D15" s="30" t="s">
        <v>6805</v>
      </c>
      <c r="E15" s="46"/>
      <c r="F15" s="46" t="str">
        <f>VLOOKUP(D15,'Master Data'!A:F,4,FALSE)</f>
        <v>m</v>
      </c>
      <c r="G15" s="46" t="str">
        <f>VLOOKUP(D15,'Master Data'!A:F,5,FALSE)</f>
        <v>Pushflow</v>
      </c>
      <c r="H15" s="103"/>
      <c r="I15" s="49" t="s">
        <v>11760</v>
      </c>
      <c r="J15" s="49" t="s">
        <v>11760</v>
      </c>
      <c r="K15" s="49" t="s">
        <v>11941</v>
      </c>
      <c r="L15" s="49"/>
      <c r="M15" s="49" t="s">
        <v>11941</v>
      </c>
      <c r="N15" s="49"/>
      <c r="O15" s="49"/>
      <c r="P15" s="49" t="s">
        <v>11754</v>
      </c>
    </row>
    <row r="16" spans="1:16" ht="23.25" customHeight="1" x14ac:dyDescent="0.25">
      <c r="A16" s="46" t="str">
        <f>VLOOKUP(D16,'Master Data'!A:F,2,FALSE)</f>
        <v>Doris</v>
      </c>
      <c r="B16" s="46" t="str">
        <f>VLOOKUP(D16,'Master Data'!A:F,3,FALSE)</f>
        <v>Aznar</v>
      </c>
      <c r="C16" s="47" t="str">
        <f>VLOOKUP(D16,'Master Data'!A:F,6,FALSE)</f>
        <v>doris_aznar@hotmail.com</v>
      </c>
      <c r="D16" s="30" t="s">
        <v>8091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6">
        <v>410</v>
      </c>
      <c r="I16" s="49" t="s">
        <v>11760</v>
      </c>
      <c r="J16" s="49" t="s">
        <v>11760</v>
      </c>
      <c r="K16" s="49" t="s">
        <v>11941</v>
      </c>
      <c r="L16" s="49"/>
      <c r="M16" s="49" t="s">
        <v>11941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Ivan</v>
      </c>
      <c r="B17" s="46" t="str">
        <f>VLOOKUP(D17,'Master Data'!A:F,3,FALSE)</f>
        <v>Glushenkov</v>
      </c>
      <c r="C17" s="47" t="str">
        <f>VLOOKUP(D17,'Master Data'!A:F,6,FALSE)</f>
        <v>ivan.glushenkov.data@gmail.com</v>
      </c>
      <c r="D17" s="30" t="s">
        <v>11116</v>
      </c>
      <c r="E17" s="46" t="s">
        <v>11298</v>
      </c>
      <c r="F17" s="46" t="str">
        <f>VLOOKUP(D17,'Master Data'!A:F,4,FALSE)</f>
        <v>m</v>
      </c>
      <c r="G17" s="46" t="str">
        <f>VLOOKUP(D17,'Master Data'!A:F,5,FALSE)</f>
        <v>Normal</v>
      </c>
      <c r="H17" s="103"/>
      <c r="I17" s="49" t="s">
        <v>11760</v>
      </c>
      <c r="J17" s="49" t="s">
        <v>11760</v>
      </c>
      <c r="K17" s="49" t="s">
        <v>11754</v>
      </c>
      <c r="L17" s="49"/>
      <c r="M17" s="49" t="s">
        <v>11941</v>
      </c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30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55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410</v>
      </c>
      <c r="I32" s="31"/>
      <c r="J32" s="31"/>
      <c r="K32" s="31"/>
      <c r="L32" s="31"/>
      <c r="M32" s="31"/>
      <c r="N32" s="31"/>
      <c r="O32" s="31"/>
      <c r="P32" s="31"/>
    </row>
  </sheetData>
  <mergeCells count="1">
    <mergeCell ref="I6:P6"/>
  </mergeCells>
  <phoneticPr fontId="34" type="noConversion"/>
  <conditionalFormatting sqref="F7:G31 A7:C32">
    <cfRule type="cellIs" dxfId="43" priority="1" operator="equal">
      <formula>0</formula>
    </cfRule>
    <cfRule type="expression" dxfId="42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KLG Aeschenvorstadt 67,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BE4D5"/>
  </sheetPr>
  <dimension ref="A1:P1001"/>
  <sheetViews>
    <sheetView view="pageLayout" topLeftCell="A3" zoomScaleNormal="100" workbookViewId="0">
      <selection activeCell="P18" sqref="P1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11401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11652</v>
      </c>
      <c r="C3" s="8"/>
      <c r="D3" s="41" t="s">
        <v>11276</v>
      </c>
      <c r="E3" s="8" t="s">
        <v>11303</v>
      </c>
      <c r="F3" s="8"/>
      <c r="G3" s="41" t="s">
        <v>11278</v>
      </c>
      <c r="H3" s="8" t="s">
        <v>11400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Lena</v>
      </c>
      <c r="B7" s="46" t="str">
        <f>VLOOKUP(D7,'Master Data'!A:F,3,FALSE)</f>
        <v>Strnad</v>
      </c>
      <c r="C7" s="47" t="str">
        <f>VLOOKUP(D7,'Master Data'!A:F,6,FALSE)</f>
        <v>lena.strnad@gmail.com</v>
      </c>
      <c r="D7" s="19" t="s">
        <v>11666</v>
      </c>
      <c r="E7" s="46"/>
      <c r="F7" s="46" t="str">
        <f>VLOOKUP(D7,'Master Data'!A:F,4,FALSE)</f>
        <v>w</v>
      </c>
      <c r="G7" s="46" t="str">
        <f>VLOOKUP(D7,'Master Data'!A:F,5,FALSE)</f>
        <v>Paar</v>
      </c>
      <c r="H7" s="103">
        <v>160</v>
      </c>
      <c r="I7" s="49" t="s">
        <v>11760</v>
      </c>
      <c r="J7" s="49" t="s">
        <v>11760</v>
      </c>
      <c r="K7" s="49"/>
      <c r="L7" s="49"/>
      <c r="M7" s="49" t="s">
        <v>11760</v>
      </c>
      <c r="N7" s="49"/>
      <c r="O7" s="49"/>
      <c r="P7" s="49"/>
    </row>
    <row r="8" spans="1:16" ht="23.25" customHeight="1" x14ac:dyDescent="0.25">
      <c r="A8" s="46" t="str">
        <f>VLOOKUP(D8,'Master Data'!A:F,2,FALSE)</f>
        <v>Titus Conradin</v>
      </c>
      <c r="B8" s="46" t="str">
        <f>VLOOKUP(D8,'Master Data'!A:F,3,FALSE)</f>
        <v>Hell</v>
      </c>
      <c r="C8" s="47" t="str">
        <f>VLOOKUP(D8,'Master Data'!A:F,6,FALSE)</f>
        <v>titus.hell@hotmail.com</v>
      </c>
      <c r="D8" s="30" t="s">
        <v>11725</v>
      </c>
      <c r="E8" s="46"/>
      <c r="F8" s="46" t="str">
        <f>VLOOKUP(D8,'Master Data'!A:F,4,FALSE)</f>
        <v>m</v>
      </c>
      <c r="G8" s="46" t="str">
        <f>VLOOKUP(D8,'Master Data'!A:F,5,FALSE)</f>
        <v>Paar</v>
      </c>
      <c r="H8" s="103">
        <v>160</v>
      </c>
      <c r="I8" s="49" t="s">
        <v>11760</v>
      </c>
      <c r="J8" s="49" t="s">
        <v>11760</v>
      </c>
      <c r="K8" s="49"/>
      <c r="L8" s="49"/>
      <c r="M8" s="49" t="s">
        <v>11760</v>
      </c>
      <c r="N8" s="49"/>
      <c r="O8" s="49"/>
      <c r="P8" s="49"/>
    </row>
    <row r="9" spans="1:16" ht="23.25" customHeight="1" x14ac:dyDescent="0.25">
      <c r="A9" s="46" t="str">
        <f>VLOOKUP(D9,'Master Data'!A:F,2,FALSE)</f>
        <v>Felix</v>
      </c>
      <c r="B9" s="46" t="str">
        <f>VLOOKUP(D9,'Master Data'!A:F,3,FALSE)</f>
        <v>Zimmermann</v>
      </c>
      <c r="C9" s="47" t="str">
        <f>VLOOKUP(D9,'Master Data'!A:F,6,FALSE)</f>
        <v>Zimmermannfe@gmail.com</v>
      </c>
      <c r="D9" s="30" t="s">
        <v>11688</v>
      </c>
      <c r="E9" s="66">
        <v>0.2</v>
      </c>
      <c r="F9" s="46" t="str">
        <f>VLOOKUP(D9,'Master Data'!A:F,4,FALSE)</f>
        <v>m</v>
      </c>
      <c r="G9" s="46" t="str">
        <f>VLOOKUP(D9,'Master Data'!A:F,5,FALSE)</f>
        <v>Paar</v>
      </c>
      <c r="H9" s="103">
        <v>127.5</v>
      </c>
      <c r="I9" s="49" t="s">
        <v>11760</v>
      </c>
      <c r="J9" s="49" t="s">
        <v>11760</v>
      </c>
      <c r="K9" s="49"/>
      <c r="L9" s="49"/>
      <c r="M9" s="49" t="s">
        <v>11754</v>
      </c>
      <c r="N9" s="49" t="s">
        <v>11754</v>
      </c>
      <c r="O9" s="49"/>
      <c r="P9" s="49"/>
    </row>
    <row r="10" spans="1:16" ht="23.25" customHeight="1" x14ac:dyDescent="0.25">
      <c r="A10" s="46" t="str">
        <f>VLOOKUP(D10,'Master Data'!A:F,2,FALSE)</f>
        <v>Wioleta</v>
      </c>
      <c r="B10" s="46" t="str">
        <f>VLOOKUP(D10,'Master Data'!A:F,3,FALSE)</f>
        <v>Chmielewicz</v>
      </c>
      <c r="C10" s="47" t="str">
        <f>VLOOKUP(D10,'Master Data'!A:F,6,FALSE)</f>
        <v>wioleta.c@gmx.de</v>
      </c>
      <c r="D10" s="30" t="s">
        <v>11689</v>
      </c>
      <c r="E10" s="66">
        <v>0.2</v>
      </c>
      <c r="F10" s="46" t="str">
        <f>VLOOKUP(D10,'Master Data'!A:F,4,FALSE)</f>
        <v>w</v>
      </c>
      <c r="G10" s="46" t="str">
        <f>VLOOKUP(D10,'Master Data'!A:F,5,FALSE)</f>
        <v>Paar</v>
      </c>
      <c r="H10" s="103">
        <v>127.5</v>
      </c>
      <c r="I10" s="49" t="s">
        <v>11760</v>
      </c>
      <c r="J10" s="49" t="s">
        <v>11760</v>
      </c>
      <c r="K10" s="49"/>
      <c r="L10" s="49"/>
      <c r="M10" s="49" t="s">
        <v>11754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Marvin</v>
      </c>
      <c r="B11" s="46" t="str">
        <f>VLOOKUP(D11,'Master Data'!A:F,3,FALSE)</f>
        <v>Hankel</v>
      </c>
      <c r="C11" s="47" t="str">
        <f>VLOOKUP(D11,'Master Data'!A:F,6,FALSE)</f>
        <v>marv.hankel@gmail.com</v>
      </c>
      <c r="D11" s="19" t="s">
        <v>11806</v>
      </c>
      <c r="E11" s="46" t="s">
        <v>11665</v>
      </c>
      <c r="F11" s="46" t="str">
        <f>VLOOKUP(D11,'Master Data'!A:F,4,FALSE)</f>
        <v>m</v>
      </c>
      <c r="G11" s="46" t="str">
        <f>VLOOKUP(D11,'Master Data'!A:F,5,FALSE)</f>
        <v>Normal</v>
      </c>
      <c r="H11" s="103"/>
      <c r="I11" s="49" t="s">
        <v>11760</v>
      </c>
      <c r="J11" s="49" t="s">
        <v>11760</v>
      </c>
      <c r="K11" s="49"/>
      <c r="L11" s="49"/>
      <c r="M11" s="49" t="s">
        <v>11760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Göknur</v>
      </c>
      <c r="B12" s="46" t="str">
        <f>VLOOKUP(D12,'Master Data'!A:F,3,FALSE)</f>
        <v>Bektas</v>
      </c>
      <c r="C12" s="47" t="str">
        <f>VLOOKUP(D12,'Master Data'!A:F,6,FALSE)</f>
        <v>gb@goebek.ch</v>
      </c>
      <c r="D12" s="30" t="s">
        <v>11868</v>
      </c>
      <c r="E12" s="46" t="s">
        <v>11657</v>
      </c>
      <c r="F12" s="46" t="str">
        <f>VLOOKUP(D12,'Master Data'!A:F,4,FALSE)</f>
        <v>m</v>
      </c>
      <c r="G12" s="46" t="str">
        <f>VLOOKUP(D12,'Master Data'!A:F,5,FALSE)</f>
        <v>Normal</v>
      </c>
      <c r="H12" s="103">
        <v>190</v>
      </c>
      <c r="I12" s="49" t="s">
        <v>11760</v>
      </c>
      <c r="J12" s="49" t="s">
        <v>11760</v>
      </c>
      <c r="K12" s="49"/>
      <c r="L12" s="49"/>
      <c r="M12" s="49" t="s">
        <v>11754</v>
      </c>
      <c r="N12" s="49" t="s">
        <v>11754</v>
      </c>
      <c r="O12" s="49"/>
      <c r="P12" s="49"/>
    </row>
    <row r="13" spans="1:16" ht="23.25" customHeight="1" x14ac:dyDescent="0.25">
      <c r="A13" s="46" t="str">
        <f>VLOOKUP(D13,'Master Data'!A:F,2,FALSE)</f>
        <v>Oliwia</v>
      </c>
      <c r="B13" s="46" t="str">
        <f>VLOOKUP(D13,'Master Data'!A:F,3,FALSE)</f>
        <v>Glwcz</v>
      </c>
      <c r="C13" s="47" t="str">
        <f>VLOOKUP(D13,'Master Data'!A:F,6,FALSE)</f>
        <v>oliwia.glwcz@gmail.com</v>
      </c>
      <c r="D13" s="30" t="s">
        <v>11908</v>
      </c>
      <c r="E13" s="46" t="s">
        <v>11884</v>
      </c>
      <c r="F13" s="46" t="s">
        <v>3163</v>
      </c>
      <c r="G13" s="46" t="str">
        <f>VLOOKUP(D13,'Master Data'!A:F,5,FALSE)</f>
        <v>Normal</v>
      </c>
      <c r="H13" s="103">
        <v>190</v>
      </c>
      <c r="I13" s="49" t="s">
        <v>11760</v>
      </c>
      <c r="J13" s="49" t="s">
        <v>11760</v>
      </c>
      <c r="K13" s="49"/>
      <c r="L13" s="49"/>
      <c r="M13" s="49" t="s">
        <v>11760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Ben</v>
      </c>
      <c r="B14" s="46" t="str">
        <f>VLOOKUP(D14,'Master Data'!A:F,3,FALSE)</f>
        <v>Böke</v>
      </c>
      <c r="C14" s="47" t="str">
        <f>VLOOKUP(D14,'Master Data'!A:F,6,FALSE)</f>
        <v>ben25boeke@gmail.com</v>
      </c>
      <c r="D14" s="98" t="s">
        <v>11951</v>
      </c>
      <c r="E14" s="46" t="s">
        <v>11298</v>
      </c>
      <c r="F14" s="46" t="str">
        <f>VLOOKUP(D14,'Master Data'!A:F,4,FALSE)</f>
        <v>m</v>
      </c>
      <c r="G14" s="46" t="str">
        <f>VLOOKUP(D14,'Master Data'!A:F,5,FALSE)</f>
        <v>Normal</v>
      </c>
      <c r="H14" s="103"/>
      <c r="I14" s="49" t="s">
        <v>11760</v>
      </c>
      <c r="J14" s="49" t="s">
        <v>11760</v>
      </c>
      <c r="K14" s="49"/>
      <c r="L14" s="49"/>
      <c r="M14" s="49" t="s">
        <v>11760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>Bülent</v>
      </c>
      <c r="B15" s="46" t="str">
        <f>VLOOKUP(D15,'Master Data'!A:F,3,FALSE)</f>
        <v>Ekinci</v>
      </c>
      <c r="C15" s="47" t="str">
        <f>VLOOKUP(D15,'Master Data'!A:F,6,FALSE)</f>
        <v>buelentekinci24@gamil.com</v>
      </c>
      <c r="D15" s="98" t="s">
        <v>11955</v>
      </c>
      <c r="E15" s="46" t="s">
        <v>11298</v>
      </c>
      <c r="F15" s="46" t="s">
        <v>3163</v>
      </c>
      <c r="G15" s="46" t="str">
        <f>VLOOKUP(D15,'Master Data'!A:F,5,FALSE)</f>
        <v>Normal</v>
      </c>
      <c r="H15" s="103"/>
      <c r="I15" s="49" t="s">
        <v>11760</v>
      </c>
      <c r="J15" s="49" t="s">
        <v>11760</v>
      </c>
      <c r="K15" s="49"/>
      <c r="L15" s="49" t="s">
        <v>11754</v>
      </c>
      <c r="M15" s="49" t="s">
        <v>11760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Ricarda</v>
      </c>
      <c r="B16" s="46" t="str">
        <f>VLOOKUP(D16,'Master Data'!A:F,3,FALSE)</f>
        <v>Studer</v>
      </c>
      <c r="C16" s="47" t="str">
        <f>VLOOKUP(D16,'Master Data'!A:F,6,FALSE)</f>
        <v>ricardastuder@yahoo.com</v>
      </c>
      <c r="D16" s="19" t="s">
        <v>8143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3">
        <v>160</v>
      </c>
      <c r="I16" s="49" t="s">
        <v>11760</v>
      </c>
      <c r="J16" s="49" t="s">
        <v>11760</v>
      </c>
      <c r="K16" s="49"/>
      <c r="L16" s="49"/>
      <c r="M16" s="49" t="s">
        <v>11760</v>
      </c>
      <c r="N16" s="49"/>
      <c r="O16" s="49" t="s">
        <v>11754</v>
      </c>
      <c r="P16" s="49"/>
    </row>
    <row r="17" spans="1:16" ht="23.25" customHeight="1" x14ac:dyDescent="0.25">
      <c r="A17" s="46" t="str">
        <f>VLOOKUP(D17,'Master Data'!A:F,2,FALSE)</f>
        <v>Riccardo</v>
      </c>
      <c r="B17" s="46" t="str">
        <f>VLOOKUP(D17,'Master Data'!A:F,3,FALSE)</f>
        <v>Scaglioni</v>
      </c>
      <c r="C17" s="47" t="str">
        <f>VLOOKUP(D17,'Master Data'!A:F,6,FALSE)</f>
        <v>R.scaglioni@gmx.ch</v>
      </c>
      <c r="D17" s="19" t="s">
        <v>11892</v>
      </c>
      <c r="E17" s="46"/>
      <c r="F17" s="46" t="str">
        <f>VLOOKUP(D17,'Master Data'!A:F,4,FALSE)</f>
        <v>m</v>
      </c>
      <c r="G17" s="46" t="str">
        <f>VLOOKUP(D17,'Master Data'!A:F,5,FALSE)</f>
        <v>Normal</v>
      </c>
      <c r="H17" s="103">
        <v>160</v>
      </c>
      <c r="I17" s="49" t="s">
        <v>11760</v>
      </c>
      <c r="J17" s="49" t="s">
        <v>11760</v>
      </c>
      <c r="K17" s="49"/>
      <c r="L17" s="49"/>
      <c r="M17" s="49" t="s">
        <v>11760</v>
      </c>
      <c r="N17" s="49"/>
      <c r="O17" s="49" t="s">
        <v>11754</v>
      </c>
      <c r="P17" s="49"/>
    </row>
    <row r="18" spans="1:16" ht="23.25" customHeight="1" x14ac:dyDescent="0.25">
      <c r="A18" s="46" t="str">
        <f>VLOOKUP(D18,'Master Data'!A:F,2,FALSE)</f>
        <v>Manuel</v>
      </c>
      <c r="B18" s="46" t="str">
        <f>VLOOKUP(D18,'Master Data'!A:F,3,FALSE)</f>
        <v>Ramseier</v>
      </c>
      <c r="C18" s="47" t="str">
        <f>VLOOKUP(D18,'Master Data'!A:F,6,FALSE)</f>
        <v>ramseiermanuel@gmail.com</v>
      </c>
      <c r="D18" s="30" t="s">
        <v>11587</v>
      </c>
      <c r="E18" s="46" t="s">
        <v>12112</v>
      </c>
      <c r="F18" s="46" t="str">
        <f>VLOOKUP(D18,'Master Data'!A:F,4,FALSE)</f>
        <v>m</v>
      </c>
      <c r="G18" s="46" t="str">
        <f>VLOOKUP(D18,'Master Data'!A:F,5,FALSE)</f>
        <v>Normal</v>
      </c>
      <c r="H18" s="48"/>
      <c r="I18" s="49" t="s">
        <v>11754</v>
      </c>
      <c r="J18" s="49" t="s">
        <v>11754</v>
      </c>
      <c r="K18" s="49" t="s">
        <v>11754</v>
      </c>
      <c r="L18" s="49" t="s">
        <v>11754</v>
      </c>
      <c r="M18" s="49" t="s">
        <v>11754</v>
      </c>
      <c r="N18" s="49" t="s">
        <v>11754</v>
      </c>
      <c r="O18" s="49" t="s">
        <v>11754</v>
      </c>
      <c r="P18" s="49" t="s">
        <v>11760</v>
      </c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1275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I6:P6"/>
  </mergeCells>
  <conditionalFormatting sqref="F7:G31 A7:C32">
    <cfRule type="cellIs" dxfId="41" priority="1" operator="equal">
      <formula>0</formula>
    </cfRule>
    <cfRule type="expression" dxfId="40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x="16383" man="1"/>
  </rowBreaks>
  <colBreaks count="1" manualBreakCount="1">
    <brk id="16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BE4D5"/>
  </sheetPr>
  <dimension ref="A1:P1003"/>
  <sheetViews>
    <sheetView view="pageLayout" topLeftCell="A6" zoomScale="120" zoomScaleNormal="100" zoomScalePageLayoutView="120" workbookViewId="0">
      <selection activeCell="I6" sqref="I6:P6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11645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11652</v>
      </c>
      <c r="C3" s="8"/>
      <c r="D3" s="41" t="s">
        <v>11276</v>
      </c>
      <c r="E3" s="8" t="s">
        <v>11303</v>
      </c>
      <c r="F3" s="8"/>
      <c r="G3" s="41" t="s">
        <v>11278</v>
      </c>
      <c r="H3" s="8" t="s">
        <v>11308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Anne-Marie</v>
      </c>
      <c r="B7" s="46" t="str">
        <f>VLOOKUP(D7,'Master Data'!A:F,3,FALSE)</f>
        <v>Köppen</v>
      </c>
      <c r="C7" s="47" t="str">
        <f>VLOOKUP(D7,'Master Data'!A:F,6,FALSE)</f>
        <v>anne_marie.k@hotmail.com</v>
      </c>
      <c r="D7" s="19" t="s">
        <v>8167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6">
        <v>190</v>
      </c>
      <c r="I7" s="49" t="s">
        <v>11760</v>
      </c>
      <c r="J7" s="49" t="s">
        <v>11760</v>
      </c>
      <c r="K7" s="49"/>
      <c r="L7" s="49"/>
      <c r="M7" s="49" t="s">
        <v>11754</v>
      </c>
      <c r="N7" s="49" t="s">
        <v>11754</v>
      </c>
      <c r="O7" s="49"/>
      <c r="P7" s="49" t="s">
        <v>11754</v>
      </c>
    </row>
    <row r="8" spans="1:16" ht="23.25" customHeight="1" x14ac:dyDescent="0.25">
      <c r="A8" s="46" t="str">
        <f>VLOOKUP(D8,'Master Data'!A:F,2,FALSE)</f>
        <v>Maria-José</v>
      </c>
      <c r="B8" s="46" t="str">
        <f>VLOOKUP(D8,'Master Data'!A:F,3,FALSE)</f>
        <v>Largo Vargas</v>
      </c>
      <c r="C8" s="47" t="str">
        <f>VLOOKUP(D8,'Master Data'!A:F,6,FALSE)</f>
        <v>mlargovargas@gmail.com</v>
      </c>
      <c r="D8" s="19" t="s">
        <v>10497</v>
      </c>
      <c r="E8" s="46"/>
      <c r="F8" s="46" t="str">
        <f>VLOOKUP(D8,'Master Data'!A:F,4,FALSE)</f>
        <v>w</v>
      </c>
      <c r="G8" s="46" t="str">
        <f>VLOOKUP(D8,'Master Data'!A:F,5,FALSE)</f>
        <v>Paar</v>
      </c>
      <c r="H8" s="106">
        <v>160</v>
      </c>
      <c r="I8" s="49" t="s">
        <v>11760</v>
      </c>
      <c r="J8" s="49" t="s">
        <v>11760</v>
      </c>
      <c r="K8" s="49"/>
      <c r="L8" s="49"/>
      <c r="M8" s="49" t="s">
        <v>11754</v>
      </c>
      <c r="N8" s="49" t="s">
        <v>11754</v>
      </c>
      <c r="O8" s="49" t="s">
        <v>11754</v>
      </c>
      <c r="P8" s="49" t="s">
        <v>11754</v>
      </c>
    </row>
    <row r="9" spans="1:16" ht="23.25" customHeight="1" x14ac:dyDescent="0.25">
      <c r="A9" s="46" t="str">
        <f>VLOOKUP(D9,'Master Data'!A:F,2,FALSE)</f>
        <v>Andreia</v>
      </c>
      <c r="B9" s="46" t="str">
        <f>VLOOKUP(D9,'Master Data'!A:F,3,FALSE)</f>
        <v>Silva</v>
      </c>
      <c r="C9" s="47" t="str">
        <f>VLOOKUP(D9,'Master Data'!A:F,6,FALSE)</f>
        <v>andr3iasilva@gmail.com</v>
      </c>
      <c r="D9" s="19" t="s">
        <v>10597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03"/>
      <c r="I9" s="49" t="s">
        <v>11760</v>
      </c>
      <c r="J9" s="49" t="s">
        <v>11760</v>
      </c>
      <c r="K9" s="49"/>
      <c r="L9" s="49"/>
      <c r="M9" s="49" t="s">
        <v>11760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Cedric</v>
      </c>
      <c r="B10" s="46" t="str">
        <f>VLOOKUP(D10,'Master Data'!A:F,3,FALSE)</f>
        <v>Rufer</v>
      </c>
      <c r="C10" s="47">
        <f>VLOOKUP(D10,'Master Data'!A:F,6,FALSE)</f>
        <v>0</v>
      </c>
      <c r="D10" s="19" t="s">
        <v>10883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3">
        <v>135</v>
      </c>
      <c r="I10" s="49" t="s">
        <v>11760</v>
      </c>
      <c r="J10" s="49" t="s">
        <v>11760</v>
      </c>
      <c r="K10" s="49"/>
      <c r="L10" s="49"/>
      <c r="M10" s="49" t="s">
        <v>11760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Aurora</v>
      </c>
      <c r="B11" s="46" t="str">
        <f>VLOOKUP(D11,'Master Data'!A:F,3,FALSE)</f>
        <v>Rufer</v>
      </c>
      <c r="C11" s="47" t="str">
        <f>VLOOKUP(D11,'Master Data'!A:F,6,FALSE)</f>
        <v>aurora.rufer@bluewin.ch</v>
      </c>
      <c r="D11" s="19" t="s">
        <v>10865</v>
      </c>
      <c r="E11" s="46"/>
      <c r="F11" s="46" t="str">
        <f>VLOOKUP(D11,'Master Data'!A:F,4,FALSE)</f>
        <v>w</v>
      </c>
      <c r="G11" s="46" t="str">
        <f>VLOOKUP(D11,'Master Data'!A:F,5,FALSE)</f>
        <v>Paar</v>
      </c>
      <c r="H11" s="103">
        <v>100</v>
      </c>
      <c r="I11" s="49" t="s">
        <v>11760</v>
      </c>
      <c r="J11" s="49" t="s">
        <v>11760</v>
      </c>
      <c r="K11" s="49"/>
      <c r="L11" s="49"/>
      <c r="M11" s="49" t="s">
        <v>11760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Sofia</v>
      </c>
      <c r="B12" s="46" t="str">
        <f>VLOOKUP(D12,'Master Data'!A:F,3,FALSE)</f>
        <v>Tschopp-Eiriz</v>
      </c>
      <c r="C12" s="47" t="str">
        <f>VLOOKUP(D12,'Master Data'!A:F,6,FALSE)</f>
        <v>sofia.tschopp@hotmail.com</v>
      </c>
      <c r="D12" s="19" t="s">
        <v>11218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3">
        <v>190</v>
      </c>
      <c r="I12" s="49" t="s">
        <v>11760</v>
      </c>
      <c r="J12" s="49" t="s">
        <v>11760</v>
      </c>
      <c r="K12" s="49"/>
      <c r="L12" s="49"/>
      <c r="M12" s="49" t="s">
        <v>11754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Cinthya</v>
      </c>
      <c r="B13" s="46" t="str">
        <f>VLOOKUP(D13,'Master Data'!A:F,3,FALSE)</f>
        <v>Márquez Téllez</v>
      </c>
      <c r="C13" s="47" t="str">
        <f>VLOOKUP(D13,'Master Data'!A:F,6,FALSE)</f>
        <v>tellezm.cinthya@gmail.com</v>
      </c>
      <c r="D13" s="19" t="s">
        <v>10758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3">
        <v>160</v>
      </c>
      <c r="I13" s="49" t="s">
        <v>11760</v>
      </c>
      <c r="J13" s="49" t="s">
        <v>11760</v>
      </c>
      <c r="K13" s="49"/>
      <c r="L13" s="49"/>
      <c r="M13" s="49" t="s">
        <v>11760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Bianca</v>
      </c>
      <c r="B14" s="46" t="str">
        <f>VLOOKUP(D14,'Master Data'!A:F,3,FALSE)</f>
        <v>Suter</v>
      </c>
      <c r="C14" s="47" t="str">
        <f>VLOOKUP(D14,'Master Data'!A:F,6,FALSE)</f>
        <v>bianca.suter@gmx.ch</v>
      </c>
      <c r="D14" s="19" t="s">
        <v>11452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3">
        <v>190</v>
      </c>
      <c r="I14" s="49" t="s">
        <v>11760</v>
      </c>
      <c r="J14" s="49" t="s">
        <v>11754</v>
      </c>
      <c r="K14" s="49" t="s">
        <v>11754</v>
      </c>
      <c r="L14" s="49"/>
      <c r="M14" s="49" t="s">
        <v>11760</v>
      </c>
      <c r="N14" s="49" t="s">
        <v>11754</v>
      </c>
      <c r="O14" s="49"/>
      <c r="P14" s="49"/>
    </row>
    <row r="15" spans="1:16" ht="23.25" customHeight="1" x14ac:dyDescent="0.25">
      <c r="A15" s="46" t="str">
        <f>VLOOKUP(D15,'Master Data'!A:F,2,FALSE)</f>
        <v>Simon</v>
      </c>
      <c r="B15" s="46" t="str">
        <f>VLOOKUP(D15,'Master Data'!A:F,3,FALSE)</f>
        <v>Burri</v>
      </c>
      <c r="C15" s="47" t="str">
        <f>VLOOKUP(D15,'Master Data'!A:F,6,FALSE)</f>
        <v>simon.henry.burri@gmail.com</v>
      </c>
      <c r="D15" s="19" t="s">
        <v>9301</v>
      </c>
      <c r="E15" s="46" t="s">
        <v>11986</v>
      </c>
      <c r="F15" s="46" t="str">
        <f>VLOOKUP(D15,'Master Data'!A:F,4,FALSE)</f>
        <v>m</v>
      </c>
      <c r="G15" s="46" t="str">
        <f>VLOOKUP(D15,'Master Data'!A:F,5,FALSE)</f>
        <v>Normal</v>
      </c>
      <c r="H15" s="103">
        <v>285</v>
      </c>
      <c r="I15" s="49" t="s">
        <v>11760</v>
      </c>
      <c r="J15" s="49" t="s">
        <v>11760</v>
      </c>
      <c r="K15" s="49"/>
      <c r="L15" s="49"/>
      <c r="M15" s="49" t="s">
        <v>11760</v>
      </c>
      <c r="N15" s="49"/>
      <c r="O15" s="49" t="s">
        <v>11754</v>
      </c>
      <c r="P15" s="49"/>
    </row>
    <row r="16" spans="1:16" ht="23.25" customHeight="1" x14ac:dyDescent="0.25">
      <c r="A16" s="46" t="str">
        <f>VLOOKUP(D16,'Master Data'!A:F,2,FALSE)</f>
        <v>Luisa</v>
      </c>
      <c r="B16" s="46" t="str">
        <f>VLOOKUP(D16,'Master Data'!A:F,3,FALSE)</f>
        <v>Blättler</v>
      </c>
      <c r="C16" s="47" t="str">
        <f>VLOOKUP(D16,'Master Data'!A:F,6,FALSE)</f>
        <v>l.blaettler@bluewin.ch</v>
      </c>
      <c r="D16" s="19" t="s">
        <v>9844</v>
      </c>
      <c r="E16" s="46"/>
      <c r="F16" s="46" t="str">
        <f>VLOOKUP(D16,'Master Data'!A:F,4,FALSE)</f>
        <v>w</v>
      </c>
      <c r="G16" s="46" t="str">
        <f>VLOOKUP(D16,'Master Data'!A:F,5,FALSE)</f>
        <v>Paar</v>
      </c>
      <c r="H16" s="103">
        <v>160</v>
      </c>
      <c r="I16" s="49" t="s">
        <v>11760</v>
      </c>
      <c r="J16" s="49" t="s">
        <v>11760</v>
      </c>
      <c r="K16" s="49"/>
      <c r="L16" s="49"/>
      <c r="M16" s="49" t="s">
        <v>11754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Pascal</v>
      </c>
      <c r="B17" s="46" t="str">
        <f>VLOOKUP(D17,'Master Data'!A:F,3,FALSE)</f>
        <v>Schoch</v>
      </c>
      <c r="C17" s="47">
        <f>VLOOKUP(D17,'Master Data'!A:F,6,FALSE)</f>
        <v>0</v>
      </c>
      <c r="D17" s="19" t="s">
        <v>9849</v>
      </c>
      <c r="E17" s="46"/>
      <c r="F17" s="46" t="str">
        <f>VLOOKUP(D17,'Master Data'!A:F,4,FALSE)</f>
        <v>m</v>
      </c>
      <c r="G17" s="46" t="str">
        <f>VLOOKUP(D17,'Master Data'!A:F,5,FALSE)</f>
        <v>Paar</v>
      </c>
      <c r="H17" s="103">
        <v>160</v>
      </c>
      <c r="I17" s="49" t="s">
        <v>11760</v>
      </c>
      <c r="J17" s="49" t="s">
        <v>11760</v>
      </c>
      <c r="K17" s="49"/>
      <c r="L17" s="49"/>
      <c r="M17" s="49" t="s">
        <v>11754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Kristina</v>
      </c>
      <c r="B18" s="46" t="str">
        <f>VLOOKUP(D18,'Master Data'!A:F,3,FALSE)</f>
        <v>Wicht</v>
      </c>
      <c r="C18" s="47">
        <f>VLOOKUP(D18,'Master Data'!A:F,6,FALSE)</f>
        <v>0</v>
      </c>
      <c r="D18" s="7" t="s">
        <v>12042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6">
        <v>190</v>
      </c>
      <c r="I18" s="49" t="s">
        <v>11754</v>
      </c>
      <c r="J18" s="49"/>
      <c r="K18" s="49"/>
      <c r="L18" s="49"/>
      <c r="M18" s="49" t="s">
        <v>11760</v>
      </c>
      <c r="N18" s="49"/>
      <c r="O18" s="49" t="s">
        <v>11754</v>
      </c>
      <c r="P18" s="49" t="s">
        <v>11754</v>
      </c>
    </row>
    <row r="19" spans="1:16" ht="23.25" customHeight="1" x14ac:dyDescent="0.25">
      <c r="A19" s="46" t="str">
        <f>VLOOKUP(D19,'Master Data'!A:F,2,FALSE)</f>
        <v>Antonio</v>
      </c>
      <c r="B19" s="46" t="str">
        <f>VLOOKUP(D19,'Master Data'!A:F,3,FALSE)</f>
        <v>Branca</v>
      </c>
      <c r="C19" s="47" t="str">
        <f>VLOOKUP(D19,'Master Data'!A:F,6,FALSE)</f>
        <v>tbranca@gmx.net</v>
      </c>
      <c r="D19" s="30" t="s">
        <v>10276</v>
      </c>
      <c r="E19" s="46"/>
      <c r="F19" s="46" t="str">
        <f>VLOOKUP(D19,'Master Data'!A:F,4,FALSE)</f>
        <v>m</v>
      </c>
      <c r="G19" s="46" t="str">
        <f>VLOOKUP(D19,'Master Data'!A:F,5,FALSE)</f>
        <v>Normal</v>
      </c>
      <c r="H19" s="106">
        <v>285</v>
      </c>
      <c r="I19" s="49" t="s">
        <v>11760</v>
      </c>
      <c r="J19" s="49" t="s">
        <v>11760</v>
      </c>
      <c r="K19" s="49"/>
      <c r="L19" s="49"/>
      <c r="M19" s="49" t="s">
        <v>11760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Amir</v>
      </c>
      <c r="B20" s="46" t="str">
        <f>VLOOKUP(D20,'Master Data'!A:F,3,FALSE)</f>
        <v>Mahoori</v>
      </c>
      <c r="C20" s="47" t="str">
        <f>VLOOKUP(D20,'Master Data'!A:F,6,FALSE)</f>
        <v>amir.mahoori@gmail.com</v>
      </c>
      <c r="D20" s="30" t="s">
        <v>11471</v>
      </c>
      <c r="E20" s="46"/>
      <c r="F20" s="46" t="str">
        <f>VLOOKUP(D20,'Master Data'!A:F,4,FALSE)</f>
        <v>m</v>
      </c>
      <c r="G20" s="46" t="str">
        <f>VLOOKUP(D20,'Master Data'!A:F,5,FALSE)</f>
        <v>Normal</v>
      </c>
      <c r="H20" s="106">
        <v>190</v>
      </c>
      <c r="I20" s="49" t="s">
        <v>11760</v>
      </c>
      <c r="J20" s="49" t="s">
        <v>11760</v>
      </c>
      <c r="K20" s="49"/>
      <c r="L20" s="49"/>
      <c r="M20" s="49" t="s">
        <v>11760</v>
      </c>
      <c r="N20" s="49"/>
      <c r="O20" s="49"/>
      <c r="P20" s="49"/>
    </row>
    <row r="21" spans="1:16" ht="23.25" customHeight="1" x14ac:dyDescent="0.25">
      <c r="A21" s="46" t="str">
        <f>VLOOKUP(D21,'Master Data'!A:F,2,FALSE)</f>
        <v>Ben</v>
      </c>
      <c r="B21" s="46" t="str">
        <f>VLOOKUP(D21,'Master Data'!A:F,3,FALSE)</f>
        <v>Böke</v>
      </c>
      <c r="C21" s="47" t="str">
        <f>VLOOKUP(D21,'Master Data'!A:F,6,FALSE)</f>
        <v>ben25boeke@gmail.com</v>
      </c>
      <c r="D21" s="98" t="s">
        <v>11951</v>
      </c>
      <c r="E21" s="46" t="s">
        <v>11298</v>
      </c>
      <c r="F21" s="46" t="str">
        <f>VLOOKUP(D21,'Master Data'!A:F,4,FALSE)</f>
        <v>m</v>
      </c>
      <c r="G21" s="46" t="str">
        <f>VLOOKUP(D21,'Master Data'!A:F,5,FALSE)</f>
        <v>Normal</v>
      </c>
      <c r="H21" s="103"/>
      <c r="I21" s="49" t="s">
        <v>11760</v>
      </c>
      <c r="J21" s="49" t="s">
        <v>11760</v>
      </c>
      <c r="K21" s="49"/>
      <c r="L21" s="49"/>
      <c r="M21" s="49" t="s">
        <v>11760</v>
      </c>
      <c r="N21" s="49"/>
      <c r="O21" s="49"/>
      <c r="P21" s="49"/>
    </row>
    <row r="22" spans="1:16" ht="23.25" customHeight="1" x14ac:dyDescent="0.25">
      <c r="A22" s="46" t="str">
        <f>VLOOKUP(D22,'Master Data'!A:F,2,FALSE)</f>
        <v>Aurea</v>
      </c>
      <c r="B22" s="46" t="str">
        <f>VLOOKUP(D22,'Master Data'!A:F,3,FALSE)</f>
        <v>Eckinger</v>
      </c>
      <c r="C22" s="47" t="str">
        <f>VLOOKUP(D22,'Master Data'!A:F,6,FALSE)</f>
        <v>ae@eckinger.ch</v>
      </c>
      <c r="D22" s="30" t="s">
        <v>10860</v>
      </c>
      <c r="E22" s="46"/>
      <c r="F22" s="46" t="str">
        <f>VLOOKUP(D22,'Master Data'!A:F,4,FALSE)</f>
        <v>w</v>
      </c>
      <c r="G22" s="46" t="str">
        <f>VLOOKUP(D22,'Master Data'!A:F,5,FALSE)</f>
        <v>Paar</v>
      </c>
      <c r="H22" s="106">
        <v>95</v>
      </c>
      <c r="I22" s="49" t="s">
        <v>11754</v>
      </c>
      <c r="J22" s="49" t="s">
        <v>11754</v>
      </c>
      <c r="K22" s="49" t="s">
        <v>11754</v>
      </c>
      <c r="L22" s="49" t="s">
        <v>11754</v>
      </c>
      <c r="M22" s="49" t="s">
        <v>11754</v>
      </c>
      <c r="N22" s="49" t="s">
        <v>11754</v>
      </c>
      <c r="O22" s="49"/>
      <c r="P22" s="49"/>
    </row>
    <row r="23" spans="1:16" ht="23.25" customHeight="1" x14ac:dyDescent="0.25">
      <c r="A23" s="46" t="str">
        <f>VLOOKUP(D23,'Master Data'!A:F,2,FALSE)</f>
        <v>Matthew</v>
      </c>
      <c r="B23" s="46" t="str">
        <f>VLOOKUP(D23,'Master Data'!A:F,3,FALSE)</f>
        <v>Leipner</v>
      </c>
      <c r="C23" s="47" t="str">
        <f>VLOOKUP(D23,'Master Data'!A:F,6,FALSE)</f>
        <v>leipner1@gmail.com</v>
      </c>
      <c r="D23" s="30" t="s">
        <v>8962</v>
      </c>
      <c r="E23" s="46"/>
      <c r="F23" s="46" t="str">
        <f>VLOOKUP(D23,'Master Data'!A:F,4,FALSE)</f>
        <v>m</v>
      </c>
      <c r="G23" s="46" t="str">
        <f>VLOOKUP(D23,'Master Data'!A:F,5,FALSE)</f>
        <v>Normal</v>
      </c>
      <c r="H23" s="103">
        <v>160</v>
      </c>
      <c r="I23" s="49" t="s">
        <v>11760</v>
      </c>
      <c r="J23" s="49" t="s">
        <v>11754</v>
      </c>
      <c r="K23" s="49"/>
      <c r="L23" s="49"/>
      <c r="M23" s="49" t="s">
        <v>11760</v>
      </c>
      <c r="N23" s="49"/>
      <c r="O23" s="49"/>
      <c r="P23" s="49"/>
    </row>
    <row r="24" spans="1:16" ht="23.25" customHeight="1" x14ac:dyDescent="0.25">
      <c r="A24" s="46" t="str">
        <f>VLOOKUP(D24,'Master Data'!A:F,2,FALSE)</f>
        <v>Simona</v>
      </c>
      <c r="B24" s="46" t="str">
        <f>VLOOKUP(D24,'Master Data'!A:F,3,FALSE)</f>
        <v>Abächerli</v>
      </c>
      <c r="C24" s="47" t="str">
        <f>VLOOKUP(D24,'Master Data'!A:F,6,FALSE)</f>
        <v>simona.abaecherli@gmail.com</v>
      </c>
      <c r="D24" s="30" t="s">
        <v>10264</v>
      </c>
      <c r="E24" s="46"/>
      <c r="F24" s="46" t="str">
        <f>VLOOKUP(D24,'Master Data'!A:F,4,FALSE)</f>
        <v>w</v>
      </c>
      <c r="G24" s="46" t="str">
        <f>VLOOKUP(D24,'Master Data'!A:F,5,FALSE)</f>
        <v>Normal</v>
      </c>
      <c r="H24" s="103">
        <v>135</v>
      </c>
      <c r="I24" s="49" t="s">
        <v>11760</v>
      </c>
      <c r="J24" s="49" t="s">
        <v>11754</v>
      </c>
      <c r="K24" s="49"/>
      <c r="L24" s="49"/>
      <c r="M24" s="49" t="s">
        <v>11760</v>
      </c>
      <c r="N24" s="49" t="s">
        <v>11754</v>
      </c>
      <c r="O24" s="49"/>
      <c r="P24" s="49"/>
    </row>
    <row r="25" spans="1:16" ht="23.25" customHeight="1" x14ac:dyDescent="0.25">
      <c r="A25" s="46" t="str">
        <f>VLOOKUP(D25,'Master Data'!A:F,2,FALSE)</f>
        <v>Jasmin</v>
      </c>
      <c r="B25" s="46" t="str">
        <f>VLOOKUP(D25,'Master Data'!A:F,3,FALSE)</f>
        <v>Ballmann</v>
      </c>
      <c r="C25" s="47" t="str">
        <f>VLOOKUP(D25,'Master Data'!A:F,6,FALSE)</f>
        <v>jasmin.ballmann.jb@gmail.com</v>
      </c>
      <c r="D25" s="30" t="s">
        <v>11766</v>
      </c>
      <c r="E25" s="46"/>
      <c r="F25" s="46" t="str">
        <f>VLOOKUP(D25,'Master Data'!A:F,4,FALSE)</f>
        <v>w</v>
      </c>
      <c r="G25" s="46" t="str">
        <f>VLOOKUP(D25,'Master Data'!A:F,5,FALSE)</f>
        <v>Normal</v>
      </c>
      <c r="H25" s="103">
        <v>90</v>
      </c>
      <c r="I25" s="49" t="s">
        <v>11760</v>
      </c>
      <c r="J25" s="49" t="s">
        <v>11754</v>
      </c>
      <c r="K25" s="49"/>
      <c r="L25" s="49"/>
      <c r="M25" s="49" t="s">
        <v>11754</v>
      </c>
      <c r="N25" s="49" t="s">
        <v>11754</v>
      </c>
      <c r="O25" s="49"/>
      <c r="P25" s="49" t="s">
        <v>11754</v>
      </c>
    </row>
    <row r="26" spans="1:16" ht="23.25" customHeight="1" x14ac:dyDescent="0.25">
      <c r="A26" s="46" t="str">
        <f>VLOOKUP(D26,'Master Data'!A:F,2,FALSE)</f>
        <v>Julian</v>
      </c>
      <c r="B26" s="46" t="str">
        <f>VLOOKUP(D26,'Master Data'!A:F,3,FALSE)</f>
        <v>Wipf</v>
      </c>
      <c r="C26" s="47" t="str">
        <f>VLOOKUP(D26,'Master Data'!A:F,6,FALSE)</f>
        <v>julian.wipf@gmx.ch</v>
      </c>
      <c r="D26" s="97" t="s">
        <v>10502</v>
      </c>
      <c r="E26" s="46"/>
      <c r="F26" s="46" t="str">
        <f>VLOOKUP(D26,'Master Data'!A:F,4,FALSE)</f>
        <v>m</v>
      </c>
      <c r="G26" s="46" t="str">
        <f>VLOOKUP(D26,'Master Data'!A:F,5,FALSE)</f>
        <v>Paar</v>
      </c>
      <c r="H26" s="106">
        <v>160</v>
      </c>
      <c r="I26" s="49" t="s">
        <v>11760</v>
      </c>
      <c r="J26" s="49" t="s">
        <v>11760</v>
      </c>
      <c r="K26" s="49"/>
      <c r="L26" s="49"/>
      <c r="M26" s="49" t="s">
        <v>11754</v>
      </c>
      <c r="N26" s="49" t="s">
        <v>11754</v>
      </c>
      <c r="O26" s="49" t="s">
        <v>11754</v>
      </c>
      <c r="P26" s="49" t="s">
        <v>11754</v>
      </c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96" t="e">
        <f>VLOOKUP(D27,'Master Data'!A:F,6,FALSE)</f>
        <v>#N/A</v>
      </c>
      <c r="D27" s="98"/>
      <c r="E27" s="60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96" t="e">
        <f>VLOOKUP(D28,'Master Data'!A:F,6,FALSE)</f>
        <v>#N/A</v>
      </c>
      <c r="D28" s="98"/>
      <c r="E28" s="60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96" t="e">
        <f>VLOOKUP(D29,'Master Data'!A:F,6,FALSE)</f>
        <v>#N/A</v>
      </c>
      <c r="D29" s="98"/>
      <c r="E29" s="60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96" t="e">
        <f>VLOOKUP(D30,'Master Data'!A:F,6,FALSE)</f>
        <v>#N/A</v>
      </c>
      <c r="D30" s="98"/>
      <c r="E30" s="60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96" t="e">
        <f>VLOOKUP(D31,'Master Data'!A:F,6,FALSE)</f>
        <v>#N/A</v>
      </c>
      <c r="D31" s="98"/>
      <c r="E31" s="60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117" t="e">
        <f>VLOOKUP(D32,'Master Data'!A:F,5,FALSE)</f>
        <v>#N/A</v>
      </c>
      <c r="D32" s="119"/>
      <c r="E32" s="118"/>
      <c r="F32" s="31"/>
      <c r="G32" s="51" t="s">
        <v>11290</v>
      </c>
      <c r="H32" s="51">
        <f>SUM(H7:H31)</f>
        <v>3035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">
    <mergeCell ref="I6:P6"/>
  </mergeCells>
  <conditionalFormatting sqref="F7:G31 A7:C32">
    <cfRule type="cellIs" dxfId="39" priority="1" operator="equal">
      <formula>0</formula>
    </cfRule>
    <cfRule type="expression" dxfId="38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KLG Aeschenvorstadt 67, 4051 Basel&amp;CSebastian - Tel. 076 218 21 98 Fabio - Tel. 076 478 84 11&amp;Rinfo@salsaflow-dc.com www.salsaflow-dc.com</oddFooter>
  </headerFooter>
  <rowBreaks count="1" manualBreakCount="1">
    <brk id="31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BE4D5"/>
  </sheetPr>
  <dimension ref="A1:P1000"/>
  <sheetViews>
    <sheetView view="pageLayout" topLeftCell="A4" zoomScaleNormal="100" workbookViewId="0">
      <selection activeCell="P8" sqref="P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11296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11652</v>
      </c>
      <c r="C3" s="8"/>
      <c r="D3" s="41" t="s">
        <v>11276</v>
      </c>
      <c r="E3" s="8" t="s">
        <v>11303</v>
      </c>
      <c r="F3" s="8"/>
      <c r="G3" s="41" t="s">
        <v>11278</v>
      </c>
      <c r="H3" s="8" t="s">
        <v>11646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Maria</v>
      </c>
      <c r="B7" s="46" t="str">
        <f>VLOOKUP(D7,'Master Data'!A:F,3,FALSE)</f>
        <v>Pirillo</v>
      </c>
      <c r="C7" s="47" t="str">
        <f>VLOOKUP(D7,'Master Data'!A:F,6,FALSE)</f>
        <v>mariapirillo@gmail.com</v>
      </c>
      <c r="D7" s="30" t="s">
        <v>11467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6">
        <v>170</v>
      </c>
      <c r="I7" s="49" t="s">
        <v>11754</v>
      </c>
      <c r="J7" s="49" t="s">
        <v>11760</v>
      </c>
      <c r="K7" s="49"/>
      <c r="L7" s="49"/>
      <c r="M7" s="49" t="s">
        <v>11754</v>
      </c>
      <c r="N7" s="49"/>
      <c r="O7" s="49"/>
      <c r="P7" s="49"/>
    </row>
    <row r="8" spans="1:16" ht="23.25" customHeight="1" x14ac:dyDescent="0.25">
      <c r="A8" s="46" t="str">
        <f>VLOOKUP(D8,'Master Data'!A:F,2,FALSE)</f>
        <v xml:space="preserve">Barbara </v>
      </c>
      <c r="B8" s="46" t="str">
        <f>VLOOKUP(D8,'Master Data'!A:F,3,FALSE)</f>
        <v>Desax</v>
      </c>
      <c r="C8" s="47">
        <f>VLOOKUP(D8,'Master Data'!A:F,6,FALSE)</f>
        <v>0</v>
      </c>
      <c r="D8" s="30" t="s">
        <v>10638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3">
        <v>160</v>
      </c>
      <c r="I8" s="49" t="s">
        <v>11760</v>
      </c>
      <c r="J8" s="49" t="s">
        <v>11760</v>
      </c>
      <c r="K8" s="49"/>
      <c r="L8" s="49"/>
      <c r="M8" s="49" t="s">
        <v>11760</v>
      </c>
      <c r="N8" s="49" t="s">
        <v>11754</v>
      </c>
      <c r="O8" s="49"/>
      <c r="P8" s="49"/>
    </row>
    <row r="9" spans="1:16" ht="23.25" customHeight="1" x14ac:dyDescent="0.25">
      <c r="A9" s="46" t="str">
        <f>VLOOKUP(D9,'Master Data'!A:F,2,FALSE)</f>
        <v>Melanie</v>
      </c>
      <c r="B9" s="46" t="str">
        <f>VLOOKUP(D9,'Master Data'!A:F,3,FALSE)</f>
        <v>Sgura</v>
      </c>
      <c r="C9" s="47" t="str">
        <f>VLOOKUP(D9,'Master Data'!A:F,6,FALSE)</f>
        <v>sgura87@gmail.com</v>
      </c>
      <c r="D9" s="30" t="s">
        <v>9597</v>
      </c>
      <c r="E9" s="46"/>
      <c r="F9" s="46" t="str">
        <f>VLOOKUP(D9,'Master Data'!A:F,4,FALSE)</f>
        <v>w</v>
      </c>
      <c r="G9" s="46" t="str">
        <f>VLOOKUP(D9,'Master Data'!A:F,5,FALSE)</f>
        <v>Paar</v>
      </c>
      <c r="H9" s="103">
        <v>160</v>
      </c>
      <c r="I9" s="49" t="s">
        <v>11760</v>
      </c>
      <c r="J9" s="49" t="s">
        <v>11760</v>
      </c>
      <c r="K9" s="49"/>
      <c r="L9" s="49"/>
      <c r="M9" s="49" t="s">
        <v>11760</v>
      </c>
      <c r="N9" s="49"/>
      <c r="O9" s="49"/>
      <c r="P9" s="49" t="s">
        <v>11754</v>
      </c>
    </row>
    <row r="10" spans="1:16" ht="23.25" customHeight="1" x14ac:dyDescent="0.25">
      <c r="A10" s="46" t="str">
        <f>VLOOKUP(D10,'Master Data'!A:F,2,FALSE)</f>
        <v>Alessandro</v>
      </c>
      <c r="B10" s="46" t="str">
        <f>VLOOKUP(D10,'Master Data'!A:F,3,FALSE)</f>
        <v>Battaglia</v>
      </c>
      <c r="C10" s="47" t="str">
        <f>VLOOKUP(D10,'Master Data'!A:F,6,FALSE)</f>
        <v>battaglia.alessandro@bluewin.ch</v>
      </c>
      <c r="D10" s="30" t="s">
        <v>9602</v>
      </c>
      <c r="E10" s="46"/>
      <c r="F10" s="46" t="str">
        <f>VLOOKUP(D10,'Master Data'!A:F,4,FALSE)</f>
        <v>m</v>
      </c>
      <c r="G10" s="46" t="str">
        <f>VLOOKUP(D10,'Master Data'!A:F,5,FALSE)</f>
        <v>Paar</v>
      </c>
      <c r="H10" s="103">
        <v>160</v>
      </c>
      <c r="I10" s="49" t="s">
        <v>11760</v>
      </c>
      <c r="J10" s="49" t="s">
        <v>11760</v>
      </c>
      <c r="K10" s="49"/>
      <c r="L10" s="49"/>
      <c r="M10" s="49" t="s">
        <v>11760</v>
      </c>
      <c r="N10" s="49"/>
      <c r="O10" s="49"/>
      <c r="P10" s="49" t="s">
        <v>11754</v>
      </c>
    </row>
    <row r="11" spans="1:16" ht="23.25" customHeight="1" x14ac:dyDescent="0.25">
      <c r="A11" s="46" t="str">
        <f>VLOOKUP(D11,'Master Data'!A:F,2,FALSE)</f>
        <v>Tijana</v>
      </c>
      <c r="B11" s="46" t="str">
        <f>VLOOKUP(D11,'Master Data'!A:F,3,FALSE)</f>
        <v>Miljkovic</v>
      </c>
      <c r="C11" s="47" t="str">
        <f>VLOOKUP(D11,'Master Data'!A:F,6,FALSE)</f>
        <v>tijana.miljkovic@icloud.com</v>
      </c>
      <c r="D11" s="30" t="s">
        <v>8501</v>
      </c>
      <c r="E11" s="46"/>
      <c r="F11" s="46" t="s">
        <v>3163</v>
      </c>
      <c r="G11" s="46" t="str">
        <f>VLOOKUP(D11,'Master Data'!A:F,5,FALSE)</f>
        <v>Normal</v>
      </c>
      <c r="H11" s="103"/>
      <c r="I11" s="49" t="s">
        <v>11754</v>
      </c>
      <c r="J11" s="49" t="s">
        <v>11760</v>
      </c>
      <c r="K11" s="49"/>
      <c r="L11" s="49"/>
      <c r="M11" s="49" t="s">
        <v>11760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Alexandra</v>
      </c>
      <c r="B12" s="46" t="str">
        <f>VLOOKUP(D12,'Master Data'!A:F,3,FALSE)</f>
        <v>Meyer</v>
      </c>
      <c r="C12" s="47" t="str">
        <f>VLOOKUP(D12,'Master Data'!A:F,6,FALSE)</f>
        <v>lexxx.lexxx@gmail.com</v>
      </c>
      <c r="D12" s="30" t="s">
        <v>9426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3"/>
      <c r="I12" s="49" t="s">
        <v>11760</v>
      </c>
      <c r="J12" s="49" t="s">
        <v>11760</v>
      </c>
      <c r="K12" s="49"/>
      <c r="L12" s="49"/>
      <c r="M12" s="49" t="s">
        <v>11760</v>
      </c>
      <c r="N12" s="49" t="s">
        <v>11754</v>
      </c>
      <c r="O12" s="49" t="s">
        <v>11754</v>
      </c>
      <c r="P12" s="49"/>
    </row>
    <row r="13" spans="1:16" ht="23.25" customHeight="1" x14ac:dyDescent="0.25">
      <c r="A13" s="46" t="str">
        <f>VLOOKUP(D13,'Master Data'!A:F,2,FALSE)</f>
        <v>Mario</v>
      </c>
      <c r="B13" s="46" t="str">
        <f>VLOOKUP(D13,'Master Data'!A:F,3,FALSE)</f>
        <v>Wyss</v>
      </c>
      <c r="C13" s="47" t="str">
        <f>VLOOKUP(D13,'Master Data'!A:F,6,FALSE)</f>
        <v>mario.wyss@gmx.net</v>
      </c>
      <c r="D13" s="19" t="s">
        <v>11028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3">
        <v>160</v>
      </c>
      <c r="I13" s="49" t="s">
        <v>11760</v>
      </c>
      <c r="J13" s="49" t="s">
        <v>11760</v>
      </c>
      <c r="K13" s="49"/>
      <c r="L13" s="49"/>
      <c r="M13" s="49" t="s">
        <v>11760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Eliane</v>
      </c>
      <c r="B14" s="46" t="str">
        <f>VLOOKUP(D14,'Master Data'!A:F,3,FALSE)</f>
        <v>Schneeberger</v>
      </c>
      <c r="C14" s="47" t="str">
        <f>VLOOKUP(D14,'Master Data'!A:F,6,FALSE)</f>
        <v>eliane.schneeberger@gmail.com</v>
      </c>
      <c r="D14" s="30" t="s">
        <v>10385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3"/>
      <c r="I14" s="49" t="s">
        <v>11760</v>
      </c>
      <c r="J14" s="49" t="s">
        <v>11760</v>
      </c>
      <c r="K14" s="49"/>
      <c r="L14" s="49"/>
      <c r="M14" s="49" t="s">
        <v>11760</v>
      </c>
      <c r="N14" s="49"/>
      <c r="O14" s="49" t="s">
        <v>11754</v>
      </c>
      <c r="P14" s="49"/>
    </row>
    <row r="15" spans="1:16" ht="23.25" customHeight="1" x14ac:dyDescent="0.25">
      <c r="A15" s="46" t="str">
        <f>VLOOKUP(D15,'Master Data'!A:F,2,FALSE)</f>
        <v>Catarina</v>
      </c>
      <c r="B15" s="46" t="str">
        <f>VLOOKUP(D15,'Master Data'!A:F,3,FALSE)</f>
        <v>Rodrigues Nunes</v>
      </c>
      <c r="C15" s="47" t="str">
        <f>VLOOKUP(D15,'Master Data'!A:F,6,FALSE)</f>
        <v>kika.rnunes@gmail.com</v>
      </c>
      <c r="D15" s="30" t="s">
        <v>11785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06">
        <v>190</v>
      </c>
      <c r="I15" s="49" t="s">
        <v>11760</v>
      </c>
      <c r="J15" s="49" t="s">
        <v>11760</v>
      </c>
      <c r="K15" s="49"/>
      <c r="L15" s="49"/>
      <c r="M15" s="49" t="s">
        <v>11760</v>
      </c>
      <c r="N15" s="49" t="s">
        <v>11754</v>
      </c>
      <c r="O15" s="49"/>
      <c r="P15" s="49"/>
    </row>
    <row r="16" spans="1:16" ht="23.25" customHeight="1" x14ac:dyDescent="0.25">
      <c r="A16" s="46" t="str">
        <f>VLOOKUP(D16,'Master Data'!A:F,2,FALSE)</f>
        <v>Ivan</v>
      </c>
      <c r="B16" s="46" t="str">
        <f>VLOOKUP(D16,'Master Data'!A:F,3,FALSE)</f>
        <v>Glushenkov</v>
      </c>
      <c r="C16" s="47" t="str">
        <f>VLOOKUP(D16,'Master Data'!A:F,6,FALSE)</f>
        <v>ivan.glushenkov.data@gmail.com</v>
      </c>
      <c r="D16" s="30" t="s">
        <v>11116</v>
      </c>
      <c r="E16" s="46" t="s">
        <v>11298</v>
      </c>
      <c r="F16" s="46" t="str">
        <f>VLOOKUP(D16,'Master Data'!A:F,4,FALSE)</f>
        <v>m</v>
      </c>
      <c r="G16" s="46" t="str">
        <f>VLOOKUP(D16,'Master Data'!A:F,5,FALSE)</f>
        <v>Normal</v>
      </c>
      <c r="H16" s="103"/>
      <c r="I16" s="49" t="s">
        <v>11760</v>
      </c>
      <c r="J16" s="49" t="s">
        <v>11760</v>
      </c>
      <c r="K16" s="49"/>
      <c r="L16" s="49"/>
      <c r="M16" s="49" t="s">
        <v>11760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Josua</v>
      </c>
      <c r="B17" s="46" t="str">
        <f>VLOOKUP(D17,'Master Data'!A:F,3,FALSE)</f>
        <v>Friedli</v>
      </c>
      <c r="C17" s="47" t="str">
        <f>VLOOKUP(D17,'Master Data'!A:F,6,FALSE)</f>
        <v>josua.friedli@protonmail.com</v>
      </c>
      <c r="D17" s="30" t="s">
        <v>5277</v>
      </c>
      <c r="E17" s="46"/>
      <c r="F17" s="46" t="str">
        <f>VLOOKUP(D17,'Master Data'!A:F,4,FALSE)</f>
        <v>m</v>
      </c>
      <c r="G17" s="46" t="str">
        <f>VLOOKUP(D17,'Master Data'!A:F,5,FALSE)</f>
        <v>Paar</v>
      </c>
      <c r="H17" s="103">
        <v>120</v>
      </c>
      <c r="I17" s="49"/>
      <c r="J17" s="49"/>
      <c r="K17" s="49"/>
      <c r="L17" s="49"/>
      <c r="M17" s="49" t="s">
        <v>11754</v>
      </c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30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1120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37" priority="1" operator="equal">
      <formula>0</formula>
    </cfRule>
    <cfRule type="expression" dxfId="36" priority="2">
      <formula>ISERROR(A7)</formula>
    </cfRule>
  </conditionalFormatting>
  <pageMargins left="0.41666666666666669" right="0.41666666666666669" top="0.78740157499999996" bottom="0.78740157499999996" header="0" footer="0"/>
  <pageSetup paperSize="9" scale="76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2EFD9"/>
  </sheetPr>
  <dimension ref="A1:P1000"/>
  <sheetViews>
    <sheetView view="pageLayout" topLeftCell="A5" zoomScaleNormal="100" workbookViewId="0">
      <selection activeCell="P20" sqref="P20:P22"/>
    </sheetView>
  </sheetViews>
  <sheetFormatPr baseColWidth="10" defaultColWidth="14.42578125" defaultRowHeight="15" customHeight="1" x14ac:dyDescent="0.25"/>
  <cols>
    <col min="1" max="1" width="15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11309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6149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Charlotte</v>
      </c>
      <c r="B7" s="46" t="str">
        <f>VLOOKUP(D7,'Master Data'!A:F,3,FALSE)</f>
        <v>Mellor</v>
      </c>
      <c r="C7" s="47" t="str">
        <f>VLOOKUP(D7,'Master Data'!A:F,6,FALSE)</f>
        <v>chazmellor@yahoo.co.uk</v>
      </c>
      <c r="D7" s="34" t="s">
        <v>9646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6">
        <v>160</v>
      </c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Jane</v>
      </c>
      <c r="B8" s="46" t="str">
        <f>VLOOKUP(D8,'Master Data'!A:F,3,FALSE)</f>
        <v>Danson</v>
      </c>
      <c r="C8" s="47" t="str">
        <f>VLOOKUP(D8,'Master Data'!A:F,6,FALSE)</f>
        <v>jane.danson@gmx.ch</v>
      </c>
      <c r="D8" s="34" t="s">
        <v>5237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6">
        <v>160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Alexandra</v>
      </c>
      <c r="B9" s="46" t="str">
        <f>VLOOKUP(D9,'Master Data'!A:F,3,FALSE)</f>
        <v>Meier</v>
      </c>
      <c r="C9" s="47" t="str">
        <f>VLOOKUP(D9,'Master Data'!A:F,6,FALSE)</f>
        <v>alexandra.meier@unibas.ch</v>
      </c>
      <c r="D9" s="30" t="s">
        <v>5980</v>
      </c>
      <c r="E9" s="46"/>
      <c r="F9" s="46" t="str">
        <f>VLOOKUP(D9,'Master Data'!A:F,4,FALSE)</f>
        <v>w</v>
      </c>
      <c r="G9" s="46" t="str">
        <f>VLOOKUP(D9,'Master Data'!A:F,5,FALSE)</f>
        <v>Paar</v>
      </c>
      <c r="H9" s="106"/>
      <c r="I9" s="49" t="s">
        <v>11754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Sharah</v>
      </c>
      <c r="B10" s="46" t="str">
        <f>VLOOKUP(D10,'Master Data'!A:F,3,FALSE)</f>
        <v>Meszaros</v>
      </c>
      <c r="C10" s="47" t="str">
        <f>VLOOKUP(D10,'Master Data'!A:F,6,FALSE)</f>
        <v>sharah.meszaros@gmail.com</v>
      </c>
      <c r="D10" s="30" t="s">
        <v>10777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06">
        <v>100</v>
      </c>
      <c r="I10" s="49" t="s">
        <v>11754</v>
      </c>
      <c r="J10" s="49" t="s">
        <v>11754</v>
      </c>
      <c r="K10" s="49" t="s">
        <v>11754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 xml:space="preserve">Lea </v>
      </c>
      <c r="B11" s="46" t="str">
        <f>VLOOKUP(D11,'Master Data'!A:F,3,FALSE)</f>
        <v>Brosi</v>
      </c>
      <c r="C11" s="47" t="str">
        <f>VLOOKUP(D11,'Master Data'!A:F,6,FALSE)</f>
        <v>lea.rebecca.brosi@gmail.com</v>
      </c>
      <c r="D11" s="30" t="s">
        <v>7167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6">
        <v>160</v>
      </c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Lucyann</v>
      </c>
      <c r="B12" s="46" t="str">
        <f>VLOOKUP(D12,'Master Data'!A:F,3,FALSE)</f>
        <v>Ceballos</v>
      </c>
      <c r="C12" s="47" t="str">
        <f>VLOOKUP(D12,'Master Data'!A:F,6,FALSE)</f>
        <v>ceballos.lucyann@gmail.com</v>
      </c>
      <c r="D12" s="19" t="s">
        <v>10254</v>
      </c>
      <c r="E12" s="46" t="s">
        <v>11665</v>
      </c>
      <c r="F12" s="46" t="str">
        <f>VLOOKUP(D12,'Master Data'!A:F,4,FALSE)</f>
        <v>w</v>
      </c>
      <c r="G12" s="46" t="str">
        <f>VLOOKUP(D12,'Master Data'!A:F,5,FALSE)</f>
        <v>Normal</v>
      </c>
      <c r="H12" s="103"/>
      <c r="I12" s="49" t="s">
        <v>11754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Sarah</v>
      </c>
      <c r="B13" s="46" t="str">
        <f>VLOOKUP(D13,'Master Data'!A:F,3,FALSE)</f>
        <v>Obrist</v>
      </c>
      <c r="C13" s="47" t="str">
        <f>VLOOKUP(D13,'Master Data'!A:F,6,FALSE)</f>
        <v>sarah-obrist@hotmail.com</v>
      </c>
      <c r="D13" s="30" t="s">
        <v>10874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3">
        <v>160</v>
      </c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Stephanie</v>
      </c>
      <c r="B14" s="46" t="str">
        <f>VLOOKUP(D14,'Master Data'!A:F,3,FALSE)</f>
        <v>Csendes</v>
      </c>
      <c r="C14" s="47" t="str">
        <f>VLOOKUP(D14,'Master Data'!A:F,6,FALSE)</f>
        <v>stephanie.csendes@gmail.com</v>
      </c>
      <c r="D14" s="30" t="s">
        <v>9476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3"/>
      <c r="I14" s="49" t="s">
        <v>11760</v>
      </c>
      <c r="J14" s="49" t="s">
        <v>11760</v>
      </c>
      <c r="K14" s="49" t="s">
        <v>11760</v>
      </c>
      <c r="L14" s="49" t="s">
        <v>11754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Anastasia</v>
      </c>
      <c r="B15" s="46" t="str">
        <f>VLOOKUP(D15,'Master Data'!A:F,3,FALSE)</f>
        <v>Gesser</v>
      </c>
      <c r="C15" s="47" t="str">
        <f>VLOOKUP(D15,'Master Data'!A:F,6,FALSE)</f>
        <v>anastasia.gesser@gmail.com</v>
      </c>
      <c r="D15" s="30" t="s">
        <v>11524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06">
        <v>160</v>
      </c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11760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>Viktoria</v>
      </c>
      <c r="B16" s="46" t="str">
        <f>VLOOKUP(D16,'Master Data'!A:F,3,FALSE)</f>
        <v>Nömer</v>
      </c>
      <c r="C16" s="47" t="str">
        <f>VLOOKUP(D16,'Master Data'!A:F,6,FALSE)</f>
        <v>viktoria.noemer@gmx.de</v>
      </c>
      <c r="D16" s="19" t="s">
        <v>7770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6">
        <v>80</v>
      </c>
      <c r="I16" s="49" t="s">
        <v>11760</v>
      </c>
      <c r="J16" s="49" t="s">
        <v>11754</v>
      </c>
      <c r="K16" s="49" t="s">
        <v>11754</v>
      </c>
      <c r="L16" s="49" t="s">
        <v>11760</v>
      </c>
      <c r="M16" s="49" t="s">
        <v>11760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Jenny</v>
      </c>
      <c r="B17" s="46" t="str">
        <f>VLOOKUP(D17,'Master Data'!A:F,3,FALSE)</f>
        <v>Castro</v>
      </c>
      <c r="C17" s="47" t="str">
        <f>VLOOKUP(D17,'Master Data'!A:F,6,FALSE)</f>
        <v>castro.jenny@hotmail.ch</v>
      </c>
      <c r="D17" s="30" t="s">
        <v>7183</v>
      </c>
      <c r="E17" s="46"/>
      <c r="F17" s="46" t="str">
        <f>VLOOKUP(D17,'Master Data'!A:F,4,FALSE)</f>
        <v>w</v>
      </c>
      <c r="G17" s="46" t="str">
        <f>VLOOKUP(D17,'Master Data'!A:F,5,FALSE)</f>
        <v>Pushflow</v>
      </c>
      <c r="H17" s="103"/>
      <c r="I17" s="49" t="s">
        <v>11760</v>
      </c>
      <c r="J17" s="49" t="s">
        <v>11760</v>
      </c>
      <c r="K17" s="49" t="s">
        <v>11760</v>
      </c>
      <c r="L17" s="49" t="s">
        <v>11760</v>
      </c>
      <c r="M17" s="49" t="s">
        <v>11760</v>
      </c>
      <c r="N17" s="49" t="s">
        <v>11760</v>
      </c>
      <c r="O17" s="49"/>
      <c r="P17" s="49" t="s">
        <v>11760</v>
      </c>
    </row>
    <row r="18" spans="1:16" ht="23.25" customHeight="1" x14ac:dyDescent="0.25">
      <c r="A18" s="46" t="str">
        <f>VLOOKUP(D18,'Master Data'!A:F,2,FALSE)</f>
        <v>Deborah</v>
      </c>
      <c r="B18" s="46" t="str">
        <f>VLOOKUP(D18,'Master Data'!A:F,3,FALSE)</f>
        <v>Zängerle</v>
      </c>
      <c r="C18" s="47" t="str">
        <f>VLOOKUP(D18,'Master Data'!A:F,6,FALSE)</f>
        <v>deborah.zaengerle@gmail.com</v>
      </c>
      <c r="D18" s="30" t="s">
        <v>10695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6">
        <v>160</v>
      </c>
      <c r="I18" s="49" t="s">
        <v>11760</v>
      </c>
      <c r="J18" s="49" t="s">
        <v>11760</v>
      </c>
      <c r="K18" s="49" t="s">
        <v>11760</v>
      </c>
      <c r="L18" s="49" t="s">
        <v>11760</v>
      </c>
      <c r="M18" s="49" t="s">
        <v>11760</v>
      </c>
      <c r="N18" s="49" t="s">
        <v>11760</v>
      </c>
      <c r="O18" s="49"/>
      <c r="P18" s="49" t="s">
        <v>11760</v>
      </c>
    </row>
    <row r="19" spans="1:16" ht="23.25" customHeight="1" x14ac:dyDescent="0.25">
      <c r="A19" s="46" t="str">
        <f>VLOOKUP(D19,'Master Data'!A:F,2,FALSE)</f>
        <v>Rachel</v>
      </c>
      <c r="B19" s="46" t="str">
        <f>VLOOKUP(D19,'Master Data'!A:F,3,FALSE)</f>
        <v>Marley</v>
      </c>
      <c r="C19" s="47" t="str">
        <f>VLOOKUP(D19,'Master Data'!A:F,6,FALSE)</f>
        <v>rachel.marley@hotmail.com</v>
      </c>
      <c r="D19" s="30" t="s">
        <v>9919</v>
      </c>
      <c r="E19" s="46"/>
      <c r="F19" s="46" t="str">
        <f>VLOOKUP(D19,'Master Data'!A:F,4,FALSE)</f>
        <v>w</v>
      </c>
      <c r="G19" s="46" t="str">
        <f>VLOOKUP(D19,'Master Data'!A:F,5,FALSE)</f>
        <v>Normal</v>
      </c>
      <c r="H19" s="106">
        <v>140</v>
      </c>
      <c r="I19" s="49" t="s">
        <v>11760</v>
      </c>
      <c r="J19" s="49" t="s">
        <v>11760</v>
      </c>
      <c r="K19" s="49" t="s">
        <v>11760</v>
      </c>
      <c r="L19" s="49" t="s">
        <v>11760</v>
      </c>
      <c r="M19" s="49" t="s">
        <v>11760</v>
      </c>
      <c r="N19" s="49" t="s">
        <v>11760</v>
      </c>
      <c r="O19" s="49"/>
      <c r="P19" s="49" t="s">
        <v>11754</v>
      </c>
    </row>
    <row r="20" spans="1:16" ht="23.25" customHeight="1" x14ac:dyDescent="0.25">
      <c r="A20" s="46" t="str">
        <f>VLOOKUP(D20,'Master Data'!A:F,2,FALSE)</f>
        <v>Federica</v>
      </c>
      <c r="B20" s="46" t="str">
        <f>VLOOKUP(D20,'Master Data'!A:F,3,FALSE)</f>
        <v>Caffo</v>
      </c>
      <c r="C20" s="47" t="str">
        <f>VLOOKUP(D20,'Master Data'!A:F,6,FALSE)</f>
        <v>federica.caffo@hotmail.com</v>
      </c>
      <c r="D20" s="30" t="s">
        <v>9755</v>
      </c>
      <c r="E20" s="46"/>
      <c r="F20" s="46" t="str">
        <f>VLOOKUP(D20,'Master Data'!A:F,4,FALSE)</f>
        <v>w</v>
      </c>
      <c r="G20" s="46" t="str">
        <f>VLOOKUP(D20,'Master Data'!A:F,5,FALSE)</f>
        <v>Normal</v>
      </c>
      <c r="H20" s="106">
        <v>25</v>
      </c>
      <c r="I20" s="49" t="s">
        <v>11754</v>
      </c>
      <c r="J20" s="49" t="s">
        <v>11754</v>
      </c>
      <c r="K20" s="49" t="s">
        <v>11754</v>
      </c>
      <c r="L20" s="49" t="s">
        <v>11760</v>
      </c>
      <c r="M20" s="49" t="s">
        <v>11760</v>
      </c>
      <c r="N20" s="49" t="s">
        <v>11760</v>
      </c>
      <c r="O20" s="49"/>
      <c r="P20" s="49" t="s">
        <v>11760</v>
      </c>
    </row>
    <row r="21" spans="1:16" ht="23.25" customHeight="1" x14ac:dyDescent="0.25">
      <c r="A21" s="46" t="str">
        <f>VLOOKUP(D21,'Master Data'!A:F,2,FALSE)</f>
        <v>Pascale Alexandra</v>
      </c>
      <c r="B21" s="46" t="str">
        <f>VLOOKUP(D21,'Master Data'!A:F,3,FALSE)</f>
        <v>Stöckli</v>
      </c>
      <c r="C21" s="47" t="str">
        <f>VLOOKUP(D21,'Master Data'!A:F,6,FALSE)</f>
        <v>pascale.st@live.de</v>
      </c>
      <c r="D21" s="30" t="s">
        <v>11888</v>
      </c>
      <c r="E21" s="46"/>
      <c r="F21" s="46" t="str">
        <f>VLOOKUP(D21,'Master Data'!A:F,4,FALSE)</f>
        <v>w</v>
      </c>
      <c r="G21" s="46" t="str">
        <f>VLOOKUP(D21,'Master Data'!A:F,5,FALSE)</f>
        <v>Normal</v>
      </c>
      <c r="H21" s="103">
        <v>160</v>
      </c>
      <c r="I21" s="49" t="s">
        <v>11760</v>
      </c>
      <c r="J21" s="49" t="s">
        <v>11760</v>
      </c>
      <c r="K21" s="49" t="s">
        <v>11760</v>
      </c>
      <c r="L21" s="49" t="s">
        <v>11760</v>
      </c>
      <c r="M21" s="49" t="s">
        <v>11760</v>
      </c>
      <c r="N21" s="49" t="s">
        <v>11760</v>
      </c>
      <c r="O21" s="49"/>
      <c r="P21" s="49" t="s">
        <v>11760</v>
      </c>
    </row>
    <row r="22" spans="1:16" ht="23.25" customHeight="1" x14ac:dyDescent="0.25">
      <c r="A22" s="46" t="str">
        <f>VLOOKUP(D22,'Master Data'!A:F,2,FALSE)</f>
        <v>Salome</v>
      </c>
      <c r="B22" s="46" t="str">
        <f>VLOOKUP(D22,'Master Data'!A:F,3,FALSE)</f>
        <v>Amstutz</v>
      </c>
      <c r="C22" s="47" t="str">
        <f>VLOOKUP(D22,'Master Data'!A:F,6,FALSE)</f>
        <v>salome.amstutz@gmail.com</v>
      </c>
      <c r="D22" s="30" t="s">
        <v>11978</v>
      </c>
      <c r="E22" s="46"/>
      <c r="F22" s="46" t="str">
        <f>VLOOKUP(D22,'Master Data'!A:F,4,FALSE)</f>
        <v>w</v>
      </c>
      <c r="G22" s="46" t="str">
        <f>VLOOKUP(D22,'Master Data'!A:F,5,FALSE)</f>
        <v>Paar</v>
      </c>
      <c r="H22" s="106">
        <v>100</v>
      </c>
      <c r="I22" s="49" t="s">
        <v>11760</v>
      </c>
      <c r="J22" s="49" t="s">
        <v>11760</v>
      </c>
      <c r="K22" s="49" t="s">
        <v>11760</v>
      </c>
      <c r="L22" s="49" t="s">
        <v>11760</v>
      </c>
      <c r="M22" s="49" t="s">
        <v>11760</v>
      </c>
      <c r="N22" s="49" t="s">
        <v>11760</v>
      </c>
      <c r="O22" s="49"/>
      <c r="P22" s="49" t="s">
        <v>11760</v>
      </c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19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53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Data'!A:F,5,FALSE)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3.25" customHeight="1" x14ac:dyDescent="0.25">
      <c r="A32" s="46" t="e">
        <f>VLOOKUP(D32,'Master Data'!A:F,2,FALSE)</f>
        <v>#N/A</v>
      </c>
      <c r="B32" s="46" t="e">
        <f>VLOOKUP(D32,'Master Data'!A:F,3,FALSE)</f>
        <v>#N/A</v>
      </c>
      <c r="C32" s="47" t="e">
        <f>VLOOKUP(D32,'Master Data'!A:F,5,FALSE)</f>
        <v>#N/A</v>
      </c>
      <c r="D32" s="30"/>
      <c r="E32" s="46"/>
      <c r="F32" s="46"/>
      <c r="G32" s="64" t="s">
        <v>11290</v>
      </c>
      <c r="H32" s="65">
        <f>SUM(H7:H31)</f>
        <v>1565</v>
      </c>
      <c r="I32" s="49"/>
      <c r="J32" s="49"/>
      <c r="K32" s="49"/>
      <c r="L32" s="49"/>
      <c r="M32" s="49"/>
      <c r="N32" s="49"/>
      <c r="O32" s="49"/>
      <c r="P32" s="4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A7:C32 F7:G32">
    <cfRule type="cellIs" dxfId="35" priority="1" operator="equal">
      <formula>0</formula>
    </cfRule>
    <cfRule type="expression" dxfId="34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KLG Aeschenvorstadt 67, 4051 Basel&amp;CSebastian - Tel. 076 218 21 98 Fabio - Tel. 076 478 84 11&amp;R info@salsaflow-dc.com www.salsaflow-dc.com</oddFooter>
  </headerFooter>
  <rowBreaks count="1" manualBreakCount="1">
    <brk id="31" max="16383" man="1"/>
  </rowBreaks>
  <colBreaks count="1" manualBreakCount="1">
    <brk id="16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2EFD9"/>
  </sheetPr>
  <dimension ref="A1:P32"/>
  <sheetViews>
    <sheetView view="pageLayout" topLeftCell="A4" zoomScaleNormal="100" workbookViewId="0">
      <selection activeCell="F13" sqref="F13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17" width="10.42578125" customWidth="1"/>
    <col min="18" max="26" width="7" customWidth="1"/>
  </cols>
  <sheetData>
    <row r="1" spans="1:16" ht="23.25" customHeight="1" x14ac:dyDescent="0.25">
      <c r="A1" s="36" t="s">
        <v>11398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11311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Ali</v>
      </c>
      <c r="B7" s="46" t="str">
        <f>VLOOKUP(D7,'Master Data'!A:F,3,FALSE)</f>
        <v>Üstündag</v>
      </c>
      <c r="C7" s="47" t="str">
        <f>VLOOKUP(D7,'Master Data'!A:F,6,FALSE)</f>
        <v>ali.uestuendag@gmail.com</v>
      </c>
      <c r="D7" s="34" t="s">
        <v>8514</v>
      </c>
      <c r="E7" s="46"/>
      <c r="F7" s="46" t="str">
        <f>VLOOKUP(D7,'Master Data'!A:F,4,FALSE)</f>
        <v>m</v>
      </c>
      <c r="G7" s="46" t="str">
        <f>VLOOKUP(D7,'Master Data'!A:F,5,FALSE)</f>
        <v>Pushflow</v>
      </c>
      <c r="H7" s="103"/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Patricia Maria</v>
      </c>
      <c r="B8" s="46" t="str">
        <f>VLOOKUP(D8,'Master Data'!A:F,3,FALSE)</f>
        <v>Schaad</v>
      </c>
      <c r="C8" s="47" t="str">
        <f>VLOOKUP(D8,'Master Data'!A:F,6,FALSE)</f>
        <v>patricia.schaad@students.fhnw.ch</v>
      </c>
      <c r="D8" s="30" t="s">
        <v>4388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3">
        <v>285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Pia</v>
      </c>
      <c r="B9" s="46" t="str">
        <f>VLOOKUP(D9,'Master Data'!A:F,3,FALSE)</f>
        <v>Lai</v>
      </c>
      <c r="C9" s="47" t="str">
        <f>VLOOKUP(D9,'Master Data'!A:F,6,FALSE)</f>
        <v>pia.hl.lai@gmail.com</v>
      </c>
      <c r="D9" s="30" t="s">
        <v>9128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03"/>
      <c r="I9" s="49" t="s">
        <v>11754</v>
      </c>
      <c r="J9" s="49" t="s">
        <v>11760</v>
      </c>
      <c r="K9" s="49" t="s">
        <v>11760</v>
      </c>
      <c r="L9" s="49" t="s">
        <v>11754</v>
      </c>
      <c r="M9" s="49" t="s">
        <v>11760</v>
      </c>
      <c r="N9" s="49" t="s">
        <v>11760</v>
      </c>
      <c r="O9" s="49"/>
      <c r="P9" s="49" t="s">
        <v>11754</v>
      </c>
    </row>
    <row r="10" spans="1:16" ht="23.25" customHeight="1" x14ac:dyDescent="0.25">
      <c r="A10" s="46" t="str">
        <f>VLOOKUP(D10,'Master Data'!A:F,2,FALSE)</f>
        <v>Anissa</v>
      </c>
      <c r="B10" s="46" t="str">
        <f>VLOOKUP(D10,'Master Data'!A:F,3,FALSE)</f>
        <v>Stalder</v>
      </c>
      <c r="C10" s="47" t="str">
        <f>VLOOKUP(D10,'Master Data'!A:F,6,FALSE)</f>
        <v>anissastalder9@gmail.com</v>
      </c>
      <c r="D10" s="30" t="s">
        <v>8491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06">
        <v>160</v>
      </c>
      <c r="I10" s="49" t="s">
        <v>11760</v>
      </c>
      <c r="J10" s="49" t="s">
        <v>11760</v>
      </c>
      <c r="K10" s="49" t="s">
        <v>11760</v>
      </c>
      <c r="L10" s="49" t="s">
        <v>11760</v>
      </c>
      <c r="M10" s="49" t="s">
        <v>11754</v>
      </c>
      <c r="N10" s="49" t="s">
        <v>11760</v>
      </c>
      <c r="O10" s="49"/>
      <c r="P10" s="49" t="s">
        <v>11754</v>
      </c>
    </row>
    <row r="11" spans="1:16" ht="23.25" customHeight="1" x14ac:dyDescent="0.25">
      <c r="A11" s="46" t="str">
        <f>VLOOKUP(D11,'Master Data'!A:F,2,FALSE)</f>
        <v>Diana</v>
      </c>
      <c r="B11" s="46" t="str">
        <f>VLOOKUP(D11,'Master Data'!A:F,3,FALSE)</f>
        <v>Reznik</v>
      </c>
      <c r="C11" s="47" t="str">
        <f>VLOOKUP(D11,'Master Data'!A:F,6,FALSE)</f>
        <v>reznikdiana@hotmail.com</v>
      </c>
      <c r="D11" s="34" t="s">
        <v>9675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3"/>
      <c r="I11" s="49" t="s">
        <v>11760</v>
      </c>
      <c r="J11" s="49" t="s">
        <v>11760</v>
      </c>
      <c r="K11" s="49" t="s">
        <v>11760</v>
      </c>
      <c r="L11" s="49" t="s">
        <v>11754</v>
      </c>
      <c r="M11" s="49" t="s">
        <v>11760</v>
      </c>
      <c r="N11" s="49" t="s">
        <v>11760</v>
      </c>
      <c r="O11" s="49"/>
      <c r="P11" s="49" t="s">
        <v>11754</v>
      </c>
    </row>
    <row r="12" spans="1:16" ht="23.25" customHeight="1" x14ac:dyDescent="0.25">
      <c r="A12" s="46" t="str">
        <f>VLOOKUP(D12,'Master Data'!A:F,2,FALSE)</f>
        <v>Tijana</v>
      </c>
      <c r="B12" s="46" t="str">
        <f>VLOOKUP(D12,'Master Data'!A:F,3,FALSE)</f>
        <v>Miljkovic</v>
      </c>
      <c r="C12" s="47" t="str">
        <f>VLOOKUP(D12,'Master Data'!A:F,6,FALSE)</f>
        <v>tijana.miljkovic@icloud.com</v>
      </c>
      <c r="D12" s="19" t="s">
        <v>8501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6">
        <v>410</v>
      </c>
      <c r="I12" s="49" t="s">
        <v>11760</v>
      </c>
      <c r="J12" s="49" t="s">
        <v>11754</v>
      </c>
      <c r="K12" s="49" t="s">
        <v>11754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Stephan</v>
      </c>
      <c r="B13" s="46" t="str">
        <f>VLOOKUP(D13,'Master Data'!A:F,3,FALSE)</f>
        <v>Berger</v>
      </c>
      <c r="C13" s="47" t="str">
        <f>VLOOKUP(D13,'Master Data'!A:F,6,FALSE)</f>
        <v>stephan@berger.ph</v>
      </c>
      <c r="D13" s="30" t="s">
        <v>3162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6">
        <v>190</v>
      </c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 t="s">
        <v>11754</v>
      </c>
      <c r="P13" s="49" t="s">
        <v>11760</v>
      </c>
    </row>
    <row r="14" spans="1:16" ht="23.25" customHeight="1" x14ac:dyDescent="0.25">
      <c r="A14" s="46" t="str">
        <f>VLOOKUP(D14,'Master Data'!A:F,2,FALSE)</f>
        <v>Myriam</v>
      </c>
      <c r="B14" s="46" t="str">
        <f>VLOOKUP(D14,'Master Data'!A:F,3,FALSE)</f>
        <v>Aouadi</v>
      </c>
      <c r="C14" s="47" t="str">
        <f>VLOOKUP(D14,'Master Data'!A:F,6,FALSE)</f>
        <v>aouadme@gmail.com</v>
      </c>
      <c r="D14" s="30" t="s">
        <v>5648</v>
      </c>
      <c r="E14" s="46" t="s">
        <v>11950</v>
      </c>
      <c r="F14" s="46" t="str">
        <f>VLOOKUP(D14,'Master Data'!A:F,4,FALSE)</f>
        <v>w</v>
      </c>
      <c r="G14" s="46" t="str">
        <f>VLOOKUP(D14,'Master Data'!A:F,5,FALSE)</f>
        <v>Normal</v>
      </c>
      <c r="H14" s="103"/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Zerina</v>
      </c>
      <c r="B15" s="46" t="str">
        <f>VLOOKUP(D15,'Master Data'!A:F,3,FALSE)</f>
        <v>Bajrami</v>
      </c>
      <c r="C15" s="47" t="str">
        <f>VLOOKUP(D15,'Master Data'!A:F,6,FALSE)</f>
        <v>zerina.zb@gmail.com</v>
      </c>
      <c r="D15" s="30" t="s">
        <v>11076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06">
        <v>170</v>
      </c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11754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>Tatjana</v>
      </c>
      <c r="B16" s="46" t="str">
        <f>VLOOKUP(D16,'Master Data'!A:F,3,FALSE)</f>
        <v>Miskovic</v>
      </c>
      <c r="C16" s="47" t="str">
        <f>VLOOKUP(D16,'Master Data'!A:F,6,FALSE)</f>
        <v>tatjana.miskov@gmail.com</v>
      </c>
      <c r="D16" s="30" t="s">
        <v>8236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6">
        <v>190</v>
      </c>
      <c r="I16" s="49" t="s">
        <v>11760</v>
      </c>
      <c r="J16" s="49" t="s">
        <v>11760</v>
      </c>
      <c r="K16" s="49" t="s">
        <v>11760</v>
      </c>
      <c r="L16" s="49" t="s">
        <v>11760</v>
      </c>
      <c r="M16" s="49" t="s">
        <v>11760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Doris</v>
      </c>
      <c r="B17" s="46" t="str">
        <f>VLOOKUP(D17,'Master Data'!A:F,3,FALSE)</f>
        <v>Aznar</v>
      </c>
      <c r="C17" s="47" t="str">
        <f>VLOOKUP(D17,'Master Data'!A:F,6,FALSE)</f>
        <v>doris_aznar@hotmail.com</v>
      </c>
      <c r="D17" s="30" t="s">
        <v>8091</v>
      </c>
      <c r="E17" s="46"/>
      <c r="F17" s="46" t="str">
        <f>VLOOKUP(D17,'Master Data'!A:F,4,FALSE)</f>
        <v>w</v>
      </c>
      <c r="G17" s="46" t="str">
        <f>VLOOKUP(D17,'Master Data'!A:F,5,FALSE)</f>
        <v>Normal</v>
      </c>
      <c r="H17" s="103"/>
      <c r="I17" s="49" t="s">
        <v>11760</v>
      </c>
      <c r="J17" s="49" t="s">
        <v>11760</v>
      </c>
      <c r="K17" s="49" t="s">
        <v>11760</v>
      </c>
      <c r="L17" s="49" t="s">
        <v>11760</v>
      </c>
      <c r="M17" s="49" t="s">
        <v>11760</v>
      </c>
      <c r="N17" s="49" t="s">
        <v>11760</v>
      </c>
      <c r="O17" s="49"/>
      <c r="P17" s="49" t="s">
        <v>11754</v>
      </c>
    </row>
    <row r="18" spans="1:16" ht="23.25" customHeight="1" x14ac:dyDescent="0.25">
      <c r="A18" s="46" t="str">
        <f>VLOOKUP(D18,'Master Data'!A:F,2,FALSE)</f>
        <v xml:space="preserve">Isabel </v>
      </c>
      <c r="B18" s="46" t="str">
        <f>VLOOKUP(D18,'Master Data'!A:F,3,FALSE)</f>
        <v>Garcia</v>
      </c>
      <c r="C18" s="47">
        <f>VLOOKUP(D18,'Master Data'!A:F,6,FALSE)</f>
        <v>0</v>
      </c>
      <c r="D18" s="30" t="s">
        <v>7392</v>
      </c>
      <c r="E18" s="46"/>
      <c r="F18" s="46" t="str">
        <f>VLOOKUP(D18,'Master Data'!A:F,4,FALSE)</f>
        <v>w</v>
      </c>
      <c r="G18" s="46" t="str">
        <f>VLOOKUP(D18,'Master Data'!A:F,5,FALSE)</f>
        <v>Pushflow</v>
      </c>
      <c r="H18" s="103"/>
      <c r="I18" s="49" t="s">
        <v>11754</v>
      </c>
      <c r="J18" s="49" t="s">
        <v>11760</v>
      </c>
      <c r="K18" s="49" t="s">
        <v>11760</v>
      </c>
      <c r="L18" s="49" t="s">
        <v>11760</v>
      </c>
      <c r="M18" s="49" t="s">
        <v>11760</v>
      </c>
      <c r="N18" s="49" t="s">
        <v>11760</v>
      </c>
      <c r="O18" s="49"/>
      <c r="P18" s="49" t="s">
        <v>11754</v>
      </c>
    </row>
    <row r="19" spans="1:16" ht="23.25" customHeight="1" x14ac:dyDescent="0.25">
      <c r="A19" s="46" t="str">
        <f>VLOOKUP(D19,'Master Data'!A:F,2,FALSE)</f>
        <v>Marco</v>
      </c>
      <c r="B19" s="46" t="str">
        <f>VLOOKUP(D19,'Master Data'!A:F,3,FALSE)</f>
        <v>Krummenacher</v>
      </c>
      <c r="C19" s="47" t="str">
        <f>VLOOKUP(D19,'Master Data'!A:F,6,FALSE)</f>
        <v>marco.krummenacher@unibas.ch</v>
      </c>
      <c r="D19" s="30" t="s">
        <v>6805</v>
      </c>
      <c r="E19" s="46"/>
      <c r="F19" s="46" t="str">
        <f>VLOOKUP(D19,'Master Data'!A:F,4,FALSE)</f>
        <v>m</v>
      </c>
      <c r="G19" s="46" t="str">
        <f>VLOOKUP(D19,'Master Data'!A:F,5,FALSE)</f>
        <v>Pushflow</v>
      </c>
      <c r="H19" s="103"/>
      <c r="I19" s="49" t="s">
        <v>11760</v>
      </c>
      <c r="J19" s="49" t="s">
        <v>11754</v>
      </c>
      <c r="K19" s="49" t="s">
        <v>11754</v>
      </c>
      <c r="L19" s="49" t="s">
        <v>11754</v>
      </c>
      <c r="M19" s="49" t="s">
        <v>11754</v>
      </c>
      <c r="N19" s="49" t="s">
        <v>11760</v>
      </c>
      <c r="O19" s="49"/>
      <c r="P19" s="49" t="s">
        <v>11754</v>
      </c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0"/>
      <c r="E32" s="31"/>
      <c r="F32" s="31"/>
      <c r="G32" s="51" t="s">
        <v>11290</v>
      </c>
      <c r="H32" s="51">
        <f>SUM(H7:H31)</f>
        <v>1405</v>
      </c>
      <c r="I32" s="31"/>
      <c r="J32" s="31"/>
      <c r="K32" s="31"/>
      <c r="L32" s="31"/>
      <c r="M32" s="31"/>
      <c r="N32" s="31"/>
      <c r="O32" s="31"/>
      <c r="P32" s="31"/>
    </row>
  </sheetData>
  <mergeCells count="1">
    <mergeCell ref="I6:P6"/>
  </mergeCells>
  <conditionalFormatting sqref="F7:G31 A7:C32">
    <cfRule type="cellIs" dxfId="33" priority="1" operator="equal">
      <formula>0</formula>
    </cfRule>
    <cfRule type="expression" dxfId="32" priority="2">
      <formula>ISERROR(A7)</formula>
    </cfRule>
  </conditionalFormatting>
  <pageMargins left="0.41666666666666669" right="0.41666666666666669" top="0.78740157499999996" bottom="0.57750000000000001" header="0" footer="0"/>
  <pageSetup paperSize="9" scale="78" orientation="landscape" r:id="rId1"/>
  <headerFooter>
    <oddFooter>&amp;LSalsaflow Dance Company GmbH Elisabethenabnlage 7, 4051 Basel&amp;CSebastian - Tel. 076 218 21 98 Fabio - Tel. 076 478 84 11&amp;R info@salsaflow-dc.com www.salsaflow-dc.com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E2EFD9"/>
  </sheetPr>
  <dimension ref="A1:P1001"/>
  <sheetViews>
    <sheetView view="pageLayout" zoomScaleNormal="100" workbookViewId="0">
      <selection activeCell="P11" sqref="P11:P12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11647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11312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Tamas</v>
      </c>
      <c r="B7" s="46" t="str">
        <f>VLOOKUP(D7,'Master Data'!A:F,3,FALSE)</f>
        <v>Faludi</v>
      </c>
      <c r="C7" s="47" t="str">
        <f>VLOOKUP(D7,'Master Data'!A:F,6,FALSE)</f>
        <v>tamasfld@gmail.com</v>
      </c>
      <c r="D7" s="30" t="s">
        <v>6780</v>
      </c>
      <c r="E7" s="46"/>
      <c r="F7" s="46" t="str">
        <f>VLOOKUP(D7,'Master Data'!A:F,4,FALSE)</f>
        <v>m</v>
      </c>
      <c r="G7" s="46" t="str">
        <f>VLOOKUP(D7,'Master Data'!A:F,5,FALSE)</f>
        <v>Normal</v>
      </c>
      <c r="H7" s="106">
        <v>240</v>
      </c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11754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Ivan</v>
      </c>
      <c r="B8" s="46" t="str">
        <f>VLOOKUP(D8,'Master Data'!A:F,3,FALSE)</f>
        <v>Glushenkov</v>
      </c>
      <c r="C8" s="47" t="str">
        <f>VLOOKUP(D8,'Master Data'!A:F,6,FALSE)</f>
        <v>ivan.glushenkov.data@gmail.com</v>
      </c>
      <c r="D8" s="30" t="s">
        <v>11116</v>
      </c>
      <c r="E8" s="46" t="s">
        <v>11298</v>
      </c>
      <c r="F8" s="46" t="str">
        <f>VLOOKUP(D8,'Master Data'!A:F,4,FALSE)</f>
        <v>m</v>
      </c>
      <c r="G8" s="46" t="str">
        <f>VLOOKUP(D8,'Master Data'!A:F,5,FALSE)</f>
        <v>Normal</v>
      </c>
      <c r="H8" s="103"/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Alexandra</v>
      </c>
      <c r="B9" s="46" t="str">
        <f>VLOOKUP(D9,'Master Data'!A:F,3,FALSE)</f>
        <v>Mattschas</v>
      </c>
      <c r="C9" s="47" t="str">
        <f>VLOOKUP(D9,'Master Data'!A:F,6,FALSE)</f>
        <v>margarete.mattschas@gmail.com</v>
      </c>
      <c r="D9" s="7" t="s">
        <v>9564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06">
        <v>190</v>
      </c>
      <c r="I9" s="49" t="s">
        <v>11760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 t="s">
        <v>11754</v>
      </c>
      <c r="P9" s="49" t="s">
        <v>11760</v>
      </c>
    </row>
    <row r="10" spans="1:16" ht="23.25" customHeight="1" x14ac:dyDescent="0.25">
      <c r="A10" s="46" t="str">
        <f>VLOOKUP(D10,'Master Data'!A:F,2,FALSE)</f>
        <v>Kalin</v>
      </c>
      <c r="B10" s="46" t="str">
        <f>VLOOKUP(D10,'Master Data'!A:F,3,FALSE)</f>
        <v>Marinov</v>
      </c>
      <c r="C10" s="47" t="str">
        <f>VLOOKUP(D10,'Master Data'!A:F,6,FALSE)</f>
        <v>kalin.marinov977@gmail.com</v>
      </c>
      <c r="D10" s="34" t="s">
        <v>9579</v>
      </c>
      <c r="E10" s="46" t="s">
        <v>11298</v>
      </c>
      <c r="F10" s="46" t="str">
        <f>VLOOKUP(D10,'Master Data'!A:F,4,FALSE)</f>
        <v>m</v>
      </c>
      <c r="G10" s="46" t="str">
        <f>VLOOKUP(D10,'Master Data'!A:F,5,FALSE)</f>
        <v>Normal</v>
      </c>
      <c r="H10" s="103"/>
      <c r="I10" s="49" t="s">
        <v>11754</v>
      </c>
      <c r="J10" s="49" t="s">
        <v>11760</v>
      </c>
      <c r="K10" s="49" t="s">
        <v>11754</v>
      </c>
      <c r="L10" s="49" t="s">
        <v>11760</v>
      </c>
      <c r="M10" s="49" t="s">
        <v>11754</v>
      </c>
      <c r="N10" s="49" t="s">
        <v>11754</v>
      </c>
      <c r="O10" s="49" t="s">
        <v>11754</v>
      </c>
      <c r="P10" s="49" t="s">
        <v>11754</v>
      </c>
    </row>
    <row r="11" spans="1:16" ht="23.25" customHeight="1" x14ac:dyDescent="0.25">
      <c r="A11" s="46" t="str">
        <f>VLOOKUP(D11,'Master Data'!A:F,2,FALSE)</f>
        <v>Eleanor</v>
      </c>
      <c r="B11" s="46" t="str">
        <f>VLOOKUP(D11,'Master Data'!A:F,3,FALSE)</f>
        <v>Low</v>
      </c>
      <c r="C11" s="47" t="str">
        <f>VLOOKUP(D11,'Master Data'!A:F,6,FALSE)</f>
        <v>elebasel@gmail.com</v>
      </c>
      <c r="D11" s="21" t="s">
        <v>11702</v>
      </c>
      <c r="E11" s="46" t="s">
        <v>11665</v>
      </c>
      <c r="F11" s="46" t="str">
        <f>VLOOKUP(D11,'Master Data'!A:F,4,FALSE)</f>
        <v>w</v>
      </c>
      <c r="G11" s="46" t="str">
        <f>VLOOKUP(D11,'Master Data'!A:F,5,FALSE)</f>
        <v>Normal</v>
      </c>
      <c r="H11" s="103"/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Ben</v>
      </c>
      <c r="B12" s="46" t="str">
        <f>VLOOKUP(D12,'Master Data'!A:F,3,FALSE)</f>
        <v>Böke</v>
      </c>
      <c r="C12" s="47" t="str">
        <f>VLOOKUP(D12,'Master Data'!A:F,6,FALSE)</f>
        <v>ben25boeke@gmail.com</v>
      </c>
      <c r="D12" s="98" t="s">
        <v>11951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3"/>
      <c r="I12" s="49" t="s">
        <v>11760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e">
        <f>VLOOKUP(D13,'Master Data'!A:F,2,FALSE)</f>
        <v>#N/A</v>
      </c>
      <c r="B13" s="46" t="e">
        <f>VLOOKUP(D13,'Master Data'!A:F,3,FALSE)</f>
        <v>#N/A</v>
      </c>
      <c r="C13" s="47" t="e">
        <f>VLOOKUP(D13,'Master Data'!A:F,6,FALSE)</f>
        <v>#N/A</v>
      </c>
      <c r="D13" s="98"/>
      <c r="E13" s="46"/>
      <c r="F13" s="46" t="e">
        <f>VLOOKUP(D13,'Master Data'!A:F,4,FALSE)</f>
        <v>#N/A</v>
      </c>
      <c r="G13" s="46" t="e">
        <f>VLOOKUP(D13,'Master Data'!A:F,5,FALSE)</f>
        <v>#N/A</v>
      </c>
      <c r="H13" s="48"/>
      <c r="I13" s="49"/>
      <c r="J13" s="49"/>
      <c r="K13" s="49"/>
      <c r="L13" s="49"/>
      <c r="M13" s="49"/>
      <c r="N13" s="49"/>
      <c r="O13" s="49"/>
      <c r="P13" s="49"/>
    </row>
    <row r="14" spans="1:16" ht="23.25" customHeight="1" x14ac:dyDescent="0.25">
      <c r="A14" s="46" t="e">
        <f>VLOOKUP(D14,'Master Data'!A:F,2,FALSE)</f>
        <v>#N/A</v>
      </c>
      <c r="B14" s="46" t="e">
        <f>VLOOKUP(D14,'Master Data'!A:F,3,FALSE)</f>
        <v>#N/A</v>
      </c>
      <c r="C14" s="47" t="e">
        <f>VLOOKUP(D14,'Master Data'!A:F,6,FALSE)</f>
        <v>#N/A</v>
      </c>
      <c r="D14" s="98"/>
      <c r="E14" s="46"/>
      <c r="F14" s="46"/>
      <c r="G14" s="46"/>
      <c r="H14" s="48"/>
      <c r="I14" s="49"/>
      <c r="J14" s="49"/>
      <c r="K14" s="49"/>
      <c r="L14" s="49"/>
      <c r="M14" s="49"/>
      <c r="N14" s="49"/>
      <c r="O14" s="49"/>
      <c r="P14" s="49"/>
    </row>
    <row r="15" spans="1:16" ht="23.25" customHeight="1" x14ac:dyDescent="0.25">
      <c r="A15" s="46" t="e">
        <f>VLOOKUP(D15,'Master Data'!A:F,2,FALSE)</f>
        <v>#N/A</v>
      </c>
      <c r="B15" s="46" t="e">
        <f>VLOOKUP(D15,'Master Data'!A:F,3,FALSE)</f>
        <v>#N/A</v>
      </c>
      <c r="C15" s="47" t="e">
        <f>VLOOKUP(D15,'Master Data'!A:F,6,FALSE)</f>
        <v>#N/A</v>
      </c>
      <c r="D15" s="21"/>
      <c r="E15" s="46"/>
      <c r="F15" s="46" t="e">
        <f>VLOOKUP(D15,'Master Data'!A:F,4,FALSE)</f>
        <v>#N/A</v>
      </c>
      <c r="G15" s="46" t="e">
        <f>VLOOKUP(D15,'Master Data'!A:F,5,FALSE)</f>
        <v>#N/A</v>
      </c>
      <c r="H15" s="48"/>
      <c r="I15" s="49"/>
      <c r="J15" s="49"/>
      <c r="K15" s="49"/>
      <c r="L15" s="49"/>
      <c r="M15" s="49"/>
      <c r="N15" s="49"/>
      <c r="O15" s="49"/>
      <c r="P15" s="49"/>
    </row>
    <row r="16" spans="1:16" ht="23.25" customHeight="1" x14ac:dyDescent="0.25">
      <c r="A16" s="46" t="e">
        <f>VLOOKUP(D16,'Master Data'!A:F,2,FALSE)</f>
        <v>#N/A</v>
      </c>
      <c r="B16" s="46" t="e">
        <f>VLOOKUP(D16,'Master Data'!A:F,3,FALSE)</f>
        <v>#N/A</v>
      </c>
      <c r="C16" s="47" t="e">
        <f>VLOOKUP(D16,'Master Data'!A:F,6,FALSE)</f>
        <v>#N/A</v>
      </c>
      <c r="D16" s="21"/>
      <c r="E16" s="46"/>
      <c r="F16" s="46" t="e">
        <f>VLOOKUP(D16,'Master Data'!A:F,4,FALSE)</f>
        <v>#N/A</v>
      </c>
      <c r="G16" s="46" t="e">
        <f>VLOOKUP(D16,'Master Data'!A:F,5,FALSE)</f>
        <v>#N/A</v>
      </c>
      <c r="H16" s="48"/>
      <c r="I16" s="49"/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e">
        <f>VLOOKUP(D17,'Master Data'!A:F,2,FALSE)</f>
        <v>#N/A</v>
      </c>
      <c r="B17" s="46" t="e">
        <f>VLOOKUP(D17,'Master Data'!A:F,3,FALSE)</f>
        <v>#N/A</v>
      </c>
      <c r="C17" s="47" t="e">
        <f>VLOOKUP(D17,'Master Data'!A:F,6,FALSE)</f>
        <v>#N/A</v>
      </c>
      <c r="D17" s="21"/>
      <c r="E17" s="46"/>
      <c r="F17" s="46" t="e">
        <f>VLOOKUP(D17,'Master Data'!A:F,4,FALSE)</f>
        <v>#N/A</v>
      </c>
      <c r="G17" s="46" t="e">
        <f>VLOOKUP(D17,'Master Data'!A:F,5,FALSE)</f>
        <v>#N/A</v>
      </c>
      <c r="H17" s="48"/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21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21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21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21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21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21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21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21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21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21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21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21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21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3.25" customHeight="1" x14ac:dyDescent="0.25">
      <c r="A32" s="46" t="e">
        <f>VLOOKUP(D32,'Master Data'!A:F,2,FALSE)</f>
        <v>#N/A</v>
      </c>
      <c r="B32" s="46" t="e">
        <f>VLOOKUP(D32,'Master Data'!A:F,3,FALSE)</f>
        <v>#N/A</v>
      </c>
      <c r="C32" s="47" t="e">
        <f>VLOOKUP(D32,'Master Data'!A:F,5,FALSE)</f>
        <v>#N/A</v>
      </c>
      <c r="D32" s="30"/>
      <c r="E32" s="46"/>
      <c r="F32" s="46" t="e">
        <f>VLOOKUP(D32,'Master Data'!A:F,4,FALSE)</f>
        <v>#N/A</v>
      </c>
      <c r="G32" s="46" t="e">
        <f>VLOOKUP(D32,'Master Data'!A:F,5,FALSE)</f>
        <v>#N/A</v>
      </c>
      <c r="H32" s="48"/>
      <c r="I32" s="49"/>
      <c r="J32" s="49"/>
      <c r="K32" s="49"/>
      <c r="L32" s="49"/>
      <c r="M32" s="49"/>
      <c r="N32" s="49"/>
      <c r="O32" s="49"/>
      <c r="P32" s="49"/>
    </row>
    <row r="33" spans="1:16" ht="20.25" customHeight="1" x14ac:dyDescent="0.25">
      <c r="A33" s="31" t="e">
        <f>VLOOKUP(D33,'Master Data'!A:F,2,FALSE)</f>
        <v>#N/A</v>
      </c>
      <c r="B33" s="31" t="e">
        <f>VLOOKUP(D33,'Master Data'!A:F,3,FALSE)</f>
        <v>#N/A</v>
      </c>
      <c r="C33" s="50" t="e">
        <f>VLOOKUP(D33,'Master Data'!A:F,5,FALSE)</f>
        <v>#N/A</v>
      </c>
      <c r="D33" s="31"/>
      <c r="E33" s="31"/>
      <c r="F33" s="31"/>
      <c r="G33" s="51" t="s">
        <v>11290</v>
      </c>
      <c r="H33" s="51">
        <f>SUM(H7:H32)</f>
        <v>430</v>
      </c>
      <c r="I33" s="31"/>
      <c r="J33" s="31"/>
      <c r="K33" s="31"/>
      <c r="L33" s="31"/>
      <c r="M33" s="31"/>
      <c r="N33" s="31"/>
      <c r="O33" s="31"/>
      <c r="P33" s="31"/>
    </row>
    <row r="34" spans="1:16" ht="15.75" customHeight="1" x14ac:dyDescent="0.25"/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I6:P6"/>
  </mergeCells>
  <conditionalFormatting sqref="F7:G32 A7:C33">
    <cfRule type="cellIs" dxfId="31" priority="1" operator="equal">
      <formula>0</formula>
    </cfRule>
    <cfRule type="expression" dxfId="30" priority="2">
      <formula>ISERROR(A7)</formula>
    </cfRule>
  </conditionalFormatting>
  <pageMargins left="0.41666666666666669" right="0.41666666666666669" top="0.78740157499999996" bottom="0.78740157499999996" header="0" footer="0"/>
  <pageSetup paperSize="9" scale="74" orientation="landscape" r:id="rId1"/>
  <headerFooter>
    <oddFooter>&amp;LSalsaflow Dance Company GmbH Elisabethenanlage 7, 4051 Basel&amp;CSebastian - Tel. 076 218 21 98 Fabio - Tel. 076 478 84 11&amp;R info@salsaflow-dc.com www.salsaflow-dc.com</oddFooter>
  </headerFooter>
  <rowBreaks count="1" manualBreakCount="1">
    <brk id="32" max="16383" man="1"/>
  </rowBreaks>
  <colBreaks count="1" manualBreakCount="1">
    <brk id="16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2EFD9"/>
  </sheetPr>
  <dimension ref="A1:P1000"/>
  <sheetViews>
    <sheetView view="pageLayout" topLeftCell="A6" zoomScaleNormal="100" workbookViewId="0">
      <selection activeCell="P16" sqref="P16"/>
    </sheetView>
  </sheetViews>
  <sheetFormatPr baseColWidth="10" defaultColWidth="14.42578125" defaultRowHeight="15" customHeight="1" x14ac:dyDescent="0.25"/>
  <cols>
    <col min="1" max="1" width="16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</cols>
  <sheetData>
    <row r="1" spans="1:16" ht="23.25" customHeight="1" x14ac:dyDescent="0.25">
      <c r="A1" s="36" t="s">
        <v>11313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6149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Patricia Maria</v>
      </c>
      <c r="B7" s="46" t="str">
        <f>VLOOKUP(D7,'Master Data'!A:F,3,FALSE)</f>
        <v>Schaad</v>
      </c>
      <c r="C7" s="47" t="str">
        <f>VLOOKUP(D7,'Master Data'!A:F,6,FALSE)</f>
        <v>patricia.schaad@students.fhnw.ch</v>
      </c>
      <c r="D7" s="30" t="s">
        <v>4388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3"/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Maria-José</v>
      </c>
      <c r="B8" s="46" t="str">
        <f>VLOOKUP(D8,'Master Data'!A:F,3,FALSE)</f>
        <v>Largo Vargas</v>
      </c>
      <c r="C8" s="47" t="str">
        <f>VLOOKUP(D8,'Master Data'!A:F,6,FALSE)</f>
        <v>mlargovargas@gmail.com</v>
      </c>
      <c r="D8" s="30" t="s">
        <v>10497</v>
      </c>
      <c r="E8" s="46"/>
      <c r="F8" s="46" t="str">
        <f>VLOOKUP(D8,'Master Data'!A:F,4,FALSE)</f>
        <v>w</v>
      </c>
      <c r="G8" s="46" t="str">
        <f>VLOOKUP(D8,'Master Data'!A:F,5,FALSE)</f>
        <v>Paar</v>
      </c>
      <c r="H8" s="106">
        <v>90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Sara</v>
      </c>
      <c r="B9" s="46" t="str">
        <f>VLOOKUP(D9,'Master Data'!A:F,3,FALSE)</f>
        <v>Garijo</v>
      </c>
      <c r="C9" s="47" t="str">
        <f>VLOOKUP(D9,'Master Data'!A:F,6,FALSE)</f>
        <v>saragarijo@hotmail.com</v>
      </c>
      <c r="D9" s="30" t="s">
        <v>12038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03">
        <v>140</v>
      </c>
      <c r="I9" s="49" t="s">
        <v>11754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Alexandra</v>
      </c>
      <c r="B10" s="46" t="str">
        <f>VLOOKUP(D10,'Master Data'!A:F,3,FALSE)</f>
        <v>Meier</v>
      </c>
      <c r="C10" s="47" t="str">
        <f>VLOOKUP(D10,'Master Data'!A:F,6,FALSE)</f>
        <v>alexandra.meier@unibas.ch</v>
      </c>
      <c r="D10" s="30" t="s">
        <v>5980</v>
      </c>
      <c r="E10" s="46" t="s">
        <v>1359</v>
      </c>
      <c r="F10" s="46" t="str">
        <f>VLOOKUP(D10,'Master Data'!A:F,4,FALSE)</f>
        <v>w</v>
      </c>
      <c r="G10" s="46" t="str">
        <f>VLOOKUP(D10,'Master Data'!A:F,5,FALSE)</f>
        <v>Paar</v>
      </c>
      <c r="H10" s="103"/>
      <c r="I10" s="49" t="s">
        <v>11760</v>
      </c>
      <c r="J10" s="49" t="s">
        <v>11760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Oxana</v>
      </c>
      <c r="B11" s="46" t="str">
        <f>VLOOKUP(D11,'Master Data'!A:F,3,FALSE)</f>
        <v>Janz</v>
      </c>
      <c r="C11" s="47" t="str">
        <f>VLOOKUP(D11,'Master Data'!A:F,6,FALSE)</f>
        <v>anzoxan@gmail.com</v>
      </c>
      <c r="D11" s="30" t="s">
        <v>11463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3">
        <v>160</v>
      </c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Amina</v>
      </c>
      <c r="B12" s="46" t="str">
        <f>VLOOKUP(D12,'Master Data'!A:F,3,FALSE)</f>
        <v>Nyangu</v>
      </c>
      <c r="C12" s="47" t="str">
        <f>VLOOKUP(D12,'Master Data'!A:F,6,FALSE)</f>
        <v>amina.nyangi@outlook.com</v>
      </c>
      <c r="D12" s="30" t="s">
        <v>11263</v>
      </c>
      <c r="E12" s="46" t="s">
        <v>12073</v>
      </c>
      <c r="F12" s="46" t="str">
        <f>VLOOKUP(D12,'Master Data'!A:F,4,FALSE)</f>
        <v>w</v>
      </c>
      <c r="G12" s="46" t="str">
        <f>VLOOKUP(D12,'Master Data'!A:F,5,FALSE)</f>
        <v>Normal</v>
      </c>
      <c r="H12" s="103">
        <v>100</v>
      </c>
      <c r="I12" s="49" t="s">
        <v>11754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Tijana</v>
      </c>
      <c r="B13" s="46" t="str">
        <f>VLOOKUP(D13,'Master Data'!A:F,3,FALSE)</f>
        <v>Miljkovic</v>
      </c>
      <c r="C13" s="47" t="str">
        <f>VLOOKUP(D13,'Master Data'!A:F,6,FALSE)</f>
        <v>tijana.miljkovic@icloud.com</v>
      </c>
      <c r="D13" s="30" t="s">
        <v>8501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3"/>
      <c r="I13" s="49" t="s">
        <v>11760</v>
      </c>
      <c r="J13" s="49" t="s">
        <v>11760</v>
      </c>
      <c r="K13" s="49" t="s">
        <v>11754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Rabia</v>
      </c>
      <c r="B14" s="46" t="str">
        <f>VLOOKUP(D14,'Master Data'!A:F,3,FALSE)</f>
        <v>Ates</v>
      </c>
      <c r="C14" s="47" t="str">
        <f>VLOOKUP(D14,'Master Data'!A:F,6,FALSE)</f>
        <v>rabia.doganci92@gmail.com</v>
      </c>
      <c r="D14" s="19" t="s">
        <v>11409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3">
        <v>160</v>
      </c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11754</v>
      </c>
    </row>
    <row r="15" spans="1:16" ht="23.25" customHeight="1" x14ac:dyDescent="0.25">
      <c r="A15" s="46" t="str">
        <f>VLOOKUP(D15,'Master Data'!A:F,2,FALSE)</f>
        <v xml:space="preserve">Isabel </v>
      </c>
      <c r="B15" s="46" t="str">
        <f>VLOOKUP(D15,'Master Data'!A:F,3,FALSE)</f>
        <v>Garcia</v>
      </c>
      <c r="C15" s="47">
        <f>VLOOKUP(D15,'Master Data'!A:F,6,FALSE)</f>
        <v>0</v>
      </c>
      <c r="D15" s="30" t="s">
        <v>7392</v>
      </c>
      <c r="E15" s="46"/>
      <c r="F15" s="46" t="str">
        <f>VLOOKUP(D15,'Master Data'!A:F,4,FALSE)</f>
        <v>w</v>
      </c>
      <c r="G15" s="46" t="str">
        <f>VLOOKUP(D15,'Master Data'!A:F,5,FALSE)</f>
        <v>Pushflow</v>
      </c>
      <c r="H15" s="103"/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11760</v>
      </c>
      <c r="O15" s="49"/>
      <c r="P15" s="49" t="s">
        <v>11754</v>
      </c>
    </row>
    <row r="16" spans="1:16" ht="23.25" customHeight="1" x14ac:dyDescent="0.25">
      <c r="A16" s="46" t="str">
        <f>VLOOKUP(D16,'Master Data'!A:F,2,FALSE)</f>
        <v>Nicole</v>
      </c>
      <c r="B16" s="46" t="str">
        <f>VLOOKUP(D16,'Master Data'!A:F,3,FALSE)</f>
        <v>Lartey</v>
      </c>
      <c r="C16" s="47" t="str">
        <f>VLOOKUP(D16,'Master Data'!A:F,6,FALSE)</f>
        <v>nicolelartey110@gmail.com</v>
      </c>
      <c r="D16" s="30" t="s">
        <v>11516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3">
        <v>160</v>
      </c>
      <c r="I16" s="49" t="s">
        <v>11760</v>
      </c>
      <c r="J16" s="49" t="s">
        <v>11760</v>
      </c>
      <c r="K16" s="49" t="s">
        <v>11760</v>
      </c>
      <c r="L16" s="49" t="s">
        <v>11760</v>
      </c>
      <c r="M16" s="49" t="s">
        <v>11760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Solange</v>
      </c>
      <c r="B17" s="46" t="str">
        <f>VLOOKUP(D17,'Master Data'!A:F,3,FALSE)</f>
        <v>Burmeister</v>
      </c>
      <c r="C17" s="47" t="str">
        <f>VLOOKUP(D17,'Master Data'!A:F,6,FALSE)</f>
        <v>burmesol27@gmail.com</v>
      </c>
      <c r="D17" s="34" t="s">
        <v>8466</v>
      </c>
      <c r="E17" s="46" t="s">
        <v>11665</v>
      </c>
      <c r="F17" s="46" t="str">
        <f>VLOOKUP(D17,'Master Data'!A:F,4,FALSE)</f>
        <v>w</v>
      </c>
      <c r="G17" s="46" t="str">
        <f>VLOOKUP(D17,'Master Data'!A:F,5,FALSE)</f>
        <v>Normal</v>
      </c>
      <c r="H17" s="103"/>
      <c r="I17" s="49" t="s">
        <v>11760</v>
      </c>
      <c r="J17" s="49" t="s">
        <v>11760</v>
      </c>
      <c r="K17" s="49" t="s">
        <v>11760</v>
      </c>
      <c r="L17" s="49" t="s">
        <v>11760</v>
      </c>
      <c r="M17" s="49" t="s">
        <v>11760</v>
      </c>
      <c r="N17" s="49" t="s">
        <v>11760</v>
      </c>
      <c r="O17" s="49"/>
      <c r="P17" s="49" t="s">
        <v>11760</v>
      </c>
    </row>
    <row r="18" spans="1:16" ht="23.25" customHeight="1" x14ac:dyDescent="0.25">
      <c r="A18" s="46" t="str">
        <f>VLOOKUP(D18,'Master Data'!A:F,2,FALSE)</f>
        <v>Doris</v>
      </c>
      <c r="B18" s="46" t="str">
        <f>VLOOKUP(D18,'Master Data'!A:F,3,FALSE)</f>
        <v>Aznar</v>
      </c>
      <c r="C18" s="47" t="str">
        <f>VLOOKUP(D18,'Master Data'!A:F,6,FALSE)</f>
        <v>doris_aznar@hotmail.com</v>
      </c>
      <c r="D18" s="30" t="s">
        <v>8091</v>
      </c>
      <c r="E18" s="46" t="s">
        <v>11298</v>
      </c>
      <c r="F18" s="46" t="str">
        <f>VLOOKUP(D18,'Master Data'!A:F,4,FALSE)</f>
        <v>w</v>
      </c>
      <c r="G18" s="46" t="str">
        <f>VLOOKUP(D18,'Master Data'!A:F,5,FALSE)</f>
        <v>Normal</v>
      </c>
      <c r="H18" s="103"/>
      <c r="I18" s="49" t="s">
        <v>11760</v>
      </c>
      <c r="J18" s="49" t="s">
        <v>11760</v>
      </c>
      <c r="K18" s="49" t="s">
        <v>11760</v>
      </c>
      <c r="L18" s="49" t="s">
        <v>11760</v>
      </c>
      <c r="M18" s="49" t="s">
        <v>11760</v>
      </c>
      <c r="N18" s="49" t="s">
        <v>11760</v>
      </c>
      <c r="O18" s="49"/>
      <c r="P18" s="49" t="s">
        <v>11754</v>
      </c>
    </row>
    <row r="19" spans="1:16" ht="23.25" customHeight="1" x14ac:dyDescent="0.25">
      <c r="A19" s="46" t="str">
        <f>VLOOKUP(D19,'Master Data'!A:F,2,FALSE)</f>
        <v>Marija</v>
      </c>
      <c r="B19" s="46" t="str">
        <f>VLOOKUP(D19,'Master Data'!A:F,3,FALSE)</f>
        <v>Milenkovic</v>
      </c>
      <c r="C19" s="47" t="str">
        <f>VLOOKUP(D19,'Master Data'!A:F,6,FALSE)</f>
        <v>marijamilenkovic7@hotmail.com</v>
      </c>
      <c r="D19" s="30" t="s">
        <v>11490</v>
      </c>
      <c r="E19" s="46" t="s">
        <v>11298</v>
      </c>
      <c r="F19" s="46" t="str">
        <f>VLOOKUP(D19,'Master Data'!A:F,4,FALSE)</f>
        <v>w</v>
      </c>
      <c r="G19" s="46" t="str">
        <f>VLOOKUP(D19,'Master Data'!A:F,5,FALSE)</f>
        <v>Normal</v>
      </c>
      <c r="H19" s="103"/>
      <c r="I19" s="49" t="s">
        <v>11760</v>
      </c>
      <c r="J19" s="49" t="s">
        <v>11760</v>
      </c>
      <c r="K19" s="49" t="s">
        <v>11760</v>
      </c>
      <c r="L19" s="49" t="s">
        <v>11760</v>
      </c>
      <c r="M19" s="49" t="s">
        <v>11760</v>
      </c>
      <c r="N19" s="49" t="s">
        <v>11760</v>
      </c>
      <c r="O19" s="49"/>
      <c r="P19" s="49" t="s">
        <v>11760</v>
      </c>
    </row>
    <row r="20" spans="1:16" ht="23.25" customHeight="1" x14ac:dyDescent="0.25">
      <c r="A20" s="46" t="str">
        <f>VLOOKUP(D20,'Master Data'!A:F,2,FALSE)</f>
        <v>Alison</v>
      </c>
      <c r="B20" s="46" t="str">
        <f>VLOOKUP(D20,'Master Data'!A:F,3,FALSE)</f>
        <v>Vuille-dit-Bille</v>
      </c>
      <c r="C20" s="47" t="str">
        <f>VLOOKUP(D20,'Master Data'!A:F,6,FALSE)</f>
        <v>alison.vdb@hotmail.com</v>
      </c>
      <c r="D20" s="19" t="s">
        <v>11670</v>
      </c>
      <c r="E20" s="46"/>
      <c r="F20" s="46" t="str">
        <f>VLOOKUP(D20,'Master Data'!A:F,4,FALSE)</f>
        <v>w</v>
      </c>
      <c r="G20" s="46" t="str">
        <f>VLOOKUP(D20,'Master Data'!A:F,5,FALSE)</f>
        <v>Normal</v>
      </c>
      <c r="H20" s="103">
        <v>160</v>
      </c>
      <c r="I20" s="49" t="s">
        <v>11760</v>
      </c>
      <c r="J20" s="49" t="s">
        <v>11760</v>
      </c>
      <c r="K20" s="49" t="s">
        <v>11760</v>
      </c>
      <c r="L20" s="49" t="s">
        <v>11760</v>
      </c>
      <c r="M20" s="49" t="s">
        <v>11760</v>
      </c>
      <c r="N20" s="49" t="s">
        <v>11760</v>
      </c>
      <c r="O20" s="49"/>
      <c r="P20" s="49" t="s">
        <v>11760</v>
      </c>
    </row>
    <row r="21" spans="1:16" ht="23.25" customHeight="1" x14ac:dyDescent="0.25">
      <c r="A21" s="46" t="str">
        <f>VLOOKUP(D21,'Master Data'!A:F,2,FALSE)</f>
        <v>Sabrina</v>
      </c>
      <c r="B21" s="46" t="str">
        <f>VLOOKUP(D21,'Master Data'!A:F,3,FALSE)</f>
        <v>Dreier</v>
      </c>
      <c r="C21" s="47" t="str">
        <f>VLOOKUP(D21,'Master Data'!A:F,6,FALSE)</f>
        <v>sabrina.dre@icloud.com</v>
      </c>
      <c r="D21" s="19" t="s">
        <v>11674</v>
      </c>
      <c r="E21" s="46"/>
      <c r="F21" s="46" t="str">
        <f>VLOOKUP(D21,'Master Data'!A:F,4,FALSE)</f>
        <v>w</v>
      </c>
      <c r="G21" s="46" t="str">
        <f>VLOOKUP(D21,'Master Data'!A:F,5,FALSE)</f>
        <v>Normal</v>
      </c>
      <c r="H21" s="103">
        <v>160</v>
      </c>
      <c r="I21" s="49" t="s">
        <v>11760</v>
      </c>
      <c r="J21" s="49" t="s">
        <v>11760</v>
      </c>
      <c r="K21" s="49" t="s">
        <v>11760</v>
      </c>
      <c r="L21" s="49" t="s">
        <v>11760</v>
      </c>
      <c r="M21" s="49" t="s">
        <v>11760</v>
      </c>
      <c r="N21" s="49" t="s">
        <v>11760</v>
      </c>
      <c r="O21" s="49"/>
      <c r="P21" s="49" t="s">
        <v>11760</v>
      </c>
    </row>
    <row r="22" spans="1:16" ht="23.25" customHeight="1" x14ac:dyDescent="0.25">
      <c r="A22" s="46" t="str">
        <f>VLOOKUP(D22,'Master Data'!A:F,2,FALSE)</f>
        <v>Syria</v>
      </c>
      <c r="B22" s="46" t="str">
        <f>VLOOKUP(D22,'Master Data'!A:F,3,FALSE)</f>
        <v>Savary</v>
      </c>
      <c r="C22" s="47" t="str">
        <f>VLOOKUP(D22,'Master Data'!A:F,6,FALSE)</f>
        <v>syria.savary@hotmail.ch</v>
      </c>
      <c r="D22" s="19" t="s">
        <v>10007</v>
      </c>
      <c r="E22" s="46"/>
      <c r="F22" s="46" t="str">
        <f>VLOOKUP(D22,'Master Data'!A:F,4,FALSE)</f>
        <v>w</v>
      </c>
      <c r="G22" s="46" t="str">
        <f>VLOOKUP(D22,'Master Data'!A:F,5,FALSE)</f>
        <v>Paar</v>
      </c>
      <c r="H22" s="103"/>
      <c r="I22" s="49" t="s">
        <v>11760</v>
      </c>
      <c r="J22" s="49" t="s">
        <v>11760</v>
      </c>
      <c r="K22" s="49" t="s">
        <v>11760</v>
      </c>
      <c r="L22" s="49" t="s">
        <v>11760</v>
      </c>
      <c r="M22" s="49" t="s">
        <v>11760</v>
      </c>
      <c r="N22" s="49" t="s">
        <v>11760</v>
      </c>
      <c r="O22" s="49"/>
      <c r="P22" s="49" t="s">
        <v>11760</v>
      </c>
    </row>
    <row r="23" spans="1:16" ht="23.25" customHeight="1" x14ac:dyDescent="0.25">
      <c r="A23" s="46" t="str">
        <f>VLOOKUP(D23,'Master Data'!A:F,2,FALSE)</f>
        <v>Lenka</v>
      </c>
      <c r="B23" s="46" t="str">
        <f>VLOOKUP(D23,'Master Data'!A:F,3,FALSE)</f>
        <v>Janova</v>
      </c>
      <c r="C23" s="47" t="str">
        <f>VLOOKUP(D23,'Master Data'!A:F,6,FALSE)</f>
        <v>janova.lenka@yahoo.com</v>
      </c>
      <c r="D23" s="30" t="s">
        <v>11983</v>
      </c>
      <c r="E23" s="46"/>
      <c r="F23" s="46" t="str">
        <f>VLOOKUP(D23,'Master Data'!A:F,4,FALSE)</f>
        <v>w</v>
      </c>
      <c r="G23" s="46" t="str">
        <f>VLOOKUP(D23,'Master Data'!A:F,5,FALSE)</f>
        <v>Normal</v>
      </c>
      <c r="H23" s="103">
        <v>160</v>
      </c>
      <c r="I23" s="49" t="s">
        <v>11760</v>
      </c>
      <c r="J23" s="49" t="s">
        <v>11760</v>
      </c>
      <c r="K23" s="49" t="s">
        <v>11760</v>
      </c>
      <c r="L23" s="49" t="s">
        <v>11760</v>
      </c>
      <c r="M23" s="49" t="s">
        <v>11760</v>
      </c>
      <c r="N23" s="49" t="s">
        <v>11760</v>
      </c>
      <c r="O23" s="49"/>
      <c r="P23" s="49" t="s">
        <v>11760</v>
      </c>
    </row>
    <row r="24" spans="1:16" ht="23.25" customHeight="1" x14ac:dyDescent="0.25">
      <c r="A24" s="46" t="str">
        <f>VLOOKUP(D24,'Master Data'!A:F,2,FALSE)</f>
        <v>Lendite</v>
      </c>
      <c r="B24" s="46" t="str">
        <f>VLOOKUP(D24,'Master Data'!A:F,3,FALSE)</f>
        <v>Sylaj</v>
      </c>
      <c r="C24" s="47" t="str">
        <f>VLOOKUP(D24,'Master Data'!A:F,6,FALSE)</f>
        <v>lendite.s@hotmail.com</v>
      </c>
      <c r="D24" s="30" t="s">
        <v>11987</v>
      </c>
      <c r="E24" s="46"/>
      <c r="F24" s="46" t="str">
        <f>VLOOKUP(D24,'Master Data'!A:F,4,FALSE)</f>
        <v>w</v>
      </c>
      <c r="G24" s="46" t="str">
        <f>VLOOKUP(D24,'Master Data'!A:F,5,FALSE)</f>
        <v>Normal</v>
      </c>
      <c r="H24" s="106">
        <v>160</v>
      </c>
      <c r="I24" s="49" t="s">
        <v>11760</v>
      </c>
      <c r="J24" s="49" t="s">
        <v>11760</v>
      </c>
      <c r="K24" s="49" t="s">
        <v>11760</v>
      </c>
      <c r="L24" s="49" t="s">
        <v>11760</v>
      </c>
      <c r="M24" s="49" t="s">
        <v>11760</v>
      </c>
      <c r="N24" s="49" t="s">
        <v>11760</v>
      </c>
      <c r="O24" s="49"/>
      <c r="P24" s="49" t="s">
        <v>11760</v>
      </c>
    </row>
    <row r="25" spans="1:16" ht="23.25" customHeight="1" x14ac:dyDescent="0.25">
      <c r="A25" s="46" t="str">
        <f>VLOOKUP(D25,'Master Data'!A:F,2,FALSE)</f>
        <v xml:space="preserve">Laura </v>
      </c>
      <c r="B25" s="46" t="str">
        <f>VLOOKUP(D25,'Master Data'!A:F,3,FALSE)</f>
        <v>Wiedmaier</v>
      </c>
      <c r="C25" s="47" t="str">
        <f>VLOOKUP(D25,'Master Data'!A:F,6,FALSE)</f>
        <v>laurasrsan@gmail.com</v>
      </c>
      <c r="D25" s="30" t="s">
        <v>7785</v>
      </c>
      <c r="E25" s="46"/>
      <c r="F25" s="46" t="str">
        <f>VLOOKUP(D25,'Master Data'!A:F,4,FALSE)</f>
        <v>w</v>
      </c>
      <c r="G25" s="46" t="str">
        <f>VLOOKUP(D25,'Master Data'!A:F,5,FALSE)</f>
        <v>Paar</v>
      </c>
      <c r="H25" s="103"/>
      <c r="I25" s="49" t="s">
        <v>11760</v>
      </c>
      <c r="J25" s="49" t="s">
        <v>11760</v>
      </c>
      <c r="K25" s="49" t="s">
        <v>11760</v>
      </c>
      <c r="L25" s="49" t="s">
        <v>11760</v>
      </c>
      <c r="M25" s="49" t="s">
        <v>11760</v>
      </c>
      <c r="N25" s="49" t="s">
        <v>11760</v>
      </c>
      <c r="O25" s="49"/>
      <c r="P25" s="49" t="s">
        <v>11760</v>
      </c>
    </row>
    <row r="26" spans="1:16" ht="23.25" customHeight="1" x14ac:dyDescent="0.25">
      <c r="A26" s="46" t="str">
        <f>VLOOKUP(D26,'Master Data'!A:F,2,FALSE)</f>
        <v>Angela</v>
      </c>
      <c r="B26" s="46" t="str">
        <f>VLOOKUP(D26,'Master Data'!A:F,3,FALSE)</f>
        <v>Ly</v>
      </c>
      <c r="C26" s="47" t="str">
        <f>VLOOKUP(D26,'Master Data'!A:F,6,FALSE)</f>
        <v>angela-ly_93@hotmail.com</v>
      </c>
      <c r="D26" s="30" t="s">
        <v>7762</v>
      </c>
      <c r="E26" s="46"/>
      <c r="F26" s="46" t="str">
        <f>VLOOKUP(D26,'Master Data'!A:F,4,FALSE)</f>
        <v>w</v>
      </c>
      <c r="G26" s="46" t="str">
        <f>VLOOKUP(D26,'Master Data'!A:F,5,FALSE)</f>
        <v>Normal</v>
      </c>
      <c r="H26" s="106">
        <v>80</v>
      </c>
      <c r="I26" s="49" t="s">
        <v>11754</v>
      </c>
      <c r="J26" s="49" t="s">
        <v>11754</v>
      </c>
      <c r="K26" s="49" t="s">
        <v>11754</v>
      </c>
      <c r="L26" s="49" t="s">
        <v>11754</v>
      </c>
      <c r="M26" s="49" t="s">
        <v>11760</v>
      </c>
      <c r="N26" s="49" t="s">
        <v>11760</v>
      </c>
      <c r="O26" s="49"/>
      <c r="P26" s="49" t="s">
        <v>11760</v>
      </c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Data'!A:F,5,FALSE)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Data'!A:F,5,FALSE)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Data'!A:F,5,FALSE)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Data'!A:F,5,FALSE)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3.25" customHeight="1" x14ac:dyDescent="0.25">
      <c r="A32" s="46" t="e">
        <f>VLOOKUP(D32,'Master Data'!A:F,2,FALSE)</f>
        <v>#N/A</v>
      </c>
      <c r="B32" s="46" t="e">
        <f>VLOOKUP(D32,'Master Data'!A:F,3,FALSE)</f>
        <v>#N/A</v>
      </c>
      <c r="C32" s="47" t="e">
        <f>VLOOKUP(D32,'Master Data'!A:F,5,FALSE)</f>
        <v>#N/A</v>
      </c>
      <c r="D32" s="30"/>
      <c r="E32" s="46"/>
      <c r="F32" s="46"/>
      <c r="G32" s="64" t="s">
        <v>11290</v>
      </c>
      <c r="H32" s="65">
        <f>SUM(H7:H31)</f>
        <v>1530</v>
      </c>
      <c r="I32" s="49"/>
      <c r="J32" s="49"/>
      <c r="K32" s="49"/>
      <c r="L32" s="49"/>
      <c r="M32" s="49"/>
      <c r="N32" s="49"/>
      <c r="O32" s="49"/>
      <c r="P32" s="4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A7:C32 F7:G32">
    <cfRule type="cellIs" dxfId="29" priority="1" operator="equal">
      <formula>0</formula>
    </cfRule>
    <cfRule type="expression" dxfId="28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KLG Aeschenvorstadt 67, 4051 Basel&amp;CSebastian - Tel. 076 218 21 98 Fabio - Tel. 076 478 84 11&amp;R info@salsaflow-dc.com www.salsaflow-dc.com</oddFooter>
  </headerFooter>
  <rowBreaks count="1" manualBreakCount="1">
    <brk id="31" max="16383" man="1"/>
  </rowBreaks>
  <colBreaks count="1" manualBreakCount="1">
    <brk id="16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E2EFD9"/>
  </sheetPr>
  <dimension ref="A1:P32"/>
  <sheetViews>
    <sheetView view="pageLayout" topLeftCell="A8" zoomScaleNormal="100" workbookViewId="0">
      <selection activeCell="F25" sqref="F25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17" width="10.42578125" customWidth="1"/>
    <col min="18" max="26" width="7" customWidth="1"/>
  </cols>
  <sheetData>
    <row r="1" spans="1:16" ht="23.25" customHeight="1" x14ac:dyDescent="0.25">
      <c r="A1" s="36" t="s">
        <v>11305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11311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Ricardo</v>
      </c>
      <c r="B7" s="46" t="str">
        <f>VLOOKUP(D7,'Master Data'!A:F,3,FALSE)</f>
        <v>Rodriguez</v>
      </c>
      <c r="C7" s="47" t="str">
        <f>VLOOKUP(D7,'Master Data'!A:F,6,FALSE)</f>
        <v>ricardo.rrodriguez@icloud.com</v>
      </c>
      <c r="D7" s="30" t="s">
        <v>8670</v>
      </c>
      <c r="E7" s="46"/>
      <c r="F7" s="46" t="str">
        <f>VLOOKUP(D7,'Master Data'!A:F,4,FALSE)</f>
        <v>m</v>
      </c>
      <c r="G7" s="46" t="str">
        <f>VLOOKUP(D7,'Master Data'!A:F,5,FALSE)</f>
        <v>Student</v>
      </c>
      <c r="H7" s="109">
        <v>160</v>
      </c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 t="s">
        <v>11754</v>
      </c>
      <c r="P7" s="49" t="s">
        <v>11760</v>
      </c>
    </row>
    <row r="8" spans="1:16" ht="23.25" customHeight="1" x14ac:dyDescent="0.25">
      <c r="A8" s="46" t="str">
        <f>VLOOKUP(D8,'Master Data'!A:F,2,FALSE)</f>
        <v>Osman</v>
      </c>
      <c r="B8" s="46" t="str">
        <f>VLOOKUP(D8,'Master Data'!A:F,3,FALSE)</f>
        <v>Bukari</v>
      </c>
      <c r="C8" s="47" t="str">
        <f>VLOOKUP(D8,'Master Data'!A:F,6,FALSE)</f>
        <v>abusco@hotmail.de</v>
      </c>
      <c r="D8" s="34" t="s">
        <v>8565</v>
      </c>
      <c r="E8" s="46"/>
      <c r="F8" s="46" t="str">
        <f>VLOOKUP(D8,'Master Data'!A:F,4,FALSE)</f>
        <v>m</v>
      </c>
      <c r="G8" s="46" t="str">
        <f>VLOOKUP(D8,'Master Data'!A:F,5,FALSE)</f>
        <v>Normal</v>
      </c>
      <c r="H8" s="110"/>
      <c r="I8" s="49" t="s">
        <v>11754</v>
      </c>
      <c r="J8" s="49" t="s">
        <v>11754</v>
      </c>
      <c r="K8" s="49" t="s">
        <v>11754</v>
      </c>
      <c r="L8" s="49" t="s">
        <v>11760</v>
      </c>
      <c r="M8" s="49" t="s">
        <v>11760</v>
      </c>
      <c r="N8" s="49" t="s">
        <v>11760</v>
      </c>
      <c r="O8" s="49" t="s">
        <v>11754</v>
      </c>
      <c r="P8" s="49" t="s">
        <v>11760</v>
      </c>
    </row>
    <row r="9" spans="1:16" ht="23.25" customHeight="1" x14ac:dyDescent="0.25">
      <c r="A9" s="46" t="str">
        <f>VLOOKUP(D9,'Master Data'!A:F,2,FALSE)</f>
        <v>Clara</v>
      </c>
      <c r="B9" s="46" t="str">
        <f>VLOOKUP(D9,'Master Data'!A:F,3,FALSE)</f>
        <v>Hernandez Vicedo</v>
      </c>
      <c r="C9" s="47" t="str">
        <f>VLOOKUP(D9,'Master Data'!A:F,6,FALSE)</f>
        <v>clara_2098@hotmail.com</v>
      </c>
      <c r="D9" s="34" t="s">
        <v>6359</v>
      </c>
      <c r="E9" s="46"/>
      <c r="F9" s="46" t="str">
        <f>VLOOKUP(D9,'Master Data'!A:F,4,FALSE)</f>
        <v>w</v>
      </c>
      <c r="G9" s="46" t="str">
        <f>VLOOKUP(D9,'Master Data'!A:F,5,FALSE)</f>
        <v xml:space="preserve">Normal </v>
      </c>
      <c r="H9" s="110">
        <v>190</v>
      </c>
      <c r="I9" s="49" t="s">
        <v>11760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Gensan</v>
      </c>
      <c r="B10" s="46" t="str">
        <f>VLOOKUP(D10,'Master Data'!A:F,3,FALSE)</f>
        <v>Thavarajah</v>
      </c>
      <c r="C10" s="47" t="str">
        <f>VLOOKUP(D10,'Master Data'!A:F,6,FALSE)</f>
        <v>gensan.t@hotmail.ch</v>
      </c>
      <c r="D10" s="30" t="s">
        <v>9641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9"/>
      <c r="I10" s="49" t="s">
        <v>11760</v>
      </c>
      <c r="J10" s="49" t="s">
        <v>11754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Mathias</v>
      </c>
      <c r="B11" s="46" t="str">
        <f>VLOOKUP(D11,'Master Data'!A:F,3,FALSE)</f>
        <v>Landsrath</v>
      </c>
      <c r="C11" s="47" t="str">
        <f>VLOOKUP(D11,'Master Data'!A:F,6,FALSE)</f>
        <v>matila@gmx.de</v>
      </c>
      <c r="D11" s="33" t="s">
        <v>4067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9"/>
      <c r="I11" s="49" t="s">
        <v>11760</v>
      </c>
      <c r="J11" s="49" t="s">
        <v>11754</v>
      </c>
      <c r="K11" s="49" t="s">
        <v>11754</v>
      </c>
      <c r="L11" s="49" t="s">
        <v>11760</v>
      </c>
      <c r="M11" s="49" t="s">
        <v>11760</v>
      </c>
      <c r="N11" s="49" t="s">
        <v>11754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Pia</v>
      </c>
      <c r="B12" s="46" t="str">
        <f>VLOOKUP(D12,'Master Data'!A:F,3,FALSE)</f>
        <v>Lai</v>
      </c>
      <c r="C12" s="47" t="str">
        <f>VLOOKUP(D12,'Master Data'!A:F,6,FALSE)</f>
        <v>pia.hl.lai@gmail.com</v>
      </c>
      <c r="D12" s="30" t="s">
        <v>9128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9"/>
      <c r="I12" s="49" t="s">
        <v>11754</v>
      </c>
      <c r="J12" s="49" t="s">
        <v>11760</v>
      </c>
      <c r="K12" s="49" t="s">
        <v>11760</v>
      </c>
      <c r="L12" s="49" t="s">
        <v>11754</v>
      </c>
      <c r="M12" s="49" t="s">
        <v>11760</v>
      </c>
      <c r="N12" s="49" t="s">
        <v>11760</v>
      </c>
      <c r="O12" s="49"/>
      <c r="P12" s="49" t="s">
        <v>11754</v>
      </c>
    </row>
    <row r="13" spans="1:16" ht="23.25" customHeight="1" x14ac:dyDescent="0.25">
      <c r="A13" s="46" t="str">
        <f>VLOOKUP(D13,'Master Data'!A:F,2,FALSE)</f>
        <v>Armano</v>
      </c>
      <c r="B13" s="46" t="str">
        <f>VLOOKUP(D13,'Master Data'!A:F,3,FALSE)</f>
        <v>Atene</v>
      </c>
      <c r="C13" s="47" t="str">
        <f>VLOOKUP(D13,'Master Data'!A:F,6,FALSE)</f>
        <v>armano@gmx.ch</v>
      </c>
      <c r="D13" s="30" t="s">
        <v>4940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9"/>
      <c r="I13" s="49" t="s">
        <v>11754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Maarten</v>
      </c>
      <c r="B14" s="46" t="str">
        <f>VLOOKUP(D14,'Master Data'!A:F,3,FALSE)</f>
        <v>De Laat</v>
      </c>
      <c r="C14" s="47" t="str">
        <f>VLOOKUP(D14,'Master Data'!A:F,6,FALSE)</f>
        <v>smaaardy@gmail.com</v>
      </c>
      <c r="D14" s="30" t="s">
        <v>5181</v>
      </c>
      <c r="E14" s="46"/>
      <c r="F14" s="46" t="str">
        <f>VLOOKUP(D14,'Master Data'!A:F,4,FALSE)</f>
        <v>m</v>
      </c>
      <c r="G14" s="46" t="str">
        <f>VLOOKUP(D14,'Master Data'!A:F,5,FALSE)</f>
        <v>Pushflow</v>
      </c>
      <c r="H14" s="109"/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Kalin</v>
      </c>
      <c r="B15" s="46" t="str">
        <f>VLOOKUP(D15,'Master Data'!A:F,3,FALSE)</f>
        <v>Marinov</v>
      </c>
      <c r="C15" s="47" t="str">
        <f>VLOOKUP(D15,'Master Data'!A:F,6,FALSE)</f>
        <v>kalin.marinov977@gmail.com</v>
      </c>
      <c r="D15" s="34" t="s">
        <v>9579</v>
      </c>
      <c r="E15" s="46" t="s">
        <v>11298</v>
      </c>
      <c r="F15" s="46" t="str">
        <f>VLOOKUP(D15,'Master Data'!A:F,4,FALSE)</f>
        <v>m</v>
      </c>
      <c r="G15" s="46" t="str">
        <f>VLOOKUP(D15,'Master Data'!A:F,5,FALSE)</f>
        <v>Normal</v>
      </c>
      <c r="H15" s="110">
        <v>410</v>
      </c>
      <c r="I15" s="49" t="s">
        <v>11760</v>
      </c>
      <c r="J15" s="49" t="s">
        <v>11760</v>
      </c>
      <c r="K15" s="49" t="s">
        <v>11754</v>
      </c>
      <c r="L15" s="49" t="s">
        <v>11760</v>
      </c>
      <c r="M15" s="49" t="s">
        <v>11760</v>
      </c>
      <c r="N15" s="49" t="s">
        <v>11760</v>
      </c>
      <c r="O15" s="49" t="s">
        <v>11754</v>
      </c>
      <c r="P15" s="49" t="s">
        <v>11760</v>
      </c>
    </row>
    <row r="16" spans="1:16" ht="23.25" customHeight="1" x14ac:dyDescent="0.25">
      <c r="A16" s="46" t="str">
        <f>VLOOKUP(D16,'Master Data'!A:F,2,FALSE)</f>
        <v>Viviana</v>
      </c>
      <c r="B16" s="46" t="str">
        <f>VLOOKUP(D16,'Master Data'!A:F,3,FALSE)</f>
        <v xml:space="preserve">Russo </v>
      </c>
      <c r="C16" s="47" t="str">
        <f>VLOOKUP(D16,'Master Data'!A:F,6,FALSE)</f>
        <v>vivi.russo@gmx.ch</v>
      </c>
      <c r="D16" s="30" t="s">
        <v>4396</v>
      </c>
      <c r="E16" s="46"/>
      <c r="F16" s="46" t="str">
        <f>VLOOKUP(D16,'Master Data'!A:F,4,FALSE)</f>
        <v>w</v>
      </c>
      <c r="G16" s="46" t="str">
        <f>VLOOKUP(D16,'Master Data'!A:F,5,FALSE)</f>
        <v>Pushflow</v>
      </c>
      <c r="H16" s="109"/>
      <c r="I16" s="49" t="s">
        <v>11754</v>
      </c>
      <c r="J16" s="49" t="s">
        <v>11754</v>
      </c>
      <c r="K16" s="49" t="s">
        <v>11754</v>
      </c>
      <c r="L16" s="49" t="s">
        <v>11760</v>
      </c>
      <c r="M16" s="49" t="s">
        <v>11760</v>
      </c>
      <c r="N16" s="49" t="s">
        <v>11754</v>
      </c>
      <c r="O16" s="49" t="s">
        <v>11754</v>
      </c>
      <c r="P16" s="49" t="s">
        <v>11760</v>
      </c>
    </row>
    <row r="17" spans="1:16" ht="23.25" customHeight="1" x14ac:dyDescent="0.25">
      <c r="A17" s="46" t="str">
        <f>VLOOKUP(D17,'Master Data'!A:F,2,FALSE)</f>
        <v xml:space="preserve">Alexa </v>
      </c>
      <c r="B17" s="46" t="str">
        <f>VLOOKUP(D17,'Master Data'!A:F,3,FALSE)</f>
        <v>Roggwiller</v>
      </c>
      <c r="C17" s="47" t="str">
        <f>VLOOKUP(D17,'Master Data'!A:F,6,FALSE)</f>
        <v>aroggwiller@bluewin.ch</v>
      </c>
      <c r="D17" s="30" t="s">
        <v>5245</v>
      </c>
      <c r="E17" s="46"/>
      <c r="F17" s="46" t="str">
        <f>VLOOKUP(D17,'Master Data'!A:F,4,FALSE)</f>
        <v>w</v>
      </c>
      <c r="G17" s="46" t="str">
        <f>VLOOKUP(D17,'Master Data'!A:F,5,FALSE)</f>
        <v>Normal</v>
      </c>
      <c r="H17" s="110">
        <v>170</v>
      </c>
      <c r="I17" s="49" t="s">
        <v>11760</v>
      </c>
      <c r="J17" s="49" t="s">
        <v>11760</v>
      </c>
      <c r="K17" s="49" t="s">
        <v>11760</v>
      </c>
      <c r="L17" s="49" t="s">
        <v>11754</v>
      </c>
      <c r="M17" s="49" t="s">
        <v>11760</v>
      </c>
      <c r="N17" s="49" t="s">
        <v>11754</v>
      </c>
      <c r="O17" s="49"/>
      <c r="P17" s="49" t="s">
        <v>11760</v>
      </c>
    </row>
    <row r="18" spans="1:16" ht="23.25" customHeight="1" x14ac:dyDescent="0.25">
      <c r="A18" s="46" t="str">
        <f>VLOOKUP(D18,'Master Data'!A:F,2,FALSE)</f>
        <v>Jo</v>
      </c>
      <c r="B18" s="46" t="str">
        <f>VLOOKUP(D18,'Master Data'!A:F,3,FALSE)</f>
        <v>Storrar</v>
      </c>
      <c r="C18" s="47" t="str">
        <f>VLOOKUP(D18,'Master Data'!A:F,6,FALSE)</f>
        <v>joanne_storrar@hotmail.com</v>
      </c>
      <c r="D18" s="30" t="s">
        <v>6679</v>
      </c>
      <c r="E18" s="46"/>
      <c r="F18" s="46" t="str">
        <f>VLOOKUP(D18,'Master Data'!A:F,4,FALSE)</f>
        <v>w</v>
      </c>
      <c r="G18" s="46" t="str">
        <f>VLOOKUP(D18,'Master Data'!A:F,5,FALSE)</f>
        <v>Pushflow</v>
      </c>
      <c r="H18" s="109"/>
      <c r="I18" s="49" t="s">
        <v>11760</v>
      </c>
      <c r="J18" s="49" t="s">
        <v>11760</v>
      </c>
      <c r="K18" s="49" t="s">
        <v>11760</v>
      </c>
      <c r="L18" s="49" t="s">
        <v>11760</v>
      </c>
      <c r="M18" s="49" t="s">
        <v>11754</v>
      </c>
      <c r="N18" s="49" t="s">
        <v>11760</v>
      </c>
      <c r="O18" s="49"/>
      <c r="P18" s="49" t="s">
        <v>11760</v>
      </c>
    </row>
    <row r="19" spans="1:16" ht="23.25" customHeight="1" x14ac:dyDescent="0.25">
      <c r="A19" s="46" t="str">
        <f>VLOOKUP(D19,'Master Data'!A:F,2,FALSE)</f>
        <v>Stephanie</v>
      </c>
      <c r="B19" s="46" t="str">
        <f>VLOOKUP(D19,'Master Data'!A:F,3,FALSE)</f>
        <v>Csendes</v>
      </c>
      <c r="C19" s="47" t="str">
        <f>VLOOKUP(D19,'Master Data'!A:F,6,FALSE)</f>
        <v>stephanie.csendes@gmail.com</v>
      </c>
      <c r="D19" s="30" t="s">
        <v>9476</v>
      </c>
      <c r="E19" s="46"/>
      <c r="F19" s="46" t="str">
        <f>VLOOKUP(D19,'Master Data'!A:F,4,FALSE)</f>
        <v>w</v>
      </c>
      <c r="G19" s="46" t="str">
        <f>VLOOKUP(D19,'Master Data'!A:F,5,FALSE)</f>
        <v>Normal</v>
      </c>
      <c r="H19" s="109"/>
      <c r="I19" s="49" t="s">
        <v>11760</v>
      </c>
      <c r="J19" s="49" t="s">
        <v>11760</v>
      </c>
      <c r="K19" s="49" t="s">
        <v>11760</v>
      </c>
      <c r="L19" s="49" t="s">
        <v>11754</v>
      </c>
      <c r="M19" s="49" t="s">
        <v>11760</v>
      </c>
      <c r="N19" s="49" t="s">
        <v>11754</v>
      </c>
      <c r="O19" s="49"/>
      <c r="P19" s="49" t="s">
        <v>11754</v>
      </c>
    </row>
    <row r="20" spans="1:16" ht="23.25" customHeight="1" x14ac:dyDescent="0.25">
      <c r="A20" s="46" t="str">
        <f>VLOOKUP(D20,'Master Data'!A:F,2,FALSE)</f>
        <v>Ali</v>
      </c>
      <c r="B20" s="46" t="str">
        <f>VLOOKUP(D20,'Master Data'!A:F,3,FALSE)</f>
        <v>Üstündag</v>
      </c>
      <c r="C20" s="47" t="str">
        <f>VLOOKUP(D20,'Master Data'!A:F,6,FALSE)</f>
        <v>ali.uestuendag@gmail.com</v>
      </c>
      <c r="D20" s="19" t="s">
        <v>8514</v>
      </c>
      <c r="E20" s="46"/>
      <c r="F20" s="46" t="str">
        <f>VLOOKUP(D20,'Master Data'!A:F,4,FALSE)</f>
        <v>m</v>
      </c>
      <c r="G20" s="46" t="str">
        <f>VLOOKUP(D20,'Master Data'!A:F,5,FALSE)</f>
        <v>Pushflow</v>
      </c>
      <c r="H20" s="109"/>
      <c r="I20" s="49" t="s">
        <v>11760</v>
      </c>
      <c r="J20" s="49" t="s">
        <v>11760</v>
      </c>
      <c r="K20" s="49" t="s">
        <v>11760</v>
      </c>
      <c r="L20" s="49" t="s">
        <v>11760</v>
      </c>
      <c r="M20" s="49" t="s">
        <v>11760</v>
      </c>
      <c r="N20" s="49" t="s">
        <v>11760</v>
      </c>
      <c r="O20" s="49"/>
      <c r="P20" s="49" t="s">
        <v>11760</v>
      </c>
    </row>
    <row r="21" spans="1:16" ht="23.25" customHeight="1" x14ac:dyDescent="0.25">
      <c r="A21" s="46" t="str">
        <f>VLOOKUP(D21,'Master Data'!A:F,2,FALSE)</f>
        <v>Manuel</v>
      </c>
      <c r="B21" s="46" t="str">
        <f>VLOOKUP(D21,'Master Data'!A:F,3,FALSE)</f>
        <v>Amrein</v>
      </c>
      <c r="C21" s="47" t="str">
        <f>VLOOKUP(D21,'Master Data'!A:F,6,FALSE)</f>
        <v>manu_amrein@hotmail.com</v>
      </c>
      <c r="D21" s="30" t="s">
        <v>6443</v>
      </c>
      <c r="E21" s="46"/>
      <c r="F21" s="46" t="str">
        <f>VLOOKUP(D21,'Master Data'!A:F,4,FALSE)</f>
        <v>m</v>
      </c>
      <c r="G21" s="46" t="str">
        <f>VLOOKUP(D21,'Master Data'!A:F,5,FALSE)</f>
        <v>Normal</v>
      </c>
      <c r="H21" s="109">
        <v>190</v>
      </c>
      <c r="I21" s="49" t="s">
        <v>11760</v>
      </c>
      <c r="J21" s="49" t="s">
        <v>11760</v>
      </c>
      <c r="K21" s="49" t="s">
        <v>11760</v>
      </c>
      <c r="L21" s="49" t="s">
        <v>11754</v>
      </c>
      <c r="M21" s="49" t="s">
        <v>11760</v>
      </c>
      <c r="N21" s="49" t="s">
        <v>11760</v>
      </c>
      <c r="O21" s="49"/>
      <c r="P21" s="49" t="s">
        <v>11760</v>
      </c>
    </row>
    <row r="22" spans="1:16" ht="23.25" customHeight="1" x14ac:dyDescent="0.25">
      <c r="A22" s="46" t="str">
        <f>VLOOKUP(D22,'Master Data'!A:F,2,FALSE)</f>
        <v>Regula</v>
      </c>
      <c r="B22" s="46" t="str">
        <f>VLOOKUP(D22,'Master Data'!A:F,3,FALSE)</f>
        <v>Rudolf von Rohr</v>
      </c>
      <c r="C22" s="47" t="str">
        <f>VLOOKUP(D22,'Master Data'!A:F,6,FALSE)</f>
        <v>regula.rvr@hotmail.com</v>
      </c>
      <c r="D22" s="30" t="s">
        <v>5841</v>
      </c>
      <c r="E22" s="46" t="s">
        <v>11298</v>
      </c>
      <c r="F22" s="46" t="str">
        <f>VLOOKUP(D22,'Master Data'!A:F,4,FALSE)</f>
        <v>w</v>
      </c>
      <c r="G22" s="46" t="str">
        <f>VLOOKUP(D22,'Master Data'!A:F,5,FALSE)</f>
        <v>Normal</v>
      </c>
      <c r="H22" s="109"/>
      <c r="I22" s="49" t="s">
        <v>11754</v>
      </c>
      <c r="J22" s="49" t="s">
        <v>11760</v>
      </c>
      <c r="K22" s="49" t="s">
        <v>11760</v>
      </c>
      <c r="L22" s="49" t="s">
        <v>11760</v>
      </c>
      <c r="M22" s="49" t="s">
        <v>11760</v>
      </c>
      <c r="N22" s="49" t="s">
        <v>11760</v>
      </c>
      <c r="O22" s="49" t="s">
        <v>11754</v>
      </c>
      <c r="P22" s="49" t="s">
        <v>11760</v>
      </c>
    </row>
    <row r="23" spans="1:16" ht="23.25" customHeight="1" x14ac:dyDescent="0.25">
      <c r="A23" s="46" t="str">
        <f>VLOOKUP(D23,'Master Data'!A:F,2,FALSE)</f>
        <v xml:space="preserve">Rabea </v>
      </c>
      <c r="B23" s="46" t="str">
        <f>VLOOKUP(D23,'Master Data'!A:F,3,FALSE)</f>
        <v>Widmer</v>
      </c>
      <c r="C23" s="47" t="str">
        <f>VLOOKUP(D23,'Master Data'!A:F,6,FALSE)</f>
        <v>widmerrabea@gmail.com</v>
      </c>
      <c r="D23" s="30" t="s">
        <v>6531</v>
      </c>
      <c r="E23" s="46"/>
      <c r="F23" s="46" t="str">
        <f>VLOOKUP(D23,'Master Data'!A:F,4,FALSE)</f>
        <v>w</v>
      </c>
      <c r="G23" s="46" t="str">
        <f>VLOOKUP(D23,'Master Data'!A:F,5,FALSE)</f>
        <v>Pushflow</v>
      </c>
      <c r="H23" s="109"/>
      <c r="I23" s="49" t="s">
        <v>11754</v>
      </c>
      <c r="J23" s="49" t="s">
        <v>11760</v>
      </c>
      <c r="K23" s="49" t="s">
        <v>11754</v>
      </c>
      <c r="L23" s="49" t="s">
        <v>11760</v>
      </c>
      <c r="M23" s="49" t="s">
        <v>11760</v>
      </c>
      <c r="N23" s="49" t="s">
        <v>11760</v>
      </c>
      <c r="O23" s="49" t="s">
        <v>11754</v>
      </c>
      <c r="P23" s="49" t="s">
        <v>11760</v>
      </c>
    </row>
    <row r="24" spans="1:16" ht="23.25" customHeight="1" x14ac:dyDescent="0.25">
      <c r="A24" s="46" t="str">
        <f>VLOOKUP(D24,'Master Data'!A:F,2,FALSE)</f>
        <v>Sarah</v>
      </c>
      <c r="B24" s="46" t="str">
        <f>VLOOKUP(D24,'Master Data'!A:F,3,FALSE)</f>
        <v>Lindenmayer</v>
      </c>
      <c r="C24" s="47" t="str">
        <f>VLOOKUP(D24,'Master Data'!A:F,6,FALSE)</f>
        <v>slindenmayer@outlook.de</v>
      </c>
      <c r="D24" s="30" t="s">
        <v>8618</v>
      </c>
      <c r="E24" s="46"/>
      <c r="F24" s="46" t="str">
        <f>VLOOKUP(D24,'Master Data'!A:F,4,FALSE)</f>
        <v>w</v>
      </c>
      <c r="G24" s="46" t="str">
        <f>VLOOKUP(D24,'Master Data'!A:F,5,FALSE)</f>
        <v>Normal</v>
      </c>
      <c r="H24" s="109"/>
      <c r="I24" s="49" t="s">
        <v>11760</v>
      </c>
      <c r="J24" s="49" t="s">
        <v>11760</v>
      </c>
      <c r="K24" s="49" t="s">
        <v>11760</v>
      </c>
      <c r="L24" s="49" t="s">
        <v>11760</v>
      </c>
      <c r="M24" s="49" t="s">
        <v>11760</v>
      </c>
      <c r="N24" s="49" t="s">
        <v>11760</v>
      </c>
      <c r="O24" s="49"/>
      <c r="P24" s="49" t="s">
        <v>11760</v>
      </c>
    </row>
    <row r="25" spans="1:16" ht="23.25" customHeight="1" x14ac:dyDescent="0.25">
      <c r="A25" s="46" t="str">
        <f>VLOOKUP(D25,'Master Data'!A:F,2,FALSE)</f>
        <v>Samuel</v>
      </c>
      <c r="B25" s="46" t="str">
        <f>VLOOKUP(D25,'Master Data'!A:F,3,FALSE)</f>
        <v>Hulliger</v>
      </c>
      <c r="C25" s="47" t="str">
        <f>VLOOKUP(D25,'Master Data'!A:F,6,FALSE)</f>
        <v>samuel.torres82@hotmail.com</v>
      </c>
      <c r="D25" s="19" t="s">
        <v>4292</v>
      </c>
      <c r="E25" s="46"/>
      <c r="F25" s="46" t="str">
        <f>VLOOKUP(D25,'Master Data'!A:F,4,FALSE)</f>
        <v>m</v>
      </c>
      <c r="G25" s="46" t="str">
        <f>VLOOKUP(D25,'Master Data'!A:F,5,FALSE)</f>
        <v>Pushflow</v>
      </c>
      <c r="H25" s="109"/>
      <c r="I25" s="49" t="s">
        <v>11760</v>
      </c>
      <c r="J25" s="49" t="s">
        <v>11760</v>
      </c>
      <c r="K25" s="49" t="s">
        <v>11760</v>
      </c>
      <c r="L25" s="49" t="s">
        <v>11760</v>
      </c>
      <c r="M25" s="49" t="s">
        <v>11760</v>
      </c>
      <c r="N25" s="49" t="s">
        <v>11760</v>
      </c>
      <c r="O25" s="49"/>
      <c r="P25" s="49" t="s">
        <v>11760</v>
      </c>
    </row>
    <row r="26" spans="1:16" ht="23.25" customHeight="1" x14ac:dyDescent="0.25">
      <c r="A26" s="46" t="str">
        <f>VLOOKUP(D26,'Master Data'!A:F,2,FALSE)</f>
        <v>Rita</v>
      </c>
      <c r="B26" s="46" t="str">
        <f>VLOOKUP(D26,'Master Data'!A:F,3,FALSE)</f>
        <v>Gonzalez</v>
      </c>
      <c r="C26" s="47" t="str">
        <f>VLOOKUP(D26,'Master Data'!A:F,6,FALSE)</f>
        <v>ritamaria.gd@gmail.com</v>
      </c>
      <c r="D26" s="34" t="s">
        <v>8759</v>
      </c>
      <c r="E26" s="46"/>
      <c r="F26" s="46" t="str">
        <f>VLOOKUP(D26,'Master Data'!A:F,4,FALSE)</f>
        <v>w</v>
      </c>
      <c r="G26" s="46" t="str">
        <f>VLOOKUP(D26,'Master Data'!A:F,5,FALSE)</f>
        <v>Pushflow</v>
      </c>
      <c r="H26" s="109"/>
      <c r="I26" s="49" t="s">
        <v>11760</v>
      </c>
      <c r="J26" s="49" t="s">
        <v>11760</v>
      </c>
      <c r="K26" s="49" t="s">
        <v>11760</v>
      </c>
      <c r="L26" s="49" t="s">
        <v>11760</v>
      </c>
      <c r="M26" s="49" t="s">
        <v>11760</v>
      </c>
      <c r="N26" s="49" t="s">
        <v>11760</v>
      </c>
      <c r="O26" s="49"/>
      <c r="P26" s="49" t="s">
        <v>11760</v>
      </c>
    </row>
    <row r="27" spans="1:16" ht="23.25" customHeight="1" x14ac:dyDescent="0.25">
      <c r="A27" s="46" t="str">
        <f>VLOOKUP(D27,'Master Data'!A:F,2,FALSE)</f>
        <v>Lena</v>
      </c>
      <c r="B27" s="46" t="str">
        <f>VLOOKUP(D27,'Master Data'!A:F,3,FALSE)</f>
        <v>Bremer</v>
      </c>
      <c r="C27" s="47" t="str">
        <f>VLOOKUP(D27,'Master Data'!A:F,6,FALSE)</f>
        <v>lena_bremer96@web.de</v>
      </c>
      <c r="D27" s="30" t="s">
        <v>8409</v>
      </c>
      <c r="E27" s="46"/>
      <c r="F27" s="46" t="str">
        <f>VLOOKUP(D27,'Master Data'!A:F,4,FALSE)</f>
        <v>w</v>
      </c>
      <c r="G27" s="46" t="str">
        <f>VLOOKUP(D27,'Master Data'!A:F,5,FALSE)</f>
        <v>Pushflow</v>
      </c>
      <c r="H27" s="109"/>
      <c r="I27" s="49" t="s">
        <v>11760</v>
      </c>
      <c r="J27" s="49" t="s">
        <v>11760</v>
      </c>
      <c r="K27" s="49" t="s">
        <v>11760</v>
      </c>
      <c r="L27" s="49" t="s">
        <v>11760</v>
      </c>
      <c r="M27" s="49" t="s">
        <v>11754</v>
      </c>
      <c r="N27" s="49" t="s">
        <v>11760</v>
      </c>
      <c r="O27" s="49"/>
      <c r="P27" s="49" t="s">
        <v>11760</v>
      </c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52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60"/>
      <c r="F29" s="46" t="e">
        <f>VLOOKUP(D29,'Master Data'!A:F,4,FALSE)</f>
        <v>#N/A</v>
      </c>
      <c r="G29" s="46" t="e">
        <f>VLOOKUP(D29,'Master Data'!A:F,5,FALSE)</f>
        <v>#N/A</v>
      </c>
      <c r="H29" s="52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4"/>
      <c r="E30" s="60"/>
      <c r="F30" s="46" t="e">
        <f>VLOOKUP(D30,'Master Data'!A:F,4,FALSE)</f>
        <v>#N/A</v>
      </c>
      <c r="G30" s="46" t="e">
        <f>VLOOKUP(D30,'Master Data'!A:F,5,FALSE)</f>
        <v>#N/A</v>
      </c>
      <c r="H30" s="52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19"/>
      <c r="E31" s="60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1120</v>
      </c>
      <c r="I32" s="31"/>
      <c r="J32" s="31"/>
      <c r="K32" s="31"/>
      <c r="L32" s="31"/>
      <c r="M32" s="31"/>
      <c r="N32" s="31"/>
      <c r="O32" s="31"/>
      <c r="P32" s="31"/>
    </row>
  </sheetData>
  <mergeCells count="1">
    <mergeCell ref="I6:P6"/>
  </mergeCells>
  <conditionalFormatting sqref="F7:G31 A7:C32">
    <cfRule type="cellIs" dxfId="27" priority="1" operator="equal">
      <formula>0</formula>
    </cfRule>
    <cfRule type="expression" dxfId="26" priority="2">
      <formula>ISERROR(A7)</formula>
    </cfRule>
  </conditionalFormatting>
  <pageMargins left="0.41666666666666669" right="0.41666666666666669" top="0.78740157499999996" bottom="0.78740157499999996" header="0" footer="0"/>
  <pageSetup paperSize="9" scale="76" orientation="landscape" r:id="rId1"/>
  <headerFooter>
    <oddFooter>&amp;LSalsaflow Dance Company GmbH Elisabethenanlage 7, 4051 Basel&amp;CSebastian - Tel. 076 218 21 98 Fabio - Tel. 076 478 84 11&amp;R info@salsaflow-dc.com www.salsaflow-dc.com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E2EFD9"/>
  </sheetPr>
  <dimension ref="A1:P1000"/>
  <sheetViews>
    <sheetView workbookViewId="0">
      <selection activeCell="K16" sqref="K16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11648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11312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Paola</v>
      </c>
      <c r="B7" s="46" t="str">
        <f>VLOOKUP(D7,'Master Data'!A:F,3,FALSE)</f>
        <v>Buscema</v>
      </c>
      <c r="C7" s="47" t="str">
        <f>VLOOKUP(D7,'Master Data'!A:F,6,FALSE)</f>
        <v>paolabuscema@yahoo.it</v>
      </c>
      <c r="D7" s="34" t="s">
        <v>10724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3">
        <v>160</v>
      </c>
      <c r="I7" s="49" t="s">
        <v>11760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Florian</v>
      </c>
      <c r="B8" s="46" t="str">
        <f>VLOOKUP(D8,'Master Data'!A:F,3,FALSE)</f>
        <v>Dünku</v>
      </c>
      <c r="C8" s="47" t="str">
        <f>VLOOKUP(D8,'Master Data'!A:F,6,FALSE)</f>
        <v>florian.duenki@gmail.com</v>
      </c>
      <c r="D8" s="34" t="s">
        <v>10227</v>
      </c>
      <c r="E8" s="46" t="s">
        <v>11665</v>
      </c>
      <c r="F8" s="46" t="str">
        <f>VLOOKUP(D8,'Master Data'!A:F,4,FALSE)</f>
        <v>m</v>
      </c>
      <c r="G8" s="46" t="str">
        <f>VLOOKUP(D8,'Master Data'!A:F,5,FALSE)</f>
        <v>Paar</v>
      </c>
      <c r="H8" s="106">
        <v>240</v>
      </c>
      <c r="I8" s="49" t="s">
        <v>11754</v>
      </c>
      <c r="J8" s="49" t="s">
        <v>11754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Cristina</v>
      </c>
      <c r="B9" s="46" t="str">
        <f>VLOOKUP(D9,'Master Data'!A:F,3,FALSE)</f>
        <v>Guarnaccia</v>
      </c>
      <c r="C9" s="47" t="str">
        <f>VLOOKUP(D9,'Master Data'!A:F,6,FALSE)</f>
        <v>cristina.guarn@gmail.com</v>
      </c>
      <c r="D9" s="34" t="s">
        <v>10223</v>
      </c>
      <c r="E9" s="46" t="s">
        <v>11665</v>
      </c>
      <c r="F9" s="46" t="str">
        <f>VLOOKUP(D9,'Master Data'!A:F,4,FALSE)</f>
        <v>w</v>
      </c>
      <c r="G9" s="46" t="str">
        <f>VLOOKUP(D9,'Master Data'!A:F,5,FALSE)</f>
        <v>Paar</v>
      </c>
      <c r="H9" s="106">
        <v>240</v>
      </c>
      <c r="I9" s="49" t="s">
        <v>11754</v>
      </c>
      <c r="J9" s="49" t="s">
        <v>11754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Florian</v>
      </c>
      <c r="B10" s="46" t="str">
        <f>VLOOKUP(D10,'Master Data'!A:F,3,FALSE)</f>
        <v>Siegwolf</v>
      </c>
      <c r="C10" s="47" t="str">
        <f>VLOOKUP(D10,'Master Data'!A:F,6,FALSE)</f>
        <v>florian.siegwolf@yahoo.de</v>
      </c>
      <c r="D10" s="30" t="s">
        <v>11540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6">
        <v>190</v>
      </c>
      <c r="I10" s="49" t="s">
        <v>11760</v>
      </c>
      <c r="J10" s="49" t="s">
        <v>11760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Steve</v>
      </c>
      <c r="B11" s="46" t="str">
        <f>VLOOKUP(D11,'Master Data'!A:F,3,FALSE)</f>
        <v>Adderson</v>
      </c>
      <c r="C11" s="47" t="str">
        <f>VLOOKUP(D11,'Master Data'!A:F,6,FALSE)</f>
        <v>s.adderson@yahoo.com</v>
      </c>
      <c r="D11" s="30" t="s">
        <v>11567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6">
        <v>95</v>
      </c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11760</v>
      </c>
      <c r="N11" s="49" t="s">
        <v>11760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Manuel</v>
      </c>
      <c r="B12" s="46" t="str">
        <f>VLOOKUP(D12,'Master Data'!A:F,3,FALSE)</f>
        <v>Ramseier</v>
      </c>
      <c r="C12" s="47" t="str">
        <f>VLOOKUP(D12,'Master Data'!A:F,6,FALSE)</f>
        <v>ramseiermanuel@gmail.com</v>
      </c>
      <c r="D12" s="30" t="s">
        <v>11587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3">
        <v>190</v>
      </c>
      <c r="I12" s="49" t="s">
        <v>11760</v>
      </c>
      <c r="J12" s="49" t="s">
        <v>11760</v>
      </c>
      <c r="K12" s="49" t="s">
        <v>11760</v>
      </c>
      <c r="L12" s="49" t="s">
        <v>11754</v>
      </c>
      <c r="M12" s="49" t="s">
        <v>11760</v>
      </c>
      <c r="N12" s="49" t="s">
        <v>11760</v>
      </c>
      <c r="O12" s="49"/>
      <c r="P12" s="49" t="s">
        <v>11754</v>
      </c>
    </row>
    <row r="13" spans="1:16" ht="23.25" customHeight="1" x14ac:dyDescent="0.25">
      <c r="A13" s="46" t="str">
        <f>VLOOKUP(D13,'Master Data'!A:F,2,FALSE)</f>
        <v>Ben</v>
      </c>
      <c r="B13" s="46" t="str">
        <f>VLOOKUP(D13,'Master Data'!A:F,3,FALSE)</f>
        <v>Böke</v>
      </c>
      <c r="C13" s="47" t="str">
        <f>VLOOKUP(D13,'Master Data'!A:F,6,FALSE)</f>
        <v>ben25boeke@gmail.com</v>
      </c>
      <c r="D13" s="98" t="s">
        <v>11951</v>
      </c>
      <c r="E13" s="46" t="s">
        <v>11298</v>
      </c>
      <c r="F13" s="46" t="str">
        <f>VLOOKUP(D13,'Master Data'!A:F,4,FALSE)</f>
        <v>m</v>
      </c>
      <c r="G13" s="46" t="str">
        <f>VLOOKUP(D13,'Master Data'!A:F,5,FALSE)</f>
        <v>Normal</v>
      </c>
      <c r="H13" s="103"/>
      <c r="I13" s="49" t="s">
        <v>11760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e">
        <f>VLOOKUP(D14,'Master Data'!A:F,2,FALSE)</f>
        <v>#N/A</v>
      </c>
      <c r="B14" s="46" t="e">
        <f>VLOOKUP(D14,'Master Data'!A:F,3,FALSE)</f>
        <v>#N/A</v>
      </c>
      <c r="C14" s="47" t="e">
        <f>VLOOKUP(D14,'Master Data'!A:F,6,FALSE)</f>
        <v>#N/A</v>
      </c>
      <c r="D14" s="98"/>
      <c r="E14" s="46"/>
      <c r="F14" s="46" t="e">
        <f>VLOOKUP(D14,'Master Data'!A:F,4,FALSE)</f>
        <v>#N/A</v>
      </c>
      <c r="G14" s="46" t="e">
        <f>VLOOKUP(D14,'Master Data'!A:F,5,FALSE)</f>
        <v>#N/A</v>
      </c>
      <c r="H14" s="48"/>
      <c r="I14" s="49"/>
      <c r="J14" s="49"/>
      <c r="K14" s="49"/>
      <c r="L14" s="49"/>
      <c r="M14" s="49"/>
      <c r="N14" s="49"/>
      <c r="O14" s="49"/>
      <c r="P14" s="49"/>
    </row>
    <row r="15" spans="1:16" ht="23.25" customHeight="1" x14ac:dyDescent="0.25">
      <c r="A15" s="46" t="e">
        <f>VLOOKUP(D15,'Master Data'!A:F,2,FALSE)</f>
        <v>#N/A</v>
      </c>
      <c r="B15" s="46" t="e">
        <f>VLOOKUP(D15,'Master Data'!A:F,3,FALSE)</f>
        <v>#N/A</v>
      </c>
      <c r="C15" s="47" t="e">
        <f>VLOOKUP(D15,'Master Data'!A:F,6,FALSE)</f>
        <v>#N/A</v>
      </c>
      <c r="D15" s="98"/>
      <c r="E15" s="46"/>
      <c r="F15" s="46" t="e">
        <f>VLOOKUP(D15,'Master Data'!A:F,4,FALSE)</f>
        <v>#N/A</v>
      </c>
      <c r="G15" s="46" t="e">
        <f>VLOOKUP(D15,'Master Data'!A:F,5,FALSE)</f>
        <v>#N/A</v>
      </c>
      <c r="H15" s="48"/>
      <c r="I15" s="49"/>
      <c r="J15" s="49"/>
      <c r="K15" s="49"/>
      <c r="L15" s="49"/>
      <c r="M15" s="49"/>
      <c r="N15" s="49"/>
      <c r="O15" s="49"/>
      <c r="P15" s="49"/>
    </row>
    <row r="16" spans="1:16" ht="23.25" customHeight="1" x14ac:dyDescent="0.25">
      <c r="A16" s="46" t="e">
        <f>VLOOKUP(D16,'Master Data'!A:F,2,FALSE)</f>
        <v>#N/A</v>
      </c>
      <c r="B16" s="46" t="e">
        <f>VLOOKUP(D16,'Master Data'!A:F,3,FALSE)</f>
        <v>#N/A</v>
      </c>
      <c r="C16" s="47" t="e">
        <f>VLOOKUP(D16,'Master Data'!A:F,6,FALSE)</f>
        <v>#N/A</v>
      </c>
      <c r="D16" s="30"/>
      <c r="E16" s="46"/>
      <c r="F16" s="46" t="e">
        <f>VLOOKUP(D16,'Master Data'!A:F,4,FALSE)</f>
        <v>#N/A</v>
      </c>
      <c r="G16" s="46" t="e">
        <f>VLOOKUP(D16,'Master Data'!A:F,5,FALSE)</f>
        <v>#N/A</v>
      </c>
      <c r="H16" s="48"/>
      <c r="I16" s="49"/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e">
        <f>VLOOKUP(D17,'Master Data'!A:F,2,FALSE)</f>
        <v>#N/A</v>
      </c>
      <c r="B17" s="46" t="e">
        <f>VLOOKUP(D17,'Master Data'!A:F,3,FALSE)</f>
        <v>#N/A</v>
      </c>
      <c r="C17" s="47" t="e">
        <f>VLOOKUP(D17,'Master Data'!A:F,6,FALSE)</f>
        <v>#N/A</v>
      </c>
      <c r="D17" s="30"/>
      <c r="E17" s="46"/>
      <c r="F17" s="46" t="e">
        <f>VLOOKUP(D17,'Master Data'!A:F,4,FALSE)</f>
        <v>#N/A</v>
      </c>
      <c r="G17" s="46" t="e">
        <f>VLOOKUP(D17,'Master Data'!A:F,5,FALSE)</f>
        <v>#N/A</v>
      </c>
      <c r="H17" s="48"/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30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7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1115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25" priority="1" operator="equal">
      <formula>0</formula>
    </cfRule>
    <cfRule type="expression" dxfId="24" priority="2">
      <formula>ISERROR(A7)</formula>
    </cfRule>
  </conditionalFormatting>
  <pageMargins left="0.41666666666666669" right="0.41666666666666669" top="0.78740157499999996" bottom="0.78740157499999996" header="0" footer="0"/>
  <pageSetup paperSize="9" scale="76" orientation="landscape"/>
  <headerFooter>
    <oddFooter>&amp;LSalsaflow Dance Company GmbH Elisabethenanlage 7, 4051 Basel&amp;CSebastian - Tel. 076 218 21 98 Fabio - Tel. 076 478 84 11&amp;R info@salsaflow-dc.com www.salsaflow-dc.com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E2EFD9"/>
  </sheetPr>
  <dimension ref="A1:P1000"/>
  <sheetViews>
    <sheetView tabSelected="1" view="pageLayout" topLeftCell="A4" zoomScaleNormal="100" workbookViewId="0">
      <selection activeCell="D12" sqref="D12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11649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10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553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/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Jessica</v>
      </c>
      <c r="B7" s="46" t="str">
        <f>VLOOKUP(D7,'Master Data'!A:F,3,FALSE)</f>
        <v>Bratz Solano</v>
      </c>
      <c r="C7" s="47" t="str">
        <f>VLOOKUP(D7,'Master Data'!A:F,6,FALSE)</f>
        <v>jessica.bratzsolano@web.de</v>
      </c>
      <c r="D7" s="34" t="s">
        <v>9664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3"/>
      <c r="I7" s="49" t="s">
        <v>11754</v>
      </c>
      <c r="J7" s="49" t="s">
        <v>11760</v>
      </c>
      <c r="K7" s="49" t="s">
        <v>11760</v>
      </c>
      <c r="L7" s="49" t="s">
        <v>11760</v>
      </c>
      <c r="M7" s="49" t="s">
        <v>11760</v>
      </c>
      <c r="N7" s="49" t="s">
        <v>11760</v>
      </c>
      <c r="O7" s="49"/>
      <c r="P7" s="49" t="s">
        <v>11760</v>
      </c>
    </row>
    <row r="8" spans="1:16" ht="23.25" customHeight="1" x14ac:dyDescent="0.25">
      <c r="A8" s="46" t="str">
        <f>VLOOKUP(D8,'Master Data'!A:F,2,FALSE)</f>
        <v>Syria</v>
      </c>
      <c r="B8" s="46" t="str">
        <f>VLOOKUP(D8,'Master Data'!A:F,3,FALSE)</f>
        <v>Savary</v>
      </c>
      <c r="C8" s="47" t="str">
        <f>VLOOKUP(D8,'Master Data'!A:F,6,FALSE)</f>
        <v>syria.savary@hotmail.ch</v>
      </c>
      <c r="D8" s="19" t="s">
        <v>10007</v>
      </c>
      <c r="E8" s="46"/>
      <c r="F8" s="46" t="str">
        <f>VLOOKUP(D8,'Master Data'!A:F,4,FALSE)</f>
        <v>w</v>
      </c>
      <c r="G8" s="46" t="str">
        <f>VLOOKUP(D8,'Master Data'!A:F,5,FALSE)</f>
        <v>Paar</v>
      </c>
      <c r="H8" s="103"/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Tijana</v>
      </c>
      <c r="B9" s="46" t="str">
        <f>VLOOKUP(D9,'Master Data'!A:F,3,FALSE)</f>
        <v>Miljkovic</v>
      </c>
      <c r="C9" s="47" t="str">
        <f>VLOOKUP(D9,'Master Data'!A:F,6,FALSE)</f>
        <v>tijana.miljkovic@icloud.com</v>
      </c>
      <c r="D9" s="19" t="s">
        <v>8501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03"/>
      <c r="I9" s="49" t="s">
        <v>11760</v>
      </c>
      <c r="J9" s="49" t="s">
        <v>11760</v>
      </c>
      <c r="K9" s="49" t="s">
        <v>11754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Afaf</v>
      </c>
      <c r="B10" s="46" t="str">
        <f>VLOOKUP(D10,'Master Data'!A:F,3,FALSE)</f>
        <v>Elkurdi</v>
      </c>
      <c r="C10" s="47" t="str">
        <f>VLOOKUP(D10,'Master Data'!A:F,6,FALSE)</f>
        <v>elkurdi_afaf@hotmail.com</v>
      </c>
      <c r="D10" s="30" t="s">
        <v>11071</v>
      </c>
      <c r="E10" s="46" t="s">
        <v>11665</v>
      </c>
      <c r="F10" s="46" t="str">
        <f>VLOOKUP(D10,'Master Data'!A:F,4,FALSE)</f>
        <v>w</v>
      </c>
      <c r="G10" s="46" t="str">
        <f>VLOOKUP(D10,'Master Data'!A:F,5,FALSE)</f>
        <v>Normal</v>
      </c>
      <c r="H10" s="103"/>
      <c r="I10" s="49" t="s">
        <v>11760</v>
      </c>
      <c r="J10" s="49" t="s">
        <v>11760</v>
      </c>
      <c r="K10" s="49" t="s">
        <v>11760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Zita</v>
      </c>
      <c r="B11" s="46" t="str">
        <f>VLOOKUP(D11,'Master Data'!A:F,3,FALSE)</f>
        <v>Magyar</v>
      </c>
      <c r="C11" s="47" t="str">
        <f>VLOOKUP(D11,'Master Data'!A:F,6,FALSE)</f>
        <v>zita.magyar@yahoo.com</v>
      </c>
      <c r="D11" s="34" t="s">
        <v>9052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6"/>
      <c r="I11" s="49" t="s">
        <v>11760</v>
      </c>
      <c r="J11" s="49" t="s">
        <v>11760</v>
      </c>
      <c r="K11" s="49" t="s">
        <v>11941</v>
      </c>
      <c r="L11" s="49" t="s">
        <v>11754</v>
      </c>
      <c r="M11" s="49" t="s">
        <v>11754</v>
      </c>
      <c r="N11" s="49" t="s">
        <v>11754</v>
      </c>
      <c r="O11" s="49" t="s">
        <v>11754</v>
      </c>
      <c r="P11" s="49" t="s">
        <v>11754</v>
      </c>
    </row>
    <row r="12" spans="1:16" ht="23.25" customHeight="1" x14ac:dyDescent="0.25">
      <c r="A12" s="46" t="str">
        <f>VLOOKUP(D12,'Master Data'!A:F,2,FALSE)</f>
        <v>Alexandra</v>
      </c>
      <c r="B12" s="46" t="str">
        <f>VLOOKUP(D12,'Master Data'!A:F,3,FALSE)</f>
        <v>Meier</v>
      </c>
      <c r="C12" s="47" t="str">
        <f>VLOOKUP(D12,'Master Data'!A:F,6,FALSE)</f>
        <v>alexandra.meier@unibas.ch</v>
      </c>
      <c r="D12" s="30" t="s">
        <v>5980</v>
      </c>
      <c r="E12" s="46" t="s">
        <v>1359</v>
      </c>
      <c r="F12" s="46" t="str">
        <f>VLOOKUP(D12,'Master Data'!A:F,4,FALSE)</f>
        <v>w</v>
      </c>
      <c r="G12" s="46" t="str">
        <f>VLOOKUP(D12,'Master Data'!A:F,5,FALSE)</f>
        <v>Paar</v>
      </c>
      <c r="H12" s="103"/>
      <c r="I12" s="49" t="s">
        <v>11760</v>
      </c>
      <c r="J12" s="49" t="s">
        <v>11760</v>
      </c>
      <c r="K12" s="49" t="s">
        <v>11760</v>
      </c>
      <c r="L12" s="49" t="s">
        <v>11760</v>
      </c>
      <c r="M12" s="49" t="s">
        <v>11760</v>
      </c>
      <c r="N12" s="49" t="s">
        <v>11760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Regula</v>
      </c>
      <c r="B13" s="46" t="str">
        <f>VLOOKUP(D13,'Master Data'!A:F,3,FALSE)</f>
        <v>Rudolf von Rohr</v>
      </c>
      <c r="C13" s="47" t="str">
        <f>VLOOKUP(D13,'Master Data'!A:F,6,FALSE)</f>
        <v>regula.rvr@hotmail.com</v>
      </c>
      <c r="D13" s="30" t="s">
        <v>5841</v>
      </c>
      <c r="E13" s="46" t="s">
        <v>11298</v>
      </c>
      <c r="F13" s="46" t="str">
        <f>VLOOKUP(D13,'Master Data'!A:F,4,FALSE)</f>
        <v>w</v>
      </c>
      <c r="G13" s="46" t="str">
        <f>VLOOKUP(D13,'Master Data'!A:F,5,FALSE)</f>
        <v>Normal</v>
      </c>
      <c r="H13" s="103"/>
      <c r="I13" s="49" t="s">
        <v>11754</v>
      </c>
      <c r="J13" s="49" t="s">
        <v>11760</v>
      </c>
      <c r="K13" s="49" t="s">
        <v>11760</v>
      </c>
      <c r="L13" s="49" t="s">
        <v>11760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Janina</v>
      </c>
      <c r="B14" s="46" t="str">
        <f>VLOOKUP(D14,'Master Data'!A:F,3,FALSE)</f>
        <v>Aufrichtig</v>
      </c>
      <c r="C14" s="47" t="str">
        <f>VLOOKUP(D14,'Master Data'!A:F,6,FALSE)</f>
        <v>j.aufrichtig@gmx.ch</v>
      </c>
      <c r="D14" s="30" t="s">
        <v>8609</v>
      </c>
      <c r="E14" s="46" t="s">
        <v>11665</v>
      </c>
      <c r="F14" s="46" t="str">
        <f>VLOOKUP(D14,'Master Data'!A:F,4,FALSE)</f>
        <v>w</v>
      </c>
      <c r="G14" s="46" t="str">
        <f>VLOOKUP(D14,'Master Data'!A:F,5,FALSE)</f>
        <v>Normal</v>
      </c>
      <c r="H14" s="103"/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/>
      <c r="P14" s="49" t="s">
        <v>11760</v>
      </c>
    </row>
    <row r="15" spans="1:16" ht="23.25" customHeight="1" x14ac:dyDescent="0.25">
      <c r="A15" s="46" t="str">
        <f>VLOOKUP(D15,'Master Data'!A:F,2,FALSE)</f>
        <v>Iryna</v>
      </c>
      <c r="B15" s="46" t="str">
        <f>VLOOKUP(D15,'Master Data'!A:F,3,FALSE)</f>
        <v>Marrini</v>
      </c>
      <c r="C15" s="47" t="str">
        <f>VLOOKUP(D15,'Master Data'!A:F,6,FALSE)</f>
        <v>iryna@marrini.com</v>
      </c>
      <c r="D15" s="34" t="s">
        <v>8791</v>
      </c>
      <c r="E15" s="46" t="s">
        <v>11298</v>
      </c>
      <c r="F15" s="46" t="str">
        <f>VLOOKUP(D15,'Master Data'!A:F,4,FALSE)</f>
        <v>w</v>
      </c>
      <c r="G15" s="46" t="str">
        <f>VLOOKUP(D15,'Master Data'!A:F,5,FALSE)</f>
        <v>Normal</v>
      </c>
      <c r="H15" s="103"/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11760</v>
      </c>
      <c r="N15" s="49" t="s">
        <v>11760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 xml:space="preserve">Laura </v>
      </c>
      <c r="B16" s="46" t="str">
        <f>VLOOKUP(D16,'Master Data'!A:F,3,FALSE)</f>
        <v>Kägi</v>
      </c>
      <c r="C16" s="47" t="str">
        <f>VLOOKUP(D16,'Master Data'!A:F,6,FALSE)</f>
        <v>laura_kaegi@hotmail.com</v>
      </c>
      <c r="D16" s="30" t="s">
        <v>9486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06">
        <v>190</v>
      </c>
      <c r="I16" s="49" t="s">
        <v>11760</v>
      </c>
      <c r="J16" s="49" t="s">
        <v>11760</v>
      </c>
      <c r="K16" s="49" t="s">
        <v>11760</v>
      </c>
      <c r="L16" s="49" t="s">
        <v>11760</v>
      </c>
      <c r="M16" s="49" t="s">
        <v>11760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>Ines</v>
      </c>
      <c r="B17" s="46" t="str">
        <f>VLOOKUP(D17,'Master Data'!A:F,3,FALSE)</f>
        <v>Zapater</v>
      </c>
      <c r="C17" s="47" t="str">
        <f>VLOOKUP(D17,'Master Data'!A:F,6,FALSE)</f>
        <v>ines.zapater@posteo.net</v>
      </c>
      <c r="D17" s="30" t="s">
        <v>10657</v>
      </c>
      <c r="E17" s="46" t="s">
        <v>11665</v>
      </c>
      <c r="F17" s="46" t="str">
        <f>VLOOKUP(D17,'Master Data'!A:F,4,FALSE)</f>
        <v>w</v>
      </c>
      <c r="G17" s="46" t="str">
        <f>VLOOKUP(D17,'Master Data'!A:F,5,FALSE)</f>
        <v>Normal</v>
      </c>
      <c r="H17" s="103"/>
      <c r="I17" s="49" t="s">
        <v>11754</v>
      </c>
      <c r="J17" s="49" t="s">
        <v>11760</v>
      </c>
      <c r="K17" s="49" t="s">
        <v>11760</v>
      </c>
      <c r="L17" s="49" t="s">
        <v>11760</v>
      </c>
      <c r="M17" s="49" t="s">
        <v>11760</v>
      </c>
      <c r="N17" s="49" t="s">
        <v>11760</v>
      </c>
      <c r="O17" s="49"/>
      <c r="P17" s="49" t="s">
        <v>11760</v>
      </c>
    </row>
    <row r="18" spans="1:16" ht="23.25" customHeight="1" x14ac:dyDescent="0.25">
      <c r="A18" s="46" t="str">
        <f>VLOOKUP(D18,'Master Data'!A:F,2,FALSE)</f>
        <v>Lorena</v>
      </c>
      <c r="B18" s="46" t="str">
        <f>VLOOKUP(D18,'Master Data'!A:F,3,FALSE)</f>
        <v>Mangold</v>
      </c>
      <c r="C18" s="47" t="str">
        <f>VLOOKUP(D18,'Master Data'!A:F,6,FALSE)</f>
        <v>lmangold@breitband.ch</v>
      </c>
      <c r="D18" s="30" t="s">
        <v>6138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3"/>
      <c r="I18" s="49" t="s">
        <v>11760</v>
      </c>
      <c r="J18" s="49" t="s">
        <v>11760</v>
      </c>
      <c r="K18" s="49" t="s">
        <v>11760</v>
      </c>
      <c r="L18" s="49" t="s">
        <v>11760</v>
      </c>
      <c r="M18" s="49" t="s">
        <v>11760</v>
      </c>
      <c r="N18" s="49" t="s">
        <v>11760</v>
      </c>
      <c r="O18" s="49"/>
      <c r="P18" s="49" t="s">
        <v>11760</v>
      </c>
    </row>
    <row r="19" spans="1:16" ht="23.25" customHeight="1" x14ac:dyDescent="0.25">
      <c r="A19" s="46" t="str">
        <f>VLOOKUP(D19,'Master Data'!A:F,2,FALSE)</f>
        <v>Lana</v>
      </c>
      <c r="B19" s="46" t="str">
        <f>VLOOKUP(D19,'Master Data'!A:F,3,FALSE)</f>
        <v>Vinigradova</v>
      </c>
      <c r="C19" s="47" t="str">
        <f>VLOOKUP(D19,'Master Data'!A:F,6,FALSE)</f>
        <v>lanavin@gmail.com</v>
      </c>
      <c r="D19" s="30" t="s">
        <v>11356</v>
      </c>
      <c r="E19" s="46" t="s">
        <v>11796</v>
      </c>
      <c r="F19" s="46" t="str">
        <f>VLOOKUP(D19,'Master Data'!A:F,4,FALSE)</f>
        <v>w</v>
      </c>
      <c r="G19" s="46" t="str">
        <f>VLOOKUP(D19,'Master Data'!A:F,5,FALSE)</f>
        <v>Normal</v>
      </c>
      <c r="H19" s="103"/>
      <c r="I19" s="49" t="s">
        <v>11760</v>
      </c>
      <c r="J19" s="49" t="s">
        <v>11754</v>
      </c>
      <c r="K19" s="49" t="s">
        <v>11760</v>
      </c>
      <c r="L19" s="49" t="s">
        <v>11754</v>
      </c>
      <c r="M19" s="49" t="s">
        <v>11754</v>
      </c>
      <c r="N19" s="49" t="s">
        <v>11754</v>
      </c>
      <c r="O19" s="49" t="s">
        <v>11754</v>
      </c>
      <c r="P19" s="49" t="s">
        <v>11754</v>
      </c>
    </row>
    <row r="20" spans="1:16" ht="23.25" customHeight="1" x14ac:dyDescent="0.25">
      <c r="A20" s="46" t="str">
        <f>VLOOKUP(D20,'Master Data'!A:F,2,FALSE)</f>
        <v>Patricia Maria</v>
      </c>
      <c r="B20" s="46" t="str">
        <f>VLOOKUP(D20,'Master Data'!A:F,3,FALSE)</f>
        <v>Schaad</v>
      </c>
      <c r="C20" s="47" t="str">
        <f>VLOOKUP(D20,'Master Data'!A:F,6,FALSE)</f>
        <v>patricia.schaad@students.fhnw.ch</v>
      </c>
      <c r="D20" s="30" t="s">
        <v>4388</v>
      </c>
      <c r="E20" s="46"/>
      <c r="F20" s="46" t="str">
        <f>VLOOKUP(D20,'Master Data'!A:F,4,FALSE)</f>
        <v>w</v>
      </c>
      <c r="G20" s="46" t="str">
        <f>VLOOKUP(D20,'Master Data'!A:F,5,FALSE)</f>
        <v>Normal</v>
      </c>
      <c r="H20" s="103">
        <v>90</v>
      </c>
      <c r="I20" s="49" t="s">
        <v>11754</v>
      </c>
      <c r="J20" s="49" t="s">
        <v>11760</v>
      </c>
      <c r="K20" s="49" t="s">
        <v>11760</v>
      </c>
      <c r="L20" s="49" t="s">
        <v>11760</v>
      </c>
      <c r="M20" s="49" t="s">
        <v>11760</v>
      </c>
      <c r="N20" s="49" t="s">
        <v>11760</v>
      </c>
      <c r="O20" s="49"/>
      <c r="P20" s="49" t="s">
        <v>11760</v>
      </c>
    </row>
    <row r="21" spans="1:16" ht="23.25" customHeight="1" x14ac:dyDescent="0.25">
      <c r="A21" s="46" t="str">
        <f>VLOOKUP(D21,'Master Data'!A:F,2,FALSE)</f>
        <v>Maria-José</v>
      </c>
      <c r="B21" s="46" t="str">
        <f>VLOOKUP(D21,'Master Data'!A:F,3,FALSE)</f>
        <v>Largo Vargas</v>
      </c>
      <c r="C21" s="47" t="str">
        <f>VLOOKUP(D21,'Master Data'!A:F,6,FALSE)</f>
        <v>mlargovargas@gmail.com</v>
      </c>
      <c r="D21" s="30" t="s">
        <v>10497</v>
      </c>
      <c r="E21" s="46"/>
      <c r="F21" s="46" t="str">
        <f>VLOOKUP(D21,'Master Data'!A:F,4,FALSE)</f>
        <v>w</v>
      </c>
      <c r="G21" s="46" t="str">
        <f>VLOOKUP(D21,'Master Data'!A:F,5,FALSE)</f>
        <v>Paar</v>
      </c>
      <c r="H21" s="106">
        <v>90</v>
      </c>
      <c r="I21" s="49" t="s">
        <v>11754</v>
      </c>
      <c r="J21" s="49" t="s">
        <v>11760</v>
      </c>
      <c r="K21" s="49" t="s">
        <v>11760</v>
      </c>
      <c r="L21" s="49" t="s">
        <v>11760</v>
      </c>
      <c r="M21" s="49" t="s">
        <v>11760</v>
      </c>
      <c r="N21" s="49" t="s">
        <v>11760</v>
      </c>
      <c r="O21" s="49"/>
      <c r="P21" s="49" t="s">
        <v>11760</v>
      </c>
    </row>
    <row r="22" spans="1:16" ht="23.25" customHeight="1" x14ac:dyDescent="0.25">
      <c r="A22" s="46" t="str">
        <f>VLOOKUP(D22,'Master Data'!A:F,2,FALSE)</f>
        <v>Barbara</v>
      </c>
      <c r="B22" s="46" t="str">
        <f>VLOOKUP(D22,'Master Data'!A:F,3,FALSE)</f>
        <v>Rudin</v>
      </c>
      <c r="C22" s="47">
        <f>VLOOKUP(D22,'Master Data'!A:F,6,FALSE)</f>
        <v>0</v>
      </c>
      <c r="D22" s="34" t="s">
        <v>12074</v>
      </c>
      <c r="E22" s="46"/>
      <c r="F22" s="46" t="str">
        <f>VLOOKUP(D22,'Master Data'!A:F,4,FALSE)</f>
        <v>w</v>
      </c>
      <c r="G22" s="46" t="str">
        <f>VLOOKUP(D22,'Master Data'!A:F,5,FALSE)</f>
        <v>Normal</v>
      </c>
      <c r="H22" s="106">
        <v>145</v>
      </c>
      <c r="I22" s="49" t="s">
        <v>11754</v>
      </c>
      <c r="J22" s="49" t="s">
        <v>11754</v>
      </c>
      <c r="K22" s="49" t="s">
        <v>11760</v>
      </c>
      <c r="L22" s="49" t="s">
        <v>11760</v>
      </c>
      <c r="M22" s="49" t="s">
        <v>11760</v>
      </c>
      <c r="N22" s="49" t="s">
        <v>11760</v>
      </c>
      <c r="O22" s="49"/>
      <c r="P22" s="49" t="s">
        <v>11760</v>
      </c>
    </row>
    <row r="23" spans="1:16" ht="23.25" customHeight="1" x14ac:dyDescent="0.25">
      <c r="A23" s="46" t="str">
        <f>VLOOKUP(D23,'Master Data'!A:F,2,FALSE)</f>
        <v>Noëlle</v>
      </c>
      <c r="B23" s="46" t="str">
        <f>VLOOKUP(D23,'Master Data'!A:F,3,FALSE)</f>
        <v>Burri</v>
      </c>
      <c r="C23" s="47" t="str">
        <f>VLOOKUP(D23,'Master Data'!A:F,6,FALSE)</f>
        <v>noelle.burri@gmail.com</v>
      </c>
      <c r="D23" s="30" t="s">
        <v>8754</v>
      </c>
      <c r="E23" s="46" t="s">
        <v>12093</v>
      </c>
      <c r="F23" s="46" t="str">
        <f>VLOOKUP(D23,'Master Data'!A:F,4,FALSE)</f>
        <v>w</v>
      </c>
      <c r="G23" s="46" t="str">
        <f>VLOOKUP(D23,'Master Data'!A:F,5,FALSE)</f>
        <v>Normal</v>
      </c>
      <c r="H23" s="106">
        <v>80</v>
      </c>
      <c r="I23" s="49" t="s">
        <v>11754</v>
      </c>
      <c r="J23" s="49" t="s">
        <v>11754</v>
      </c>
      <c r="K23" s="49" t="s">
        <v>11754</v>
      </c>
      <c r="L23" s="49" t="s">
        <v>11754</v>
      </c>
      <c r="M23" s="49" t="s">
        <v>11760</v>
      </c>
      <c r="N23" s="49" t="s">
        <v>11760</v>
      </c>
      <c r="O23" s="49"/>
      <c r="P23" s="49" t="s">
        <v>11760</v>
      </c>
    </row>
    <row r="24" spans="1:16" ht="23.25" customHeight="1" x14ac:dyDescent="0.25">
      <c r="A24" s="46" t="str">
        <f>VLOOKUP(D24,'Master Data'!A:F,2,FALSE)</f>
        <v>Marika</v>
      </c>
      <c r="B24" s="46" t="str">
        <f>VLOOKUP(D24,'Master Data'!A:F,3,FALSE)</f>
        <v>Kwidzinski</v>
      </c>
      <c r="C24" s="47" t="str">
        <f>VLOOKUP(D24,'Master Data'!A:F,6,FALSE)</f>
        <v>marika.kwidzinski@web.de</v>
      </c>
      <c r="D24" s="30" t="s">
        <v>9787</v>
      </c>
      <c r="E24" s="46"/>
      <c r="F24" s="46" t="str">
        <f>VLOOKUP(D24,'Master Data'!A:F,4,FALSE)</f>
        <v>w</v>
      </c>
      <c r="G24" s="46" t="str">
        <f>VLOOKUP(D24,'Master Data'!A:F,5,FALSE)</f>
        <v>Normal</v>
      </c>
      <c r="H24" s="103">
        <v>95</v>
      </c>
      <c r="I24" s="49" t="s">
        <v>11754</v>
      </c>
      <c r="J24" s="49" t="s">
        <v>11754</v>
      </c>
      <c r="K24" s="49" t="s">
        <v>11754</v>
      </c>
      <c r="L24" s="49" t="s">
        <v>11754</v>
      </c>
      <c r="M24" s="49" t="s">
        <v>11760</v>
      </c>
      <c r="N24" s="49" t="s">
        <v>11760</v>
      </c>
      <c r="O24" s="49"/>
      <c r="P24" s="49" t="s">
        <v>11760</v>
      </c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Data'!A:F,5,FALSE)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Data'!A:F,5,FALSE)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Data'!A:F,5,FALSE)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Data'!A:F,5,FALSE)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Data'!A:F,5,FALSE)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690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23" priority="1" operator="equal">
      <formula>0</formula>
    </cfRule>
    <cfRule type="expression" dxfId="22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GmbH Elisabethenanlage 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E2EFD9"/>
  </sheetPr>
  <dimension ref="A1:P32"/>
  <sheetViews>
    <sheetView view="pageLayout" topLeftCell="A3" zoomScaleNormal="100" workbookViewId="0">
      <selection activeCell="F9" sqref="F9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17" width="10.42578125" customWidth="1"/>
    <col min="18" max="26" width="7" customWidth="1"/>
  </cols>
  <sheetData>
    <row r="1" spans="1:16" ht="23.25" customHeight="1" x14ac:dyDescent="0.25">
      <c r="A1" s="36" t="s">
        <v>11639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10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11315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/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Vivien</v>
      </c>
      <c r="B7" s="46" t="str">
        <f>VLOOKUP(D7,'Master Data'!A:F,3,FALSE)</f>
        <v>Haas</v>
      </c>
      <c r="C7" s="47" t="str">
        <f>VLOOKUP(D7,'Master Data'!A:F,6,FALSE)</f>
        <v>vivien.haas@web.de</v>
      </c>
      <c r="D7" s="34" t="s">
        <v>10938</v>
      </c>
      <c r="E7" s="46"/>
      <c r="F7" s="46" t="str">
        <f>VLOOKUP(D7,'Master Data'!A:F,4,FALSE)</f>
        <v>w</v>
      </c>
      <c r="G7" s="46" t="str">
        <f>VLOOKUP(D7,'Master Data'!A:F,5,FALSE)</f>
        <v>Normal</v>
      </c>
      <c r="H7" s="106">
        <v>170</v>
      </c>
      <c r="I7" s="49" t="s">
        <v>11754</v>
      </c>
      <c r="J7" s="49" t="s">
        <v>11760</v>
      </c>
      <c r="K7" s="49" t="s">
        <v>11754</v>
      </c>
      <c r="L7" s="49" t="s">
        <v>11760</v>
      </c>
      <c r="M7" s="49" t="s">
        <v>11754</v>
      </c>
      <c r="N7" s="49" t="s">
        <v>11760</v>
      </c>
      <c r="O7" s="49" t="s">
        <v>11754</v>
      </c>
      <c r="P7" s="49" t="s">
        <v>11754</v>
      </c>
    </row>
    <row r="8" spans="1:16" ht="23.25" customHeight="1" x14ac:dyDescent="0.25">
      <c r="A8" s="46" t="str">
        <f>VLOOKUP(D8,'Master Data'!A:F,2,FALSE)</f>
        <v>Aline</v>
      </c>
      <c r="B8" s="46" t="str">
        <f>VLOOKUP(D8,'Master Data'!A:F,3,FALSE)</f>
        <v>Riedel</v>
      </c>
      <c r="C8" s="47" t="str">
        <f>VLOOKUP(D8,'Master Data'!A:F,6,FALSE)</f>
        <v>alineriedel17@gmail.com</v>
      </c>
      <c r="D8" s="30" t="s">
        <v>11170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3">
        <v>190</v>
      </c>
      <c r="I8" s="49" t="s">
        <v>11760</v>
      </c>
      <c r="J8" s="49" t="s">
        <v>11760</v>
      </c>
      <c r="K8" s="49" t="s">
        <v>11760</v>
      </c>
      <c r="L8" s="49" t="s">
        <v>11760</v>
      </c>
      <c r="M8" s="49" t="s">
        <v>11760</v>
      </c>
      <c r="N8" s="49" t="s">
        <v>11760</v>
      </c>
      <c r="O8" s="49"/>
      <c r="P8" s="49" t="s">
        <v>11760</v>
      </c>
    </row>
    <row r="9" spans="1:16" ht="23.25" customHeight="1" x14ac:dyDescent="0.25">
      <c r="A9" s="46" t="str">
        <f>VLOOKUP(D9,'Master Data'!A:F,2,FALSE)</f>
        <v>Ivan</v>
      </c>
      <c r="B9" s="46" t="str">
        <f>VLOOKUP(D9,'Master Data'!A:F,3,FALSE)</f>
        <v>Glushenkov</v>
      </c>
      <c r="C9" s="47" t="str">
        <f>VLOOKUP(D9,'Master Data'!A:F,6,FALSE)</f>
        <v>ivan.glushenkov.data@gmail.com</v>
      </c>
      <c r="D9" s="30" t="s">
        <v>11116</v>
      </c>
      <c r="E9" s="46" t="s">
        <v>11298</v>
      </c>
      <c r="F9" s="46" t="str">
        <f>VLOOKUP(D9,'Master Data'!A:F,4,FALSE)</f>
        <v>m</v>
      </c>
      <c r="G9" s="46" t="str">
        <f>VLOOKUP(D9,'Master Data'!A:F,5,FALSE)</f>
        <v>Normal</v>
      </c>
      <c r="H9" s="103"/>
      <c r="I9" s="49" t="s">
        <v>11760</v>
      </c>
      <c r="J9" s="49" t="s">
        <v>11760</v>
      </c>
      <c r="K9" s="49" t="s">
        <v>11760</v>
      </c>
      <c r="L9" s="49" t="s">
        <v>11760</v>
      </c>
      <c r="M9" s="49" t="s">
        <v>11760</v>
      </c>
      <c r="N9" s="49" t="s">
        <v>11760</v>
      </c>
      <c r="O9" s="49"/>
      <c r="P9" s="49" t="s">
        <v>11760</v>
      </c>
    </row>
    <row r="10" spans="1:16" ht="23.25" customHeight="1" x14ac:dyDescent="0.25">
      <c r="A10" s="46" t="str">
        <f>VLOOKUP(D10,'Master Data'!A:F,2,FALSE)</f>
        <v>Tim</v>
      </c>
      <c r="B10" s="46" t="str">
        <f>VLOOKUP(D10,'Master Data'!A:F,3,FALSE)</f>
        <v>Rohner</v>
      </c>
      <c r="C10" s="47" t="str">
        <f>VLOOKUP(D10,'Master Data'!A:F,6,FALSE)</f>
        <v>timroh92@gmail.com</v>
      </c>
      <c r="D10" s="19" t="s">
        <v>11181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6">
        <v>190</v>
      </c>
      <c r="I10" s="49" t="s">
        <v>11760</v>
      </c>
      <c r="J10" s="49" t="s">
        <v>11760</v>
      </c>
      <c r="K10" s="49" t="s">
        <v>11754</v>
      </c>
      <c r="L10" s="49" t="s">
        <v>11760</v>
      </c>
      <c r="M10" s="49" t="s">
        <v>11760</v>
      </c>
      <c r="N10" s="49" t="s">
        <v>11760</v>
      </c>
      <c r="O10" s="49"/>
      <c r="P10" s="49" t="s">
        <v>11760</v>
      </c>
    </row>
    <row r="11" spans="1:16" ht="23.25" customHeight="1" x14ac:dyDescent="0.25">
      <c r="A11" s="46" t="str">
        <f>VLOOKUP(D11,'Master Data'!A:F,2,FALSE)</f>
        <v>David</v>
      </c>
      <c r="B11" s="46" t="str">
        <f>VLOOKUP(D11,'Master Data'!A:F,3,FALSE)</f>
        <v>Dieterle</v>
      </c>
      <c r="C11" s="47" t="str">
        <f>VLOOKUP(D11,'Master Data'!A:F,6,FALSE)</f>
        <v>ddmoya@outlook.com</v>
      </c>
      <c r="D11" s="19" t="s">
        <v>11016</v>
      </c>
      <c r="E11" s="46"/>
      <c r="F11" s="46" t="str">
        <f>VLOOKUP(D11,'Master Data'!A:F,4,FALSE)</f>
        <v>m</v>
      </c>
      <c r="G11" s="46" t="str">
        <f>VLOOKUP(D11,'Master Data'!A:F,5,FALSE)</f>
        <v>Normal</v>
      </c>
      <c r="H11" s="106">
        <v>160</v>
      </c>
      <c r="I11" s="49" t="s">
        <v>11760</v>
      </c>
      <c r="J11" s="49" t="s">
        <v>11760</v>
      </c>
      <c r="K11" s="49" t="s">
        <v>11760</v>
      </c>
      <c r="L11" s="49" t="s">
        <v>11760</v>
      </c>
      <c r="M11" s="49" t="s">
        <v>11754</v>
      </c>
      <c r="N11" s="49" t="s">
        <v>11754</v>
      </c>
      <c r="O11" s="49"/>
      <c r="P11" s="49" t="s">
        <v>11760</v>
      </c>
    </row>
    <row r="12" spans="1:16" ht="23.25" customHeight="1" x14ac:dyDescent="0.25">
      <c r="A12" s="46" t="str">
        <f>VLOOKUP(D12,'Master Data'!A:F,2,FALSE)</f>
        <v>Steffi</v>
      </c>
      <c r="B12" s="46" t="str">
        <f>VLOOKUP(D12,'Master Data'!A:F,3,FALSE)</f>
        <v>Mediavilla</v>
      </c>
      <c r="C12" s="47" t="str">
        <f>VLOOKUP(D12,'Master Data'!A:F,6,FALSE)</f>
        <v>steffi93_m@hotmail.com</v>
      </c>
      <c r="D12" s="30" t="s">
        <v>11020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6">
        <v>160</v>
      </c>
      <c r="I12" s="49" t="s">
        <v>11760</v>
      </c>
      <c r="J12" s="49" t="s">
        <v>11760</v>
      </c>
      <c r="K12" s="49" t="s">
        <v>11760</v>
      </c>
      <c r="L12" s="49" t="s">
        <v>11760</v>
      </c>
      <c r="M12" s="49" t="s">
        <v>11754</v>
      </c>
      <c r="N12" s="49" t="s">
        <v>11754</v>
      </c>
      <c r="O12" s="49"/>
      <c r="P12" s="49" t="s">
        <v>11760</v>
      </c>
    </row>
    <row r="13" spans="1:16" ht="23.25" customHeight="1" x14ac:dyDescent="0.25">
      <c r="A13" s="46" t="str">
        <f>VLOOKUP(D13,'Master Data'!A:F,2,FALSE)</f>
        <v>Benedikt</v>
      </c>
      <c r="B13" s="46" t="str">
        <f>VLOOKUP(D13,'Master Data'!A:F,3,FALSE)</f>
        <v>Luckner</v>
      </c>
      <c r="C13" s="47" t="str">
        <f>VLOOKUP(D13,'Master Data'!A:F,6,FALSE)</f>
        <v>b.luckner@outlook.com</v>
      </c>
      <c r="D13" s="30" t="s">
        <v>11404</v>
      </c>
      <c r="E13" s="46" t="s">
        <v>12094</v>
      </c>
      <c r="F13" s="46" t="str">
        <f>VLOOKUP(D13,'Master Data'!A:F,4,FALSE)</f>
        <v>m</v>
      </c>
      <c r="G13" s="46" t="str">
        <f>VLOOKUP(D13,'Master Data'!A:F,5,FALSE)</f>
        <v>Normal</v>
      </c>
      <c r="H13" s="106">
        <v>95</v>
      </c>
      <c r="I13" s="49" t="s">
        <v>11754</v>
      </c>
      <c r="J13" s="49" t="s">
        <v>11754</v>
      </c>
      <c r="K13" s="49" t="s">
        <v>11754</v>
      </c>
      <c r="L13" s="49" t="s">
        <v>11754</v>
      </c>
      <c r="M13" s="49" t="s">
        <v>11760</v>
      </c>
      <c r="N13" s="49" t="s">
        <v>11760</v>
      </c>
      <c r="O13" s="49"/>
      <c r="P13" s="49" t="s">
        <v>11760</v>
      </c>
    </row>
    <row r="14" spans="1:16" ht="23.25" customHeight="1" x14ac:dyDescent="0.25">
      <c r="A14" s="46" t="str">
        <f>VLOOKUP(D14,'Master Data'!A:F,2,FALSE)</f>
        <v>Marija</v>
      </c>
      <c r="B14" s="46" t="str">
        <f>VLOOKUP(D14,'Master Data'!A:F,3,FALSE)</f>
        <v>Milenkovic</v>
      </c>
      <c r="C14" s="47" t="str">
        <f>VLOOKUP(D14,'Master Data'!A:F,6,FALSE)</f>
        <v>marijamilenkovic7@hotmail.com</v>
      </c>
      <c r="D14" s="30" t="s">
        <v>11490</v>
      </c>
      <c r="E14" s="46" t="s">
        <v>11298</v>
      </c>
      <c r="F14" s="46" t="str">
        <f>VLOOKUP(D14,'Master Data'!A:F,4,FALSE)</f>
        <v>w</v>
      </c>
      <c r="G14" s="46" t="str">
        <f>VLOOKUP(D14,'Master Data'!A:F,5,FALSE)</f>
        <v>Normal</v>
      </c>
      <c r="H14" s="103"/>
      <c r="I14" s="49" t="s">
        <v>11760</v>
      </c>
      <c r="J14" s="49" t="s">
        <v>11760</v>
      </c>
      <c r="K14" s="49" t="s">
        <v>11760</v>
      </c>
      <c r="L14" s="49" t="s">
        <v>11760</v>
      </c>
      <c r="M14" s="49" t="s">
        <v>11760</v>
      </c>
      <c r="N14" s="49" t="s">
        <v>11760</v>
      </c>
      <c r="O14" s="49" t="s">
        <v>11754</v>
      </c>
      <c r="P14" s="49" t="s">
        <v>11760</v>
      </c>
    </row>
    <row r="15" spans="1:16" ht="23.25" customHeight="1" x14ac:dyDescent="0.25">
      <c r="A15" s="46" t="str">
        <f>VLOOKUP(D15,'Master Data'!A:F,2,FALSE)</f>
        <v>Lena</v>
      </c>
      <c r="B15" s="46" t="str">
        <f>VLOOKUP(D15,'Master Data'!A:F,3,FALSE)</f>
        <v>Bremer</v>
      </c>
      <c r="C15" s="47" t="str">
        <f>VLOOKUP(D15,'Master Data'!A:F,6,FALSE)</f>
        <v>lena_bremer96@web.de</v>
      </c>
      <c r="D15" s="30" t="s">
        <v>8409</v>
      </c>
      <c r="E15" s="46"/>
      <c r="F15" s="46" t="str">
        <f>VLOOKUP(D15,'Master Data'!A:F,4,FALSE)</f>
        <v>w</v>
      </c>
      <c r="G15" s="46" t="str">
        <f>VLOOKUP(D15,'Master Data'!A:F,5,FALSE)</f>
        <v>Pushflow</v>
      </c>
      <c r="H15" s="103"/>
      <c r="I15" s="49" t="s">
        <v>11760</v>
      </c>
      <c r="J15" s="49" t="s">
        <v>11760</v>
      </c>
      <c r="K15" s="49" t="s">
        <v>11760</v>
      </c>
      <c r="L15" s="49" t="s">
        <v>11760</v>
      </c>
      <c r="M15" s="49" t="s">
        <v>11754</v>
      </c>
      <c r="N15" s="49" t="s">
        <v>11760</v>
      </c>
      <c r="O15" s="49"/>
      <c r="P15" s="49" t="s">
        <v>11760</v>
      </c>
    </row>
    <row r="16" spans="1:16" ht="23.25" customHeight="1" x14ac:dyDescent="0.25">
      <c r="A16" s="46" t="str">
        <f>VLOOKUP(D16,'Master Data'!A:F,2,FALSE)</f>
        <v>Ali</v>
      </c>
      <c r="B16" s="46" t="str">
        <f>VLOOKUP(D16,'Master Data'!A:F,3,FALSE)</f>
        <v>Üstündag</v>
      </c>
      <c r="C16" s="47" t="str">
        <f>VLOOKUP(D16,'Master Data'!A:F,6,FALSE)</f>
        <v>ali.uestuendag@gmail.com</v>
      </c>
      <c r="D16" s="19" t="s">
        <v>8514</v>
      </c>
      <c r="E16" s="46"/>
      <c r="F16" s="46" t="str">
        <f>VLOOKUP(D16,'Master Data'!A:F,4,FALSE)</f>
        <v>m</v>
      </c>
      <c r="G16" s="46" t="str">
        <f>VLOOKUP(D16,'Master Data'!A:F,5,FALSE)</f>
        <v>Pushflow</v>
      </c>
      <c r="H16" s="103"/>
      <c r="I16" s="49" t="s">
        <v>11760</v>
      </c>
      <c r="J16" s="49" t="s">
        <v>11760</v>
      </c>
      <c r="K16" s="49" t="s">
        <v>11760</v>
      </c>
      <c r="L16" s="49" t="s">
        <v>11760</v>
      </c>
      <c r="M16" s="49" t="s">
        <v>11760</v>
      </c>
      <c r="N16" s="49" t="s">
        <v>11760</v>
      </c>
      <c r="O16" s="49"/>
      <c r="P16" s="49" t="s">
        <v>11760</v>
      </c>
    </row>
    <row r="17" spans="1:16" ht="23.25" customHeight="1" x14ac:dyDescent="0.25">
      <c r="A17" s="46" t="str">
        <f>VLOOKUP(D17,'Master Data'!A:F,2,FALSE)</f>
        <v xml:space="preserve">Rabea </v>
      </c>
      <c r="B17" s="46" t="str">
        <f>VLOOKUP(D17,'Master Data'!A:F,3,FALSE)</f>
        <v>Widmer</v>
      </c>
      <c r="C17" s="47" t="str">
        <f>VLOOKUP(D17,'Master Data'!A:F,6,FALSE)</f>
        <v>widmerrabea@gmail.com</v>
      </c>
      <c r="D17" s="30" t="s">
        <v>6531</v>
      </c>
      <c r="E17" s="46"/>
      <c r="F17" s="46" t="str">
        <f>VLOOKUP(D17,'Master Data'!A:F,4,FALSE)</f>
        <v>w</v>
      </c>
      <c r="G17" s="46" t="str">
        <f>VLOOKUP(D17,'Master Data'!A:F,5,FALSE)</f>
        <v>Pushflow</v>
      </c>
      <c r="H17" s="103"/>
      <c r="I17" s="49" t="s">
        <v>11754</v>
      </c>
      <c r="J17" s="49" t="s">
        <v>11760</v>
      </c>
      <c r="K17" s="49" t="s">
        <v>11760</v>
      </c>
      <c r="L17" s="49" t="s">
        <v>11760</v>
      </c>
      <c r="M17" s="49" t="s">
        <v>11754</v>
      </c>
      <c r="N17" s="49" t="s">
        <v>11754</v>
      </c>
      <c r="O17" s="49" t="s">
        <v>11754</v>
      </c>
      <c r="P17" s="49" t="s">
        <v>11754</v>
      </c>
    </row>
    <row r="18" spans="1:16" ht="23.25" customHeight="1" x14ac:dyDescent="0.25">
      <c r="A18" s="46" t="str">
        <f>VLOOKUP(D18,'Master Data'!A:F,2,FALSE)</f>
        <v>Maria</v>
      </c>
      <c r="B18" s="46" t="str">
        <f>VLOOKUP(D18,'Master Data'!A:F,3,FALSE)</f>
        <v>Maurer</v>
      </c>
      <c r="C18" s="47">
        <f>VLOOKUP(D18,'Master Data'!A:F,6,FALSE)</f>
        <v>0</v>
      </c>
      <c r="D18" s="7" t="s">
        <v>11574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3">
        <v>145</v>
      </c>
      <c r="I18" s="49" t="s">
        <v>11754</v>
      </c>
      <c r="J18" s="49" t="s">
        <v>11754</v>
      </c>
      <c r="K18" s="49" t="s">
        <v>11760</v>
      </c>
      <c r="L18" s="49" t="s">
        <v>11754</v>
      </c>
      <c r="M18" s="49" t="s">
        <v>11760</v>
      </c>
      <c r="N18" s="49" t="s">
        <v>11760</v>
      </c>
      <c r="O18" s="49"/>
      <c r="P18" s="49" t="s">
        <v>11760</v>
      </c>
    </row>
    <row r="19" spans="1:16" ht="23.25" customHeight="1" x14ac:dyDescent="0.25">
      <c r="A19" s="46" t="str">
        <f>VLOOKUP(D19,'Master Data'!A:F,2,FALSE)</f>
        <v>Ben</v>
      </c>
      <c r="B19" s="46" t="str">
        <f>VLOOKUP(D19,'Master Data'!A:F,3,FALSE)</f>
        <v>Böke</v>
      </c>
      <c r="C19" s="47" t="str">
        <f>VLOOKUP(D19,'Master Data'!A:F,6,FALSE)</f>
        <v>ben25boeke@gmail.com</v>
      </c>
      <c r="D19" s="98" t="s">
        <v>11951</v>
      </c>
      <c r="E19" s="46" t="s">
        <v>11298</v>
      </c>
      <c r="F19" s="46" t="str">
        <f>VLOOKUP(D19,'Master Data'!A:F,4,FALSE)</f>
        <v>m</v>
      </c>
      <c r="G19" s="46" t="str">
        <f>VLOOKUP(D19,'Master Data'!A:F,5,FALSE)</f>
        <v>Normal</v>
      </c>
      <c r="H19" s="103"/>
      <c r="I19" s="49" t="s">
        <v>11760</v>
      </c>
      <c r="J19" s="49" t="s">
        <v>11760</v>
      </c>
      <c r="K19" s="49" t="s">
        <v>11760</v>
      </c>
      <c r="L19" s="49" t="s">
        <v>11760</v>
      </c>
      <c r="M19" s="49" t="s">
        <v>11760</v>
      </c>
      <c r="N19" s="49" t="s">
        <v>11760</v>
      </c>
      <c r="O19" s="49"/>
      <c r="P19" s="49" t="s">
        <v>11760</v>
      </c>
    </row>
    <row r="20" spans="1:16" ht="23.25" customHeight="1" x14ac:dyDescent="0.25">
      <c r="A20" s="46" t="str">
        <f>VLOOKUP(D20,'Master Data'!A:F,2,FALSE)</f>
        <v>Damaris</v>
      </c>
      <c r="B20" s="46" t="str">
        <f>VLOOKUP(D20,'Master Data'!A:F,3,FALSE)</f>
        <v>Breitenfeld</v>
      </c>
      <c r="C20" s="47" t="str">
        <f>VLOOKUP(D20,'Master Data'!A:F,6,FALSE)</f>
        <v>damaris_b@gmx.ch</v>
      </c>
      <c r="D20" s="30" t="s">
        <v>11106</v>
      </c>
      <c r="E20" s="46"/>
      <c r="F20" s="46" t="str">
        <f>VLOOKUP(D20,'Master Data'!A:F,4,FALSE)</f>
        <v>w</v>
      </c>
      <c r="G20" s="46" t="str">
        <f>VLOOKUP(D20,'Master Data'!A:F,5,FALSE)</f>
        <v>Normal</v>
      </c>
      <c r="H20" s="106">
        <v>190</v>
      </c>
      <c r="I20" s="49" t="s">
        <v>11754</v>
      </c>
      <c r="J20" s="49" t="s">
        <v>11760</v>
      </c>
      <c r="K20" s="49" t="s">
        <v>11760</v>
      </c>
      <c r="L20" s="49" t="s">
        <v>11754</v>
      </c>
      <c r="M20" s="49" t="s">
        <v>11754</v>
      </c>
      <c r="N20" s="49" t="s">
        <v>11754</v>
      </c>
      <c r="O20" s="49" t="s">
        <v>11754</v>
      </c>
      <c r="P20" s="49" t="s">
        <v>11754</v>
      </c>
    </row>
    <row r="21" spans="1:16" ht="23.25" customHeight="1" x14ac:dyDescent="0.25">
      <c r="A21" s="46" t="str">
        <f>VLOOKUP(D21,'Master Data'!A:F,2,FALSE)</f>
        <v>Jo</v>
      </c>
      <c r="B21" s="46" t="str">
        <f>VLOOKUP(D21,'Master Data'!A:F,3,FALSE)</f>
        <v>Storrar</v>
      </c>
      <c r="C21" s="47" t="str">
        <f>VLOOKUP(D21,'Master Data'!A:F,6,FALSE)</f>
        <v>joanne_storrar@hotmail.com</v>
      </c>
      <c r="D21" s="30" t="s">
        <v>6679</v>
      </c>
      <c r="E21" s="46"/>
      <c r="F21" s="46" t="str">
        <f>VLOOKUP(D21,'Master Data'!A:F,4,FALSE)</f>
        <v>w</v>
      </c>
      <c r="G21" s="46" t="str">
        <f>VLOOKUP(D21,'Master Data'!A:F,5,FALSE)</f>
        <v>Pushflow</v>
      </c>
      <c r="H21" s="103"/>
      <c r="I21" s="49" t="s">
        <v>11754</v>
      </c>
      <c r="J21" s="49" t="s">
        <v>11760</v>
      </c>
      <c r="K21" s="49" t="s">
        <v>11760</v>
      </c>
      <c r="L21" s="49" t="s">
        <v>11760</v>
      </c>
      <c r="M21" s="49" t="s">
        <v>11754</v>
      </c>
      <c r="N21" s="49" t="s">
        <v>11760</v>
      </c>
      <c r="O21" s="49"/>
      <c r="P21" s="49" t="s">
        <v>11760</v>
      </c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98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98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/>
      <c r="B32" s="31"/>
      <c r="C32" s="50"/>
      <c r="D32" s="31"/>
      <c r="E32" s="31"/>
      <c r="F32" s="31"/>
      <c r="G32" s="51" t="s">
        <v>11290</v>
      </c>
      <c r="H32" s="51">
        <f>SUM(H7:H31)</f>
        <v>1300</v>
      </c>
      <c r="I32" s="31"/>
      <c r="J32" s="31"/>
      <c r="K32" s="31"/>
      <c r="L32" s="31"/>
      <c r="M32" s="31"/>
      <c r="N32" s="31"/>
      <c r="O32" s="31"/>
      <c r="P32" s="31"/>
    </row>
  </sheetData>
  <mergeCells count="1">
    <mergeCell ref="I6:P6"/>
  </mergeCells>
  <conditionalFormatting sqref="F7:G31 A7:C32">
    <cfRule type="cellIs" dxfId="21" priority="1" operator="equal">
      <formula>0</formula>
    </cfRule>
    <cfRule type="expression" dxfId="20" priority="2">
      <formula>ISERROR(A7)</formula>
    </cfRule>
  </conditionalFormatting>
  <pageMargins left="0.41666666666666669" right="0.41666666666666669" top="0.78740157499999996" bottom="0.78740157499999996" header="0" footer="0"/>
  <pageSetup paperSize="9" scale="77" orientation="landscape" r:id="rId1"/>
  <headerFooter>
    <oddFooter>&amp;LSalsaflow Dance Company KLG Aeschenvorstadt 67, 4051 Basel&amp;CSebastian - Tel. 076 218 21 98 Fabio - Tel. 076 478 84 11&amp;Rinfo@salsaflow-dc.com www.salsaflow-dc.com</oddFooter>
  </headerFooter>
  <rowBreaks count="1" manualBreakCount="1">
    <brk id="31" man="1"/>
  </rowBreaks>
  <colBreaks count="1" manualBreakCount="1">
    <brk id="16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E2EFD9"/>
  </sheetPr>
  <dimension ref="A1:P1004"/>
  <sheetViews>
    <sheetView workbookViewId="0">
      <selection activeCell="H11" sqref="H11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11396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102" t="s">
        <v>11653</v>
      </c>
      <c r="C3" s="8"/>
      <c r="D3" s="41" t="s">
        <v>11276</v>
      </c>
      <c r="E3" s="8" t="s">
        <v>11310</v>
      </c>
      <c r="F3" s="8"/>
      <c r="G3" s="41" t="s">
        <v>11278</v>
      </c>
      <c r="H3" s="8" t="s">
        <v>737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11295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/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e">
        <f>VLOOKUP(D7,'Master Data'!A:F,2,FALSE)</f>
        <v>#N/A</v>
      </c>
      <c r="B7" s="46" t="e">
        <f>VLOOKUP(D7,'Master Data'!A:F,3,FALSE)</f>
        <v>#N/A</v>
      </c>
      <c r="C7" s="47" t="e">
        <f>VLOOKUP(D7,'Master Data'!A:F,6,FALSE)</f>
        <v>#N/A</v>
      </c>
      <c r="D7" s="19"/>
      <c r="E7" s="46"/>
      <c r="F7" s="46" t="e">
        <f>VLOOKUP(D7,'Master Data'!A:F,4,FALSE)</f>
        <v>#N/A</v>
      </c>
      <c r="G7" s="46" t="e">
        <f>VLOOKUP(D7,'Master Data'!A:F,5,FALSE)</f>
        <v>#N/A</v>
      </c>
      <c r="H7" s="48"/>
      <c r="I7" s="49"/>
      <c r="J7" s="49"/>
      <c r="K7" s="49"/>
      <c r="L7" s="49"/>
      <c r="M7" s="49"/>
      <c r="N7" s="49"/>
      <c r="O7" s="49"/>
      <c r="P7" s="49"/>
    </row>
    <row r="8" spans="1:16" ht="23.25" customHeight="1" x14ac:dyDescent="0.25">
      <c r="A8" s="46" t="e">
        <f>VLOOKUP(D8,'Master Data'!A:F,2,FALSE)</f>
        <v>#N/A</v>
      </c>
      <c r="B8" s="46" t="e">
        <f>VLOOKUP(D8,'Master Data'!A:F,3,FALSE)</f>
        <v>#N/A</v>
      </c>
      <c r="C8" s="47" t="e">
        <f>VLOOKUP(D8,'Master Data'!A:F,6,FALSE)</f>
        <v>#N/A</v>
      </c>
      <c r="D8" s="30"/>
      <c r="E8" s="46"/>
      <c r="F8" s="46" t="e">
        <f>VLOOKUP(D8,'Master Data'!A:F,4,FALSE)</f>
        <v>#N/A</v>
      </c>
      <c r="G8" s="46" t="e">
        <f>VLOOKUP(D8,'Master Data'!A:F,5,FALSE)</f>
        <v>#N/A</v>
      </c>
      <c r="H8" s="48"/>
      <c r="I8" s="49"/>
      <c r="J8" s="49"/>
      <c r="K8" s="49"/>
      <c r="L8" s="49"/>
      <c r="M8" s="49"/>
      <c r="N8" s="49"/>
      <c r="O8" s="49"/>
      <c r="P8" s="49"/>
    </row>
    <row r="9" spans="1:16" ht="23.25" customHeight="1" x14ac:dyDescent="0.25">
      <c r="A9" s="46" t="e">
        <f>VLOOKUP(D9,'Master Data'!A:F,2,FALSE)</f>
        <v>#N/A</v>
      </c>
      <c r="B9" s="46" t="e">
        <f>VLOOKUP(D9,'Master Data'!A:F,3,FALSE)</f>
        <v>#N/A</v>
      </c>
      <c r="C9" s="47" t="e">
        <f>VLOOKUP(D9,'Master Data'!A:F,6,FALSE)</f>
        <v>#N/A</v>
      </c>
      <c r="D9" s="34"/>
      <c r="E9" s="46"/>
      <c r="F9" s="46" t="e">
        <f>VLOOKUP(D9,'Master Data'!A:F,4,FALSE)</f>
        <v>#N/A</v>
      </c>
      <c r="G9" s="46" t="e">
        <f>VLOOKUP(D9,'Master Data'!A:F,5,FALSE)</f>
        <v>#N/A</v>
      </c>
      <c r="H9" s="48"/>
      <c r="I9" s="49"/>
      <c r="J9" s="49"/>
      <c r="K9" s="49"/>
      <c r="L9" s="49"/>
      <c r="M9" s="49"/>
      <c r="N9" s="49"/>
      <c r="O9" s="49"/>
      <c r="P9" s="49"/>
    </row>
    <row r="10" spans="1:16" ht="23.25" customHeight="1" x14ac:dyDescent="0.25">
      <c r="A10" s="46" t="e">
        <f>VLOOKUP(D10,'Master Data'!A:F,2,FALSE)</f>
        <v>#N/A</v>
      </c>
      <c r="B10" s="46" t="e">
        <f>VLOOKUP(D10,'Master Data'!A:F,3,FALSE)</f>
        <v>#N/A</v>
      </c>
      <c r="C10" s="47" t="e">
        <f>VLOOKUP(D10,'Master Data'!A:F,6,FALSE)</f>
        <v>#N/A</v>
      </c>
      <c r="D10" s="30"/>
      <c r="E10" s="46"/>
      <c r="F10" s="46" t="e">
        <f>VLOOKUP(D10,'Master Data'!A:F,4,FALSE)</f>
        <v>#N/A</v>
      </c>
      <c r="G10" s="46" t="e">
        <f>VLOOKUP(D10,'Master Data'!A:F,5,FALSE)</f>
        <v>#N/A</v>
      </c>
      <c r="H10" s="48"/>
      <c r="I10" s="49"/>
      <c r="J10" s="49"/>
      <c r="K10" s="49"/>
      <c r="L10" s="49"/>
      <c r="M10" s="49"/>
      <c r="N10" s="49"/>
      <c r="O10" s="49"/>
      <c r="P10" s="49"/>
    </row>
    <row r="11" spans="1:16" ht="23.25" customHeight="1" x14ac:dyDescent="0.25">
      <c r="A11" s="46" t="e">
        <f>VLOOKUP(D11,'Master Data'!A:F,2,FALSE)</f>
        <v>#N/A</v>
      </c>
      <c r="B11" s="46" t="e">
        <f>VLOOKUP(D11,'Master Data'!A:F,3,FALSE)</f>
        <v>#N/A</v>
      </c>
      <c r="C11" s="47" t="e">
        <f>VLOOKUP(D11,'Master Data'!A:F,6,FALSE)</f>
        <v>#N/A</v>
      </c>
      <c r="D11" s="30"/>
      <c r="E11" s="46"/>
      <c r="F11" s="46" t="e">
        <f>VLOOKUP(D11,'Master Data'!A:F,4,FALSE)</f>
        <v>#N/A</v>
      </c>
      <c r="G11" s="46" t="e">
        <f>VLOOKUP(D11,'Master Data'!A:F,5,FALSE)</f>
        <v>#N/A</v>
      </c>
      <c r="H11" s="48"/>
      <c r="I11" s="49"/>
      <c r="J11" s="49"/>
      <c r="K11" s="49"/>
      <c r="L11" s="49"/>
      <c r="M11" s="49"/>
      <c r="N11" s="49"/>
      <c r="O11" s="49"/>
      <c r="P11" s="49"/>
    </row>
    <row r="12" spans="1:16" ht="23.25" customHeight="1" x14ac:dyDescent="0.25">
      <c r="A12" s="46" t="e">
        <f>VLOOKUP(D12,'Master Data'!A:F,2,FALSE)</f>
        <v>#N/A</v>
      </c>
      <c r="B12" s="46" t="e">
        <f>VLOOKUP(D12,'Master Data'!A:F,3,FALSE)</f>
        <v>#N/A</v>
      </c>
      <c r="C12" s="47" t="e">
        <f>VLOOKUP(D12,'Master Data'!A:F,6,FALSE)</f>
        <v>#N/A</v>
      </c>
      <c r="D12" s="30"/>
      <c r="E12" s="46"/>
      <c r="F12" s="46" t="e">
        <f>VLOOKUP(D12,'Master Data'!A:F,4,FALSE)</f>
        <v>#N/A</v>
      </c>
      <c r="G12" s="46" t="e">
        <f>VLOOKUP(D12,'Master Data'!A:F,5,FALSE)</f>
        <v>#N/A</v>
      </c>
      <c r="H12" s="48"/>
      <c r="I12" s="49"/>
      <c r="J12" s="49"/>
      <c r="K12" s="49"/>
      <c r="L12" s="49"/>
      <c r="M12" s="49"/>
      <c r="N12" s="49"/>
      <c r="O12" s="49"/>
      <c r="P12" s="49"/>
    </row>
    <row r="13" spans="1:16" ht="23.25" customHeight="1" x14ac:dyDescent="0.25">
      <c r="A13" s="46" t="e">
        <f>VLOOKUP(D13,'Master Data'!A:F,2,FALSE)</f>
        <v>#N/A</v>
      </c>
      <c r="B13" s="46" t="e">
        <f>VLOOKUP(D13,'Master Data'!A:F,3,FALSE)</f>
        <v>#N/A</v>
      </c>
      <c r="C13" s="47" t="e">
        <f>VLOOKUP(D13,'Master Data'!A:F,6,FALSE)</f>
        <v>#N/A</v>
      </c>
      <c r="D13" s="30"/>
      <c r="E13" s="46"/>
      <c r="F13" s="46" t="e">
        <f>VLOOKUP(D13,'Master Data'!A:F,4,FALSE)</f>
        <v>#N/A</v>
      </c>
      <c r="G13" s="46" t="e">
        <f>VLOOKUP(D13,'Master Data'!A:F,5,FALSE)</f>
        <v>#N/A</v>
      </c>
      <c r="H13" s="48"/>
      <c r="I13" s="49"/>
      <c r="J13" s="49"/>
      <c r="K13" s="49"/>
      <c r="L13" s="49"/>
      <c r="M13" s="49"/>
      <c r="N13" s="49"/>
      <c r="O13" s="49"/>
      <c r="P13" s="49"/>
    </row>
    <row r="14" spans="1:16" ht="23.25" customHeight="1" x14ac:dyDescent="0.25">
      <c r="A14" s="46" t="e">
        <f>VLOOKUP(D14,'Master Data'!A:F,2,FALSE)</f>
        <v>#N/A</v>
      </c>
      <c r="B14" s="46" t="e">
        <f>VLOOKUP(D14,'Master Data'!A:F,3,FALSE)</f>
        <v>#N/A</v>
      </c>
      <c r="C14" s="47" t="e">
        <f>VLOOKUP(D14,'Master Data'!A:F,6,FALSE)</f>
        <v>#N/A</v>
      </c>
      <c r="D14" s="34"/>
      <c r="E14" s="46"/>
      <c r="F14" s="46" t="e">
        <f>VLOOKUP(D14,'Master Data'!A:F,4,FALSE)</f>
        <v>#N/A</v>
      </c>
      <c r="G14" s="46" t="e">
        <f>VLOOKUP(D14,'Master Data'!A:F,5,FALSE)</f>
        <v>#N/A</v>
      </c>
      <c r="H14" s="48"/>
      <c r="I14" s="49"/>
      <c r="J14" s="49"/>
      <c r="K14" s="49"/>
      <c r="L14" s="49"/>
      <c r="M14" s="49"/>
      <c r="N14" s="49"/>
      <c r="O14" s="49"/>
      <c r="P14" s="49"/>
    </row>
    <row r="15" spans="1:16" ht="23.25" customHeight="1" x14ac:dyDescent="0.25">
      <c r="A15" s="46" t="e">
        <f>VLOOKUP(D15,'Master Data'!A:F,2,FALSE)</f>
        <v>#N/A</v>
      </c>
      <c r="B15" s="46" t="e">
        <f>VLOOKUP(D15,'Master Data'!A:F,3,FALSE)</f>
        <v>#N/A</v>
      </c>
      <c r="C15" s="47" t="e">
        <f>VLOOKUP(D15,'Master Data'!A:F,6,FALSE)</f>
        <v>#N/A</v>
      </c>
      <c r="D15" s="7"/>
      <c r="E15" s="46"/>
      <c r="F15" s="46" t="e">
        <f>VLOOKUP(D15,'Master Data'!A:F,4,FALSE)</f>
        <v>#N/A</v>
      </c>
      <c r="G15" s="46" t="e">
        <f>VLOOKUP(D15,'Master Data'!A:F,5,FALSE)</f>
        <v>#N/A</v>
      </c>
      <c r="H15" s="48"/>
      <c r="I15" s="49"/>
      <c r="J15" s="49"/>
      <c r="K15" s="49"/>
      <c r="L15" s="49"/>
      <c r="M15" s="49"/>
      <c r="N15" s="49"/>
      <c r="O15" s="49"/>
      <c r="P15" s="49"/>
    </row>
    <row r="16" spans="1:16" ht="23.25" customHeight="1" x14ac:dyDescent="0.25">
      <c r="A16" s="46" t="e">
        <f>VLOOKUP(D16,'Master Data'!A:F,2,FALSE)</f>
        <v>#N/A</v>
      </c>
      <c r="B16" s="46" t="e">
        <f>VLOOKUP(D16,'Master Data'!A:F,3,FALSE)</f>
        <v>#N/A</v>
      </c>
      <c r="C16" s="47" t="e">
        <f>VLOOKUP(D16,'Master Data'!A:F,6,FALSE)</f>
        <v>#N/A</v>
      </c>
      <c r="D16" s="34"/>
      <c r="E16" s="46"/>
      <c r="F16" s="46" t="e">
        <f>VLOOKUP(D16,'Master Data'!A:F,4,FALSE)</f>
        <v>#N/A</v>
      </c>
      <c r="G16" s="46" t="e">
        <f>VLOOKUP(D16,'Master Data'!A:F,5,FALSE)</f>
        <v>#N/A</v>
      </c>
      <c r="H16" s="48"/>
      <c r="I16" s="49"/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e">
        <f>VLOOKUP(D17,'Master Data'!A:F,2,FALSE)</f>
        <v>#N/A</v>
      </c>
      <c r="B17" s="46" t="e">
        <f>VLOOKUP(D17,'Master Data'!A:F,3,FALSE)</f>
        <v>#N/A</v>
      </c>
      <c r="C17" s="47" t="e">
        <f>VLOOKUP(D17,'Master Data'!A:F,6,FALSE)</f>
        <v>#N/A</v>
      </c>
      <c r="D17" s="30"/>
      <c r="E17" s="46"/>
      <c r="F17" s="46" t="e">
        <f>VLOOKUP(D17,'Master Data'!A:F,4,FALSE)</f>
        <v>#N/A</v>
      </c>
      <c r="G17" s="46" t="e">
        <f>VLOOKUP(D17,'Master Data'!A:F,5,FALSE)</f>
        <v>#N/A</v>
      </c>
      <c r="H17" s="48"/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19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19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53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Data'!A:F,5,FALSE)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I6:P6"/>
  </mergeCells>
  <conditionalFormatting sqref="F7:G31 A7:C32">
    <cfRule type="cellIs" dxfId="19" priority="1" operator="equal">
      <formula>0</formula>
    </cfRule>
    <cfRule type="expression" dxfId="18" priority="2">
      <formula>ISERROR(A7)</formula>
    </cfRule>
  </conditionalFormatting>
  <pageMargins left="0.41666666666666669" right="0.41666666666666669" top="0.78740157499999996" bottom="0.78740157499999996" header="0" footer="0"/>
  <pageSetup paperSize="9" scale="71" orientation="landscape"/>
  <headerFooter>
    <oddFooter>&amp;LSalsaflow Dance Company GmbH Elisabethenanlage 7, 4051 Basel&amp;CSebastian - Tel. 076 218 21 98 Fabio - Tel. 076 478 84 11&amp;Rinfo@salsaflow-dc.com www.salsaflow-dc.com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DADADA"/>
  </sheetPr>
  <dimension ref="A1:P1000"/>
  <sheetViews>
    <sheetView workbookViewId="0"/>
  </sheetViews>
  <sheetFormatPr baseColWidth="10" defaultColWidth="14.42578125" defaultRowHeight="15" customHeight="1" x14ac:dyDescent="0.25"/>
  <cols>
    <col min="1" max="1" width="12.42578125" customWidth="1"/>
    <col min="2" max="2" width="14" customWidth="1"/>
    <col min="3" max="3" width="28" customWidth="1"/>
    <col min="4" max="4" width="15" customWidth="1"/>
    <col min="5" max="5" width="20.42578125" customWidth="1"/>
    <col min="6" max="6" width="4.42578125" customWidth="1"/>
    <col min="7" max="7" width="10.42578125" customWidth="1"/>
    <col min="8" max="8" width="11.42578125" customWidth="1"/>
    <col min="9" max="16" width="3.42578125" customWidth="1"/>
  </cols>
  <sheetData>
    <row r="1" spans="1:16" ht="21.75" customHeight="1" x14ac:dyDescent="0.25">
      <c r="A1" s="36" t="s">
        <v>11316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1.75" customHeight="1" x14ac:dyDescent="0.25">
      <c r="A3" s="41" t="s">
        <v>11275</v>
      </c>
      <c r="B3" s="42">
        <v>45219</v>
      </c>
      <c r="C3" s="8"/>
      <c r="D3" s="41" t="s">
        <v>11276</v>
      </c>
      <c r="E3" s="8" t="s">
        <v>11317</v>
      </c>
      <c r="F3" s="8"/>
      <c r="G3" s="41" t="s">
        <v>11278</v>
      </c>
      <c r="H3" s="8" t="s">
        <v>11318</v>
      </c>
      <c r="I3" s="8"/>
      <c r="J3" s="8"/>
      <c r="K3" s="8"/>
      <c r="L3" s="8"/>
      <c r="M3" s="8"/>
      <c r="N3" s="8"/>
      <c r="O3" s="8"/>
      <c r="P3" s="8"/>
    </row>
    <row r="4" spans="1:16" ht="21.7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11319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1.75" customHeight="1" x14ac:dyDescent="0.25">
      <c r="A6" s="43" t="s">
        <v>2</v>
      </c>
      <c r="B6" s="43" t="s">
        <v>3</v>
      </c>
      <c r="C6" s="43" t="s">
        <v>11286</v>
      </c>
      <c r="D6" s="58" t="s">
        <v>1</v>
      </c>
      <c r="E6" s="44" t="s">
        <v>11287</v>
      </c>
      <c r="F6" s="44"/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0.25" customHeight="1" x14ac:dyDescent="0.25">
      <c r="A7" s="55" t="str">
        <f>VLOOKUP(D7,'Master Data'!A:F,2,FALSE)</f>
        <v>Regula</v>
      </c>
      <c r="B7" s="55" t="str">
        <f>VLOOKUP(D7,'Master Data'!A:F,3,FALSE)</f>
        <v>Rudolf von Rohr</v>
      </c>
      <c r="C7" s="32" t="str">
        <f>VLOOKUP(D7,'Master Data'!A:F,6,FALSE)</f>
        <v>regula.rvr@hotmail.com</v>
      </c>
      <c r="D7" s="19" t="s">
        <v>5841</v>
      </c>
      <c r="E7" s="68"/>
      <c r="F7" s="55" t="str">
        <f>VLOOKUP(D7,'Master Data'!A:F,4,FALSE)</f>
        <v>w</v>
      </c>
      <c r="G7" s="55" t="str">
        <f>VLOOKUP(D7,'Master Data'!A:F,5,FALSE)</f>
        <v>Normal</v>
      </c>
      <c r="H7" s="69"/>
      <c r="I7" s="49"/>
      <c r="J7" s="49"/>
      <c r="K7" s="49"/>
      <c r="L7" s="49"/>
      <c r="M7" s="49"/>
      <c r="N7" s="49"/>
      <c r="O7" s="49"/>
      <c r="P7" s="49"/>
    </row>
    <row r="8" spans="1:16" ht="20.25" customHeight="1" x14ac:dyDescent="0.25">
      <c r="A8" s="55" t="str">
        <f>VLOOKUP(D8,'Master Data'!A:F,2,FALSE)</f>
        <v>Pedro</v>
      </c>
      <c r="B8" s="55" t="str">
        <f>VLOOKUP(D8,'Master Data'!A:F,3,FALSE)</f>
        <v>Albornoz</v>
      </c>
      <c r="C8" s="32" t="str">
        <f>VLOOKUP(D8,'Master Data'!A:F,6,FALSE)</f>
        <v>pedrogabrielalbornoz@gmail.com</v>
      </c>
      <c r="D8" s="19" t="s">
        <v>8655</v>
      </c>
      <c r="E8" s="68"/>
      <c r="F8" s="55" t="str">
        <f>VLOOKUP(D8,'Master Data'!A:F,4,FALSE)</f>
        <v>m</v>
      </c>
      <c r="G8" s="55" t="str">
        <f>VLOOKUP(D8,'Master Data'!A:F,5,FALSE)</f>
        <v>Normal</v>
      </c>
      <c r="H8" s="69"/>
      <c r="I8" s="49"/>
      <c r="J8" s="49"/>
      <c r="K8" s="49"/>
      <c r="L8" s="49"/>
      <c r="M8" s="49"/>
      <c r="N8" s="49"/>
      <c r="O8" s="49"/>
      <c r="P8" s="49"/>
    </row>
    <row r="9" spans="1:16" ht="20.25" customHeight="1" x14ac:dyDescent="0.25">
      <c r="A9" s="55" t="str">
        <f>VLOOKUP(D9,'Master Data'!A:F,2,FALSE)</f>
        <v>Janina</v>
      </c>
      <c r="B9" s="55" t="str">
        <f>VLOOKUP(D9,'Master Data'!A:F,3,FALSE)</f>
        <v>Aufrichtig</v>
      </c>
      <c r="C9" s="32" t="str">
        <f>VLOOKUP(D9,'Master Data'!A:F,6,FALSE)</f>
        <v>j.aufrichtig@gmx.ch</v>
      </c>
      <c r="D9" s="33" t="s">
        <v>8609</v>
      </c>
      <c r="E9" s="68"/>
      <c r="F9" s="55" t="str">
        <f>VLOOKUP(D9,'Master Data'!A:F,4,FALSE)</f>
        <v>w</v>
      </c>
      <c r="G9" s="55" t="str">
        <f>VLOOKUP(D9,'Master Data'!A:F,5,FALSE)</f>
        <v>Normal</v>
      </c>
      <c r="H9" s="69"/>
      <c r="I9" s="49"/>
      <c r="J9" s="49"/>
      <c r="K9" s="49"/>
      <c r="L9" s="49"/>
      <c r="M9" s="49"/>
      <c r="N9" s="49"/>
      <c r="O9" s="49"/>
      <c r="P9" s="49"/>
    </row>
    <row r="10" spans="1:16" ht="20.25" customHeight="1" x14ac:dyDescent="0.25">
      <c r="A10" s="55" t="str">
        <f>VLOOKUP(D10,'Master Data'!A:F,2,FALSE)</f>
        <v>Kristin</v>
      </c>
      <c r="B10" s="55" t="str">
        <f>VLOOKUP(D10,'Master Data'!A:F,3,FALSE)</f>
        <v>Sattler</v>
      </c>
      <c r="C10" s="32" t="str">
        <f>VLOOKUP(D10,'Master Data'!A:F,6,FALSE)</f>
        <v>kristineinhausen@aol.com</v>
      </c>
      <c r="D10" s="33" t="s">
        <v>7873</v>
      </c>
      <c r="E10" s="68"/>
      <c r="F10" s="55" t="str">
        <f>VLOOKUP(D10,'Master Data'!A:F,4,FALSE)</f>
        <v>w</v>
      </c>
      <c r="G10" s="55" t="str">
        <f>VLOOKUP(D10,'Master Data'!A:F,5,FALSE)</f>
        <v>Normal</v>
      </c>
      <c r="H10" s="69"/>
      <c r="I10" s="49"/>
      <c r="J10" s="49"/>
      <c r="K10" s="49"/>
      <c r="L10" s="49"/>
      <c r="M10" s="49"/>
      <c r="N10" s="49"/>
      <c r="O10" s="49"/>
      <c r="P10" s="49"/>
    </row>
    <row r="11" spans="1:16" ht="20.25" customHeight="1" x14ac:dyDescent="0.25">
      <c r="A11" s="55" t="str">
        <f>VLOOKUP(D11,'Master Data'!A:F,2,FALSE)</f>
        <v>Ricardo</v>
      </c>
      <c r="B11" s="55" t="str">
        <f>VLOOKUP(D11,'Master Data'!A:F,3,FALSE)</f>
        <v>Rodriguez</v>
      </c>
      <c r="C11" s="32" t="str">
        <f>VLOOKUP(D11,'Master Data'!A:F,6,FALSE)</f>
        <v>ricardo.rrodriguez@icloud.com</v>
      </c>
      <c r="D11" s="19" t="s">
        <v>8670</v>
      </c>
      <c r="E11" s="68"/>
      <c r="F11" s="55" t="str">
        <f>VLOOKUP(D11,'Master Data'!A:F,4,FALSE)</f>
        <v>m</v>
      </c>
      <c r="G11" s="55" t="str">
        <f>VLOOKUP(D11,'Master Data'!A:F,5,FALSE)</f>
        <v>Student</v>
      </c>
      <c r="H11" s="69"/>
      <c r="I11" s="49"/>
      <c r="J11" s="49"/>
      <c r="K11" s="49"/>
      <c r="L11" s="49"/>
      <c r="M11" s="49"/>
      <c r="N11" s="49"/>
      <c r="O11" s="49"/>
      <c r="P11" s="49"/>
    </row>
    <row r="12" spans="1:16" ht="20.25" customHeight="1" x14ac:dyDescent="0.25">
      <c r="A12" s="55" t="str">
        <f>VLOOKUP(D12,'Master Data'!A:F,2,FALSE)</f>
        <v>Clara</v>
      </c>
      <c r="B12" s="55" t="str">
        <f>VLOOKUP(D12,'Master Data'!A:F,3,FALSE)</f>
        <v>Hernandez Vicedo</v>
      </c>
      <c r="C12" s="32" t="str">
        <f>VLOOKUP(D12,'Master Data'!A:F,6,FALSE)</f>
        <v>clara_2098@hotmail.com</v>
      </c>
      <c r="D12" s="19" t="s">
        <v>6359</v>
      </c>
      <c r="E12" s="68"/>
      <c r="F12" s="55" t="str">
        <f>VLOOKUP(D12,'Master Data'!A:F,4,FALSE)</f>
        <v>w</v>
      </c>
      <c r="G12" s="55" t="str">
        <f>VLOOKUP(D12,'Master Data'!A:F,5,FALSE)</f>
        <v xml:space="preserve">Normal </v>
      </c>
      <c r="H12" s="69"/>
      <c r="I12" s="49"/>
      <c r="J12" s="49"/>
      <c r="K12" s="49"/>
      <c r="L12" s="49"/>
      <c r="M12" s="49"/>
      <c r="N12" s="49"/>
      <c r="O12" s="49"/>
      <c r="P12" s="49"/>
    </row>
    <row r="13" spans="1:16" ht="20.25" customHeight="1" x14ac:dyDescent="0.25">
      <c r="A13" s="55" t="str">
        <f>VLOOKUP(D13,'Master Data'!A:F,2,FALSE)</f>
        <v>Dubravka</v>
      </c>
      <c r="B13" s="55" t="str">
        <f>VLOOKUP(D13,'Master Data'!A:F,3,FALSE)</f>
        <v>Vrdoljak</v>
      </c>
      <c r="C13" s="32" t="str">
        <f>VLOOKUP(D13,'Master Data'!A:F,6,FALSE)</f>
        <v>dubravka_vrdoljak@yahoo.de</v>
      </c>
      <c r="D13" s="19" t="s">
        <v>6481</v>
      </c>
      <c r="E13" s="68"/>
      <c r="F13" s="55" t="str">
        <f>VLOOKUP(D13,'Master Data'!A:F,4,FALSE)</f>
        <v>w</v>
      </c>
      <c r="G13" s="55" t="str">
        <f>VLOOKUP(D13,'Master Data'!A:F,5,FALSE)</f>
        <v>Normal</v>
      </c>
      <c r="H13" s="69"/>
      <c r="I13" s="49"/>
      <c r="J13" s="49"/>
      <c r="K13" s="49"/>
      <c r="L13" s="49"/>
      <c r="M13" s="49"/>
      <c r="N13" s="49"/>
      <c r="O13" s="49"/>
      <c r="P13" s="49"/>
    </row>
    <row r="14" spans="1:16" ht="20.25" customHeight="1" x14ac:dyDescent="0.25">
      <c r="A14" s="55" t="str">
        <f>VLOOKUP(D14,'Master Data'!A:F,2,FALSE)</f>
        <v>Ilaria</v>
      </c>
      <c r="B14" s="55" t="str">
        <f>VLOOKUP(D14,'Master Data'!A:F,3,FALSE)</f>
        <v>Seminatore</v>
      </c>
      <c r="C14" s="32" t="str">
        <f>VLOOKUP(D14,'Master Data'!A:F,6,FALSE)</f>
        <v>ilaria.seminatore@gmail.com</v>
      </c>
      <c r="D14" s="19" t="s">
        <v>6710</v>
      </c>
      <c r="E14" s="68"/>
      <c r="F14" s="55" t="str">
        <f>VLOOKUP(D14,'Master Data'!A:F,4,FALSE)</f>
        <v>w</v>
      </c>
      <c r="G14" s="55" t="str">
        <f>VLOOKUP(D14,'Master Data'!A:F,5,FALSE)</f>
        <v>Pushflow</v>
      </c>
      <c r="H14" s="69"/>
      <c r="I14" s="49"/>
      <c r="J14" s="49"/>
      <c r="K14" s="49"/>
      <c r="L14" s="49"/>
      <c r="M14" s="49"/>
      <c r="N14" s="49"/>
      <c r="O14" s="49"/>
      <c r="P14" s="49"/>
    </row>
    <row r="15" spans="1:16" ht="20.25" customHeight="1" x14ac:dyDescent="0.25">
      <c r="A15" s="55" t="str">
        <f>VLOOKUP(D15,'Master Data'!A:F,2,FALSE)</f>
        <v>Mathias</v>
      </c>
      <c r="B15" s="55" t="str">
        <f>VLOOKUP(D15,'Master Data'!A:F,3,FALSE)</f>
        <v>Landsrath</v>
      </c>
      <c r="C15" s="32" t="str">
        <f>VLOOKUP(D15,'Master Data'!A:F,6,FALSE)</f>
        <v>matila@gmx.de</v>
      </c>
      <c r="D15" s="19" t="s">
        <v>4067</v>
      </c>
      <c r="E15" s="68" t="s">
        <v>11298</v>
      </c>
      <c r="F15" s="55" t="str">
        <f>VLOOKUP(D15,'Master Data'!A:F,4,FALSE)</f>
        <v>m</v>
      </c>
      <c r="G15" s="55" t="str">
        <f>VLOOKUP(D15,'Master Data'!A:F,5,FALSE)</f>
        <v>Normal</v>
      </c>
      <c r="H15" s="69"/>
      <c r="I15" s="49"/>
      <c r="J15" s="49"/>
      <c r="K15" s="49"/>
      <c r="L15" s="49"/>
      <c r="M15" s="49"/>
      <c r="N15" s="49"/>
      <c r="O15" s="49"/>
      <c r="P15" s="49"/>
    </row>
    <row r="16" spans="1:16" ht="20.25" customHeight="1" x14ac:dyDescent="0.25">
      <c r="A16" s="55" t="str">
        <f>VLOOKUP(D16,'Master Data'!A:F,2,FALSE)</f>
        <v>Carolina</v>
      </c>
      <c r="B16" s="55" t="str">
        <f>VLOOKUP(D16,'Master Data'!A:F,3,FALSE)</f>
        <v>Perdomo</v>
      </c>
      <c r="C16" s="32" t="str">
        <f>VLOOKUP(D16,'Master Data'!A:F,6,FALSE)</f>
        <v>caroperd@gmail.com</v>
      </c>
      <c r="D16" s="19" t="s">
        <v>8680</v>
      </c>
      <c r="E16" s="68"/>
      <c r="F16" s="55" t="str">
        <f>VLOOKUP(D16,'Master Data'!A:F,4,FALSE)</f>
        <v>w</v>
      </c>
      <c r="G16" s="55" t="str">
        <f>VLOOKUP(D16,'Master Data'!A:F,5,FALSE)</f>
        <v>Normal</v>
      </c>
      <c r="H16" s="69"/>
      <c r="I16" s="49"/>
      <c r="J16" s="49"/>
      <c r="K16" s="49"/>
      <c r="L16" s="49"/>
      <c r="M16" s="49"/>
      <c r="N16" s="49"/>
      <c r="O16" s="49"/>
      <c r="P16" s="49"/>
    </row>
    <row r="17" spans="1:16" ht="20.25" customHeight="1" x14ac:dyDescent="0.25">
      <c r="A17" s="55" t="str">
        <f>VLOOKUP(D17,'Master Data'!A:F,2,FALSE)</f>
        <v>Ivan</v>
      </c>
      <c r="B17" s="55" t="str">
        <f>VLOOKUP(D17,'Master Data'!A:F,3,FALSE)</f>
        <v>Lopez</v>
      </c>
      <c r="C17" s="32">
        <f>VLOOKUP(D17,'Master Data'!A:F,6,FALSE)</f>
        <v>0</v>
      </c>
      <c r="D17" s="19" t="s">
        <v>8683</v>
      </c>
      <c r="E17" s="68"/>
      <c r="F17" s="55" t="str">
        <f>VLOOKUP(D17,'Master Data'!A:F,4,FALSE)</f>
        <v>m</v>
      </c>
      <c r="G17" s="55" t="str">
        <f>VLOOKUP(D17,'Master Data'!A:F,5,FALSE)</f>
        <v>normal</v>
      </c>
      <c r="H17" s="69"/>
      <c r="I17" s="49"/>
      <c r="J17" s="49"/>
      <c r="K17" s="49"/>
      <c r="L17" s="49"/>
      <c r="M17" s="49"/>
      <c r="N17" s="49"/>
      <c r="O17" s="49"/>
      <c r="P17" s="49"/>
    </row>
    <row r="18" spans="1:16" ht="20.25" customHeight="1" x14ac:dyDescent="0.25">
      <c r="A18" s="55" t="str">
        <f>VLOOKUP(D18,'Master Data'!A:F,2,FALSE)</f>
        <v>Raphael</v>
      </c>
      <c r="B18" s="55" t="str">
        <f>VLOOKUP(D18,'Master Data'!A:F,3,FALSE)</f>
        <v>Hubler</v>
      </c>
      <c r="C18" s="32" t="str">
        <f>VLOOKUP(D18,'Master Data'!A:F,6,FALSE)</f>
        <v>raphaelhubler@gmail.com</v>
      </c>
      <c r="D18" s="19" t="s">
        <v>6428</v>
      </c>
      <c r="E18" s="68"/>
      <c r="F18" s="55" t="str">
        <f>VLOOKUP(D18,'Master Data'!A:F,4,FALSE)</f>
        <v>m</v>
      </c>
      <c r="G18" s="55" t="str">
        <f>VLOOKUP(D18,'Master Data'!A:F,5,FALSE)</f>
        <v>Pushflow</v>
      </c>
      <c r="H18" s="69"/>
      <c r="I18" s="49"/>
      <c r="J18" s="49"/>
      <c r="K18" s="49"/>
      <c r="L18" s="49"/>
      <c r="M18" s="49"/>
      <c r="N18" s="49"/>
      <c r="O18" s="49"/>
      <c r="P18" s="49"/>
    </row>
    <row r="19" spans="1:16" ht="20.25" customHeight="1" x14ac:dyDescent="0.25">
      <c r="A19" s="55" t="str">
        <f>VLOOKUP(D19,'Master Data'!A:F,2,FALSE)</f>
        <v>Hari</v>
      </c>
      <c r="B19" s="55" t="str">
        <f>VLOOKUP(D19,'Master Data'!A:F,3,FALSE)</f>
        <v>Narayanan</v>
      </c>
      <c r="C19" s="32" t="str">
        <f>VLOOKUP(D19,'Master Data'!A:F,6,FALSE)</f>
        <v>hnarayanan93@gmail.com</v>
      </c>
      <c r="D19" s="19" t="s">
        <v>8441</v>
      </c>
      <c r="E19" s="68"/>
      <c r="F19" s="55" t="str">
        <f>VLOOKUP(D19,'Master Data'!A:F,4,FALSE)</f>
        <v>m</v>
      </c>
      <c r="G19" s="55" t="str">
        <f>VLOOKUP(D19,'Master Data'!A:F,5,FALSE)</f>
        <v>Normal</v>
      </c>
      <c r="H19" s="69"/>
      <c r="I19" s="49"/>
      <c r="J19" s="49"/>
      <c r="K19" s="49"/>
      <c r="L19" s="49"/>
      <c r="M19" s="49"/>
      <c r="N19" s="49"/>
      <c r="O19" s="49"/>
      <c r="P19" s="49"/>
    </row>
    <row r="20" spans="1:16" ht="20.25" customHeight="1" x14ac:dyDescent="0.25">
      <c r="A20" s="55" t="str">
        <f>VLOOKUP(D20,'Master Data'!A:F,2,FALSE)</f>
        <v>Marco</v>
      </c>
      <c r="B20" s="55" t="str">
        <f>VLOOKUP(D20,'Master Data'!A:F,3,FALSE)</f>
        <v>Krummenacher</v>
      </c>
      <c r="C20" s="32" t="str">
        <f>VLOOKUP(D20,'Master Data'!A:F,6,FALSE)</f>
        <v>marco.krummenacher@unibas.ch</v>
      </c>
      <c r="D20" s="19" t="s">
        <v>6805</v>
      </c>
      <c r="E20" s="68"/>
      <c r="F20" s="55" t="str">
        <f>VLOOKUP(D20,'Master Data'!A:F,4,FALSE)</f>
        <v>m</v>
      </c>
      <c r="G20" s="55" t="str">
        <f>VLOOKUP(D20,'Master Data'!A:F,5,FALSE)</f>
        <v>Pushflow</v>
      </c>
      <c r="H20" s="69"/>
      <c r="I20" s="49"/>
      <c r="J20" s="49"/>
      <c r="K20" s="49"/>
      <c r="L20" s="49"/>
      <c r="M20" s="49"/>
      <c r="N20" s="49"/>
      <c r="O20" s="49"/>
      <c r="P20" s="49"/>
    </row>
    <row r="21" spans="1:16" ht="20.25" customHeight="1" x14ac:dyDescent="0.25">
      <c r="A21" s="55" t="str">
        <f>VLOOKUP(D21,'Master Data'!A:F,2,FALSE)</f>
        <v>Lena</v>
      </c>
      <c r="B21" s="55" t="str">
        <f>VLOOKUP(D21,'Master Data'!A:F,3,FALSE)</f>
        <v>Bremer</v>
      </c>
      <c r="C21" s="32" t="str">
        <f>VLOOKUP(D21,'Master Data'!A:F,6,FALSE)</f>
        <v>lena_bremer96@web.de</v>
      </c>
      <c r="D21" s="19" t="s">
        <v>8409</v>
      </c>
      <c r="E21" s="68" t="s">
        <v>11298</v>
      </c>
      <c r="F21" s="55" t="str">
        <f>VLOOKUP(D21,'Master Data'!A:F,4,FALSE)</f>
        <v>w</v>
      </c>
      <c r="G21" s="55" t="str">
        <f>VLOOKUP(D21,'Master Data'!A:F,5,FALSE)</f>
        <v>Pushflow</v>
      </c>
      <c r="H21" s="69"/>
      <c r="I21" s="49"/>
      <c r="J21" s="49"/>
      <c r="K21" s="49"/>
      <c r="L21" s="49"/>
      <c r="M21" s="49"/>
      <c r="N21" s="49"/>
      <c r="O21" s="49"/>
      <c r="P21" s="49"/>
    </row>
    <row r="22" spans="1:16" ht="20.25" customHeight="1" x14ac:dyDescent="0.25">
      <c r="A22" s="55" t="str">
        <f>VLOOKUP(D22,'Master Data'!A:F,2,FALSE)</f>
        <v>Maarten</v>
      </c>
      <c r="B22" s="55" t="str">
        <f>VLOOKUP(D22,'Master Data'!A:F,3,FALSE)</f>
        <v>De Laat</v>
      </c>
      <c r="C22" s="32" t="str">
        <f>VLOOKUP(D22,'Master Data'!A:F,6,FALSE)</f>
        <v>smaaardy@gmail.com</v>
      </c>
      <c r="D22" s="19" t="s">
        <v>5181</v>
      </c>
      <c r="E22" s="68"/>
      <c r="F22" s="55" t="str">
        <f>VLOOKUP(D22,'Master Data'!A:F,4,FALSE)</f>
        <v>m</v>
      </c>
      <c r="G22" s="55" t="str">
        <f>VLOOKUP(D22,'Master Data'!A:F,5,FALSE)</f>
        <v>Pushflow</v>
      </c>
      <c r="H22" s="69"/>
      <c r="I22" s="49"/>
      <c r="J22" s="49"/>
      <c r="K22" s="49"/>
      <c r="L22" s="49"/>
      <c r="M22" s="49"/>
      <c r="N22" s="49"/>
      <c r="O22" s="49"/>
      <c r="P22" s="49"/>
    </row>
    <row r="23" spans="1:16" ht="20.25" customHeight="1" x14ac:dyDescent="0.25">
      <c r="A23" s="55" t="str">
        <f>VLOOKUP(D23,'Master Data'!A:F,2,FALSE)</f>
        <v xml:space="preserve">Barbara </v>
      </c>
      <c r="B23" s="55" t="str">
        <f>VLOOKUP(D23,'Master Data'!A:F,3,FALSE)</f>
        <v>Ryshkov</v>
      </c>
      <c r="C23" s="32" t="str">
        <f>VLOOKUP(D23,'Master Data'!A:F,6,FALSE)</f>
        <v>barbara.ryshkov@gmail.com</v>
      </c>
      <c r="D23" s="19" t="s">
        <v>6385</v>
      </c>
      <c r="E23" s="68"/>
      <c r="F23" s="55" t="str">
        <f>VLOOKUP(D23,'Master Data'!A:F,4,FALSE)</f>
        <v>w</v>
      </c>
      <c r="G23" s="55" t="str">
        <f>VLOOKUP(D23,'Master Data'!A:F,5,FALSE)</f>
        <v>Normal</v>
      </c>
      <c r="H23" s="69"/>
      <c r="I23" s="49"/>
      <c r="J23" s="49"/>
      <c r="K23" s="49"/>
      <c r="L23" s="49"/>
      <c r="M23" s="49"/>
      <c r="N23" s="49"/>
      <c r="O23" s="49"/>
      <c r="P23" s="49"/>
    </row>
    <row r="24" spans="1:16" ht="20.25" customHeight="1" x14ac:dyDescent="0.25">
      <c r="A24" s="55" t="str">
        <f>VLOOKUP(D24,'Master Data'!A:F,2,FALSE)</f>
        <v>Elvira</v>
      </c>
      <c r="B24" s="55" t="str">
        <f>VLOOKUP(D24,'Master Data'!A:F,3,FALSE)</f>
        <v>Rösch</v>
      </c>
      <c r="C24" s="32" t="str">
        <f>VLOOKUP(D24,'Master Data'!A:F,6,FALSE)</f>
        <v>e.roesch34@gmail.com</v>
      </c>
      <c r="D24" s="19" t="s">
        <v>3929</v>
      </c>
      <c r="E24" s="68" t="s">
        <v>11320</v>
      </c>
      <c r="F24" s="55">
        <f>VLOOKUP(D24,'Master Data'!A:F,4,FALSE)</f>
        <v>0</v>
      </c>
      <c r="G24" s="55" t="str">
        <f>VLOOKUP(D24,'Master Data'!A:F,5,FALSE)</f>
        <v>Normal</v>
      </c>
      <c r="H24" s="69"/>
      <c r="I24" s="49"/>
      <c r="J24" s="49"/>
      <c r="K24" s="49"/>
      <c r="L24" s="49"/>
      <c r="M24" s="49"/>
      <c r="N24" s="49"/>
      <c r="O24" s="49"/>
      <c r="P24" s="49"/>
    </row>
    <row r="25" spans="1:16" ht="20.25" customHeight="1" x14ac:dyDescent="0.25">
      <c r="A25" s="55" t="str">
        <f>VLOOKUP(D25,'Master Data'!A:F,2,FALSE)</f>
        <v>Elvira</v>
      </c>
      <c r="B25" s="55" t="str">
        <f>VLOOKUP(D25,'Master Data'!A:F,3,FALSE)</f>
        <v>Rösch</v>
      </c>
      <c r="C25" s="32" t="str">
        <f>VLOOKUP(D25,'Master Data'!A:F,6,FALSE)</f>
        <v>e.roesch34@gmail.com</v>
      </c>
      <c r="D25" s="19" t="s">
        <v>3929</v>
      </c>
      <c r="E25" s="68" t="s">
        <v>11321</v>
      </c>
      <c r="F25" s="55">
        <f>VLOOKUP(D25,'Master Data'!A:F,4,FALSE)</f>
        <v>0</v>
      </c>
      <c r="G25" s="55" t="str">
        <f>VLOOKUP(D25,'Master Data'!A:F,5,FALSE)</f>
        <v>Normal</v>
      </c>
      <c r="H25" s="69"/>
      <c r="I25" s="49"/>
      <c r="J25" s="49"/>
      <c r="K25" s="49"/>
      <c r="L25" s="49"/>
      <c r="M25" s="49"/>
      <c r="N25" s="49"/>
      <c r="O25" s="49"/>
      <c r="P25" s="49"/>
    </row>
    <row r="26" spans="1:16" ht="20.25" customHeight="1" x14ac:dyDescent="0.25">
      <c r="A26" s="55" t="str">
        <f>VLOOKUP(D26,'Master Data'!A:F,2,FALSE)</f>
        <v>Viviana</v>
      </c>
      <c r="B26" s="55" t="str">
        <f>VLOOKUP(D26,'Master Data'!A:F,3,FALSE)</f>
        <v xml:space="preserve">Russo </v>
      </c>
      <c r="C26" s="32" t="str">
        <f>VLOOKUP(D26,'Master Data'!A:F,5,FALSE)</f>
        <v>Pushflow</v>
      </c>
      <c r="D26" s="19" t="s">
        <v>4396</v>
      </c>
      <c r="E26" s="68"/>
      <c r="F26" s="55" t="str">
        <f>VLOOKUP(D26,'Master Data'!A:F,4,FALSE)</f>
        <v>w</v>
      </c>
      <c r="G26" s="55" t="str">
        <f>VLOOKUP(D26,'Master Data'!A:F,5,FALSE)</f>
        <v>Pushflow</v>
      </c>
      <c r="H26" s="69"/>
      <c r="I26" s="49"/>
      <c r="J26" s="49"/>
      <c r="K26" s="49"/>
      <c r="L26" s="49"/>
      <c r="M26" s="49"/>
      <c r="N26" s="49"/>
      <c r="O26" s="49"/>
      <c r="P26" s="49"/>
    </row>
    <row r="27" spans="1:16" ht="20.25" customHeight="1" x14ac:dyDescent="0.25">
      <c r="A27" s="55" t="str">
        <f>VLOOKUP(D27,'Master Data'!A:F,2,FALSE)</f>
        <v>Tijana</v>
      </c>
      <c r="B27" s="55" t="str">
        <f>VLOOKUP(D27,'Master Data'!A:F,3,FALSE)</f>
        <v>Miljkovic</v>
      </c>
      <c r="C27" s="32" t="str">
        <f>VLOOKUP(D27,'Master Data'!A:F,5,FALSE)</f>
        <v>Normal</v>
      </c>
      <c r="D27" s="19" t="s">
        <v>8501</v>
      </c>
      <c r="E27" s="68" t="s">
        <v>11298</v>
      </c>
      <c r="F27" s="55" t="str">
        <f>VLOOKUP(D27,'Master Data'!A:F,4,FALSE)</f>
        <v>w</v>
      </c>
      <c r="G27" s="55" t="str">
        <f>VLOOKUP(D27,'Master Data'!A:F,5,FALSE)</f>
        <v>Normal</v>
      </c>
      <c r="H27" s="69"/>
      <c r="I27" s="49"/>
      <c r="J27" s="49"/>
      <c r="K27" s="49"/>
      <c r="L27" s="49"/>
      <c r="M27" s="49"/>
      <c r="N27" s="49"/>
      <c r="O27" s="49"/>
      <c r="P27" s="49"/>
    </row>
    <row r="28" spans="1:16" ht="20.25" customHeight="1" x14ac:dyDescent="0.25">
      <c r="A28" s="55" t="str">
        <f>VLOOKUP(D28,'Master Data'!A:F,2,FALSE)</f>
        <v>Kevin</v>
      </c>
      <c r="B28" s="55" t="str">
        <f>VLOOKUP(D28,'Master Data'!A:F,3,FALSE)</f>
        <v>Garn</v>
      </c>
      <c r="C28" s="32" t="str">
        <f>VLOOKUP(D28,'Master Data'!A:F,5,FALSE)</f>
        <v>Normal</v>
      </c>
      <c r="D28" s="62" t="s">
        <v>8014</v>
      </c>
      <c r="E28" s="68"/>
      <c r="F28" s="55" t="str">
        <f>VLOOKUP(D28,'Master Data'!A:F,4,FALSE)</f>
        <v>m</v>
      </c>
      <c r="G28" s="55" t="str">
        <f>VLOOKUP(D28,'Master Data'!A:F,5,FALSE)</f>
        <v>Normal</v>
      </c>
      <c r="H28" s="69"/>
      <c r="I28" s="49"/>
      <c r="J28" s="49"/>
      <c r="K28" s="49"/>
      <c r="L28" s="49"/>
      <c r="M28" s="49"/>
      <c r="N28" s="49"/>
      <c r="O28" s="49"/>
      <c r="P28" s="49"/>
    </row>
    <row r="29" spans="1:16" ht="20.25" customHeight="1" x14ac:dyDescent="0.25">
      <c r="A29" s="55" t="e">
        <f>VLOOKUP(D29,'Master Data'!A:F,2,FALSE)</f>
        <v>#N/A</v>
      </c>
      <c r="B29" s="55" t="e">
        <f>VLOOKUP(D29,'Master Data'!A:F,3,FALSE)</f>
        <v>#N/A</v>
      </c>
      <c r="C29" s="32" t="e">
        <f>VLOOKUP(D29,'Master Data'!A:F,5,FALSE)</f>
        <v>#N/A</v>
      </c>
      <c r="D29" s="19"/>
      <c r="E29" s="68"/>
      <c r="F29" s="55" t="e">
        <f>VLOOKUP(D29,'Master Data'!A:F,4,FALSE)</f>
        <v>#N/A</v>
      </c>
      <c r="G29" s="55" t="e">
        <f>VLOOKUP(D29,'Master Data'!A:F,5,FALSE)</f>
        <v>#N/A</v>
      </c>
      <c r="H29" s="69"/>
      <c r="I29" s="49"/>
      <c r="J29" s="49"/>
      <c r="K29" s="49"/>
      <c r="L29" s="49"/>
      <c r="M29" s="49"/>
      <c r="N29" s="49"/>
      <c r="O29" s="49"/>
      <c r="P29" s="49"/>
    </row>
    <row r="30" spans="1:16" ht="20.25" customHeight="1" x14ac:dyDescent="0.25">
      <c r="A30" s="55" t="e">
        <f>VLOOKUP(D30,'Master Data'!A:F,2,FALSE)</f>
        <v>#N/A</v>
      </c>
      <c r="B30" s="55" t="e">
        <f>VLOOKUP(D30,'Master Data'!A:F,3,FALSE)</f>
        <v>#N/A</v>
      </c>
      <c r="C30" s="32" t="e">
        <f>VLOOKUP(D30,'Master Data'!A:F,5,FALSE)</f>
        <v>#N/A</v>
      </c>
      <c r="D30" s="19"/>
      <c r="E30" s="68"/>
      <c r="F30" s="55" t="e">
        <f>VLOOKUP(D30,'Master Data'!A:F,4,FALSE)</f>
        <v>#N/A</v>
      </c>
      <c r="G30" s="55" t="e">
        <f>VLOOKUP(D30,'Master Data'!A:F,5,FALSE)</f>
        <v>#N/A</v>
      </c>
      <c r="H30" s="69"/>
      <c r="I30" s="49"/>
      <c r="J30" s="49"/>
      <c r="K30" s="49"/>
      <c r="L30" s="49"/>
      <c r="M30" s="49"/>
      <c r="N30" s="49"/>
      <c r="O30" s="49"/>
      <c r="P30" s="49"/>
    </row>
    <row r="31" spans="1:16" ht="20.25" customHeight="1" x14ac:dyDescent="0.25">
      <c r="A31" s="55" t="e">
        <f>VLOOKUP(D31,'Master Data'!A:F,2,FALSE)</f>
        <v>#N/A</v>
      </c>
      <c r="B31" s="55" t="e">
        <f>VLOOKUP(D31,'Master Data'!A:F,3,FALSE)</f>
        <v>#N/A</v>
      </c>
      <c r="C31" s="32" t="e">
        <f>VLOOKUP(D31,'Master Data'!A:F,5,FALSE)</f>
        <v>#N/A</v>
      </c>
      <c r="D31" s="19"/>
      <c r="E31" s="68"/>
      <c r="F31" s="55" t="e">
        <f>VLOOKUP(D31,'Master Data'!A:F,4,FALSE)</f>
        <v>#N/A</v>
      </c>
      <c r="G31" s="55" t="e">
        <f>VLOOKUP(D31,'Master Data'!A:F,5,FALSE)</f>
        <v>#N/A</v>
      </c>
      <c r="H31" s="69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55" t="e">
        <f>VLOOKUP(D32,'Master Data'!A:F,2,FALSE)</f>
        <v>#N/A</v>
      </c>
      <c r="B32" s="55" t="e">
        <f>VLOOKUP(D32,'Master Data'!A:F,3,FALSE)</f>
        <v>#N/A</v>
      </c>
      <c r="C32" s="32" t="e">
        <f>VLOOKUP(D32,'Master Data'!A:F,5,FALSE)</f>
        <v>#N/A</v>
      </c>
      <c r="D32" s="55"/>
      <c r="E32" s="68"/>
      <c r="F32" s="68"/>
      <c r="G32" s="57" t="s">
        <v>11290</v>
      </c>
      <c r="H32" s="57">
        <f>SUM(H7:H31)</f>
        <v>0</v>
      </c>
      <c r="I32" s="49"/>
      <c r="J32" s="49"/>
      <c r="K32" s="49"/>
      <c r="L32" s="49"/>
      <c r="M32" s="49"/>
      <c r="N32" s="49"/>
      <c r="O32" s="49"/>
      <c r="P32" s="4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17" priority="1" operator="equal">
      <formula>0</formula>
    </cfRule>
    <cfRule type="expression" dxfId="16" priority="2">
      <formula>ISERROR(A7)</formula>
    </cfRule>
  </conditionalFormatting>
  <pageMargins left="0.41666666666666669" right="0.41666666666666669" top="0.78740157499999996" bottom="0.78740157499999996" header="0" footer="0"/>
  <pageSetup paperSize="9" orientation="landscape"/>
  <headerFooter>
    <oddFooter>&amp;LSalsaflow Dance Company KLG Aeschenvorstadt 67, 4051 Basel&amp;CSebastian - Tel. 076 218 21 98 Fabio - Tel. 076 478 84 11&amp;Rinfo@salsaflow-dc.com www.salsaflow-dc.com</oddFooter>
  </headerFooter>
  <rowBreaks count="1" manualBreakCount="1">
    <brk id="31" man="1"/>
  </row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E598"/>
  </sheetPr>
  <dimension ref="A1:P1000"/>
  <sheetViews>
    <sheetView view="pageLayout" topLeftCell="A3" zoomScale="89" zoomScaleNormal="100" zoomScalePageLayoutView="89" workbookViewId="0">
      <selection activeCell="E26" sqref="E26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11292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102" t="s">
        <v>11654</v>
      </c>
      <c r="C3" s="8"/>
      <c r="D3" s="41" t="s">
        <v>11276</v>
      </c>
      <c r="E3" s="8" t="s">
        <v>11317</v>
      </c>
      <c r="F3" s="8"/>
      <c r="G3" s="41" t="s">
        <v>11278</v>
      </c>
      <c r="H3" s="8" t="s">
        <v>11403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58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Boris</v>
      </c>
      <c r="B7" s="46" t="str">
        <f>VLOOKUP(D7,'Master Data'!A:F,3,FALSE)</f>
        <v>Djakovic</v>
      </c>
      <c r="C7" s="59" t="str">
        <f>VLOOKUP(D7,'Master Data'!A:F,6,FALSE)</f>
        <v>boris.djakovic@hotmail.ch</v>
      </c>
      <c r="D7" s="30" t="s">
        <v>11707</v>
      </c>
      <c r="E7" s="104">
        <v>0.2</v>
      </c>
      <c r="F7" s="46" t="str">
        <f>VLOOKUP(D7,'Master Data'!A:F,4,FALSE)</f>
        <v>m</v>
      </c>
      <c r="G7" s="46" t="str">
        <f>VLOOKUP(D7,'Master Data'!A:F,5,FALSE)</f>
        <v>Paar</v>
      </c>
      <c r="H7" s="103">
        <v>127.5</v>
      </c>
      <c r="I7" s="49" t="s">
        <v>11760</v>
      </c>
      <c r="J7" s="49" t="s">
        <v>11760</v>
      </c>
      <c r="K7" s="49" t="s">
        <v>11760</v>
      </c>
      <c r="L7" s="49"/>
      <c r="M7" s="49" t="s">
        <v>11760</v>
      </c>
      <c r="N7" s="49"/>
      <c r="O7" s="49"/>
      <c r="P7" s="49"/>
    </row>
    <row r="8" spans="1:16" ht="23.25" customHeight="1" x14ac:dyDescent="0.25">
      <c r="A8" s="46" t="str">
        <f>VLOOKUP(D8,'Master Data'!A:F,2,FALSE)</f>
        <v>Cecilia</v>
      </c>
      <c r="B8" s="46" t="str">
        <f>VLOOKUP(D8,'Master Data'!A:F,3,FALSE)</f>
        <v>Claesson</v>
      </c>
      <c r="C8" s="59" t="str">
        <f>VLOOKUP(D8,'Master Data'!A:F,6,FALSE)</f>
        <v>cecilia.akersholm@gmail.com</v>
      </c>
      <c r="D8" s="30" t="s">
        <v>11708</v>
      </c>
      <c r="E8" s="104">
        <v>0.2</v>
      </c>
      <c r="F8" s="46" t="str">
        <f>VLOOKUP(D8,'Master Data'!A:F,4,FALSE)</f>
        <v>w</v>
      </c>
      <c r="G8" s="46" t="str">
        <f>VLOOKUP(D8,'Master Data'!A:F,5,FALSE)</f>
        <v>Paar</v>
      </c>
      <c r="H8" s="103">
        <v>127.5</v>
      </c>
      <c r="I8" s="49" t="s">
        <v>11760</v>
      </c>
      <c r="J8" s="49" t="s">
        <v>11760</v>
      </c>
      <c r="K8" s="49" t="s">
        <v>11760</v>
      </c>
      <c r="L8" s="49"/>
      <c r="M8" s="49" t="s">
        <v>11760</v>
      </c>
      <c r="N8" s="49"/>
      <c r="O8" s="49"/>
      <c r="P8" s="49"/>
    </row>
    <row r="9" spans="1:16" ht="23.25" customHeight="1" x14ac:dyDescent="0.25">
      <c r="A9" s="46" t="str">
        <f>VLOOKUP(D9,'Master Data'!A:F,2,FALSE)</f>
        <v>Timo</v>
      </c>
      <c r="B9" s="46" t="str">
        <f>VLOOKUP(D9,'Master Data'!A:F,3,FALSE)</f>
        <v>Smieszek</v>
      </c>
      <c r="C9" s="59" t="str">
        <f>VLOOKUP(D9,'Master Data'!A:F,6,FALSE)</f>
        <v>timo@smieszek.de</v>
      </c>
      <c r="D9" s="30" t="s">
        <v>11719</v>
      </c>
      <c r="E9" s="60"/>
      <c r="F9" s="46" t="str">
        <f>VLOOKUP(D9,'Master Data'!A:F,4,FALSE)</f>
        <v>m</v>
      </c>
      <c r="G9" s="46" t="str">
        <f>VLOOKUP(D9,'Master Data'!A:F,5,FALSE)</f>
        <v>Normal</v>
      </c>
      <c r="H9" s="103">
        <v>190</v>
      </c>
      <c r="I9" s="49" t="s">
        <v>11760</v>
      </c>
      <c r="J9" s="49" t="s">
        <v>11754</v>
      </c>
      <c r="K9" s="49" t="s">
        <v>11760</v>
      </c>
      <c r="L9" s="49"/>
      <c r="M9" s="49" t="s">
        <v>11760</v>
      </c>
      <c r="N9" s="49"/>
      <c r="O9" s="49"/>
      <c r="P9" s="49"/>
    </row>
    <row r="10" spans="1:16" ht="23.25" customHeight="1" x14ac:dyDescent="0.25">
      <c r="A10" s="46" t="str">
        <f>VLOOKUP(D10,'Master Data'!A:F,2,FALSE)</f>
        <v>Sina</v>
      </c>
      <c r="B10" s="46" t="str">
        <f>VLOOKUP(D10,'Master Data'!A:F,3,FALSE)</f>
        <v>Maus</v>
      </c>
      <c r="C10" s="59" t="str">
        <f>VLOOKUP(D10,'Master Data'!A:F,6,FALSE)</f>
        <v>sina_maus@gmx.net</v>
      </c>
      <c r="D10" s="30" t="s">
        <v>11736</v>
      </c>
      <c r="E10" s="60"/>
      <c r="F10" s="46" t="str">
        <f>VLOOKUP(D10,'Master Data'!A:F,4,FALSE)</f>
        <v>w</v>
      </c>
      <c r="G10" s="46" t="str">
        <f>VLOOKUP(D10,'Master Data'!A:F,5,FALSE)</f>
        <v>Normal</v>
      </c>
      <c r="H10" s="103">
        <v>190</v>
      </c>
      <c r="I10" s="49" t="s">
        <v>11760</v>
      </c>
      <c r="J10" s="49" t="s">
        <v>11760</v>
      </c>
      <c r="K10" s="49" t="s">
        <v>11760</v>
      </c>
      <c r="L10" s="49"/>
      <c r="M10" s="49" t="s">
        <v>11754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Aaron</v>
      </c>
      <c r="B11" s="46" t="str">
        <f>VLOOKUP(D11,'Master Data'!A:F,3,FALSE)</f>
        <v>Michel</v>
      </c>
      <c r="C11" s="59" t="str">
        <f>VLOOKUP(D11,'Master Data'!A:F,6,FALSE)</f>
        <v>aaron.michel95@gmail.com</v>
      </c>
      <c r="D11" s="30" t="s">
        <v>11744</v>
      </c>
      <c r="E11" s="60"/>
      <c r="F11" s="46" t="str">
        <f>VLOOKUP(D11,'Master Data'!A:F,4,FALSE)</f>
        <v>m</v>
      </c>
      <c r="G11" s="46" t="str">
        <f>VLOOKUP(D11,'Master Data'!A:F,5,FALSE)</f>
        <v>Paar</v>
      </c>
      <c r="H11" s="103">
        <v>160</v>
      </c>
      <c r="I11" s="49" t="s">
        <v>11760</v>
      </c>
      <c r="J11" s="49" t="s">
        <v>11760</v>
      </c>
      <c r="K11" s="49" t="s">
        <v>11760</v>
      </c>
      <c r="L11" s="49" t="s">
        <v>11754</v>
      </c>
      <c r="M11" s="49" t="s">
        <v>11760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Laura</v>
      </c>
      <c r="B12" s="46" t="str">
        <f>VLOOKUP(D12,'Master Data'!A:F,3,FALSE)</f>
        <v>Deola</v>
      </c>
      <c r="C12" s="59">
        <f>VLOOKUP(D12,'Master Data'!A:F,6,FALSE)</f>
        <v>0</v>
      </c>
      <c r="D12" s="19" t="s">
        <v>11745</v>
      </c>
      <c r="E12" s="60"/>
      <c r="F12" s="46" t="str">
        <f>VLOOKUP(D12,'Master Data'!A:F,4,FALSE)</f>
        <v>w</v>
      </c>
      <c r="G12" s="46" t="str">
        <f>VLOOKUP(D12,'Master Data'!A:F,5,FALSE)</f>
        <v>Paar</v>
      </c>
      <c r="H12" s="103">
        <v>160</v>
      </c>
      <c r="I12" s="49" t="s">
        <v>11760</v>
      </c>
      <c r="J12" s="49" t="s">
        <v>11760</v>
      </c>
      <c r="K12" s="49" t="s">
        <v>11760</v>
      </c>
      <c r="L12" s="49" t="s">
        <v>11754</v>
      </c>
      <c r="M12" s="49" t="s">
        <v>11760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Benedict</v>
      </c>
      <c r="B13" s="46" t="str">
        <f>VLOOKUP(D13,'Master Data'!A:F,3,FALSE)</f>
        <v>Kern</v>
      </c>
      <c r="C13" s="47" t="str">
        <f>VLOOKUP(D13,'Master Data'!A:F,6,FALSE)</f>
        <v>bene.kern@t-online.de</v>
      </c>
      <c r="D13" s="70" t="s">
        <v>11749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6">
        <v>190</v>
      </c>
      <c r="I13" s="49" t="s">
        <v>11760</v>
      </c>
      <c r="J13" s="49" t="s">
        <v>11760</v>
      </c>
      <c r="K13" s="49" t="s">
        <v>11760</v>
      </c>
      <c r="L13" s="49"/>
      <c r="M13" s="49" t="s">
        <v>11760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Yashar</v>
      </c>
      <c r="B14" s="46" t="str">
        <f>VLOOKUP(D14,'Master Data'!A:F,3,FALSE)</f>
        <v>Soltani</v>
      </c>
      <c r="C14" s="47" t="str">
        <f>VLOOKUP(D14,'Master Data'!A:F,6,FALSE)</f>
        <v>yashar.soltani@outlook.de</v>
      </c>
      <c r="D14" s="30" t="s">
        <v>11876</v>
      </c>
      <c r="E14" s="46"/>
      <c r="F14" s="46" t="str">
        <f>VLOOKUP(D14,'Master Data'!A:F,4,FALSE)</f>
        <v>m</v>
      </c>
      <c r="G14" s="46" t="str">
        <f>VLOOKUP(D14,'Master Data'!A:F,5,FALSE)</f>
        <v>Paar</v>
      </c>
      <c r="H14" s="103">
        <v>160</v>
      </c>
      <c r="I14" s="49" t="s">
        <v>11760</v>
      </c>
      <c r="J14" s="49" t="s">
        <v>11760</v>
      </c>
      <c r="K14" s="49" t="s">
        <v>11760</v>
      </c>
      <c r="L14" s="49"/>
      <c r="M14" s="49" t="s">
        <v>11760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>Elian</v>
      </c>
      <c r="B15" s="46" t="str">
        <f>VLOOKUP(D15,'Master Data'!A:F,3,FALSE)</f>
        <v>Lüthy</v>
      </c>
      <c r="C15" s="47" t="str">
        <f>VLOOKUP(D15,'Master Data'!A:F,6,FALSE)</f>
        <v>elian.luethy@gmx.ch</v>
      </c>
      <c r="D15" s="30" t="s">
        <v>11877</v>
      </c>
      <c r="E15" s="46"/>
      <c r="F15" s="46" t="str">
        <f>VLOOKUP(D15,'Master Data'!A:F,4,FALSE)</f>
        <v>w</v>
      </c>
      <c r="G15" s="46" t="str">
        <f>VLOOKUP(D15,'Master Data'!A:F,5,FALSE)</f>
        <v>Paar</v>
      </c>
      <c r="H15" s="103">
        <v>160</v>
      </c>
      <c r="I15" s="49" t="s">
        <v>11760</v>
      </c>
      <c r="J15" s="49" t="s">
        <v>11760</v>
      </c>
      <c r="K15" s="49" t="s">
        <v>11760</v>
      </c>
      <c r="L15" s="49" t="s">
        <v>11754</v>
      </c>
      <c r="M15" s="49" t="s">
        <v>11760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Jessica</v>
      </c>
      <c r="B16" s="46" t="str">
        <f>VLOOKUP(D16,'Master Data'!A:F,3,FALSE)</f>
        <v>Wohlwend</v>
      </c>
      <c r="C16" s="47" t="str">
        <f>VLOOKUP(D16,'Master Data'!A:F,6,FALSE)</f>
        <v>jessicawohlwend4@gmail.com</v>
      </c>
      <c r="D16" s="34" t="s">
        <v>11924</v>
      </c>
      <c r="E16" s="46" t="s">
        <v>12092</v>
      </c>
      <c r="F16" s="46" t="str">
        <f>VLOOKUP(D16,'Master Data'!A:F,4,FALSE)</f>
        <v>w</v>
      </c>
      <c r="G16" s="46" t="str">
        <f>VLOOKUP(D16,'Master Data'!A:F,5,FALSE)</f>
        <v>Normal</v>
      </c>
      <c r="H16" s="103">
        <v>190</v>
      </c>
      <c r="I16" s="49" t="s">
        <v>11760</v>
      </c>
      <c r="J16" s="49" t="s">
        <v>11760</v>
      </c>
      <c r="K16" s="49" t="s">
        <v>11760</v>
      </c>
      <c r="L16" s="49" t="s">
        <v>11754</v>
      </c>
      <c r="M16" s="49" t="s">
        <v>11754</v>
      </c>
      <c r="N16" s="49" t="s">
        <v>11754</v>
      </c>
      <c r="O16" s="49" t="s">
        <v>11754</v>
      </c>
      <c r="P16" s="49" t="s">
        <v>11754</v>
      </c>
    </row>
    <row r="17" spans="1:16" ht="23.25" customHeight="1" x14ac:dyDescent="0.25">
      <c r="A17" s="46" t="str">
        <f>VLOOKUP(D17,'Master Data'!A:F,2,FALSE)</f>
        <v>Nils</v>
      </c>
      <c r="B17" s="46" t="str">
        <f>VLOOKUP(D17,'Master Data'!A:F,3,FALSE)</f>
        <v>Bianchi</v>
      </c>
      <c r="C17" s="47" t="str">
        <f>VLOOKUP(D17,'Master Data'!A:F,6,FALSE)</f>
        <v>nils.bianchi@bluewin.ch</v>
      </c>
      <c r="D17" s="30" t="s">
        <v>11943</v>
      </c>
      <c r="E17" s="46"/>
      <c r="F17" s="46" t="str">
        <f>VLOOKUP(D17,'Master Data'!A:F,4,FALSE)</f>
        <v>m</v>
      </c>
      <c r="G17" s="46" t="str">
        <f>VLOOKUP(D17,'Master Data'!A:F,5,FALSE)</f>
        <v>Paar</v>
      </c>
      <c r="H17" s="103" t="s">
        <v>12037</v>
      </c>
      <c r="I17" s="49" t="s">
        <v>11754</v>
      </c>
      <c r="J17" s="49" t="s">
        <v>11760</v>
      </c>
      <c r="K17" s="49" t="s">
        <v>11760</v>
      </c>
      <c r="L17" s="49"/>
      <c r="M17" s="49" t="s">
        <v>11760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Sofia</v>
      </c>
      <c r="B18" s="46" t="str">
        <f>VLOOKUP(D18,'Master Data'!A:F,3,FALSE)</f>
        <v>Marinelli</v>
      </c>
      <c r="C18" s="47">
        <f>VLOOKUP(D18,'Master Data'!A:F,6,FALSE)</f>
        <v>0</v>
      </c>
      <c r="D18" s="7" t="s">
        <v>12053</v>
      </c>
      <c r="E18" s="46"/>
      <c r="F18" s="46" t="str">
        <f>VLOOKUP(D18,'Master Data'!A:F,4,FALSE)</f>
        <v>w</v>
      </c>
      <c r="G18" s="46" t="str">
        <f>VLOOKUP(D18,'Master Data'!A:F,5,FALSE)</f>
        <v>Paar</v>
      </c>
      <c r="H18" s="103">
        <v>160</v>
      </c>
      <c r="I18" s="49" t="s">
        <v>11754</v>
      </c>
      <c r="J18" s="49" t="s">
        <v>11760</v>
      </c>
      <c r="K18" s="49" t="s">
        <v>11760</v>
      </c>
      <c r="L18" s="49"/>
      <c r="M18" s="49" t="s">
        <v>11760</v>
      </c>
      <c r="N18" s="49"/>
      <c r="O18" s="49"/>
      <c r="P18" s="49"/>
    </row>
    <row r="19" spans="1:16" ht="23.25" customHeight="1" x14ac:dyDescent="0.25">
      <c r="A19" s="46" t="str">
        <f>VLOOKUP(D19,'Master Data'!A:F,2,FALSE)</f>
        <v>Bülent</v>
      </c>
      <c r="B19" s="46" t="str">
        <f>VLOOKUP(D19,'Master Data'!A:F,3,FALSE)</f>
        <v>Ekinci</v>
      </c>
      <c r="C19" s="47" t="str">
        <f>VLOOKUP(D19,'Master Data'!A:F,6,FALSE)</f>
        <v>buelentekinci24@gamil.com</v>
      </c>
      <c r="D19" s="67" t="s">
        <v>11955</v>
      </c>
      <c r="E19" s="46" t="s">
        <v>11298</v>
      </c>
      <c r="F19" s="46" t="str">
        <f>VLOOKUP(D19,'Master Data'!A:F,4,FALSE)</f>
        <v>m</v>
      </c>
      <c r="G19" s="46" t="str">
        <f>VLOOKUP(D19,'Master Data'!A:F,5,FALSE)</f>
        <v>Normal</v>
      </c>
      <c r="H19" s="103"/>
      <c r="I19" s="49" t="s">
        <v>11760</v>
      </c>
      <c r="J19" s="49" t="s">
        <v>11760</v>
      </c>
      <c r="K19" s="49" t="s">
        <v>11760</v>
      </c>
      <c r="L19" s="49"/>
      <c r="M19" s="49" t="s">
        <v>11760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Patrick</v>
      </c>
      <c r="B20" s="46" t="str">
        <f>VLOOKUP(D20,'Master Data'!A:F,3,FALSE)</f>
        <v>Kellehan</v>
      </c>
      <c r="C20" s="47" t="str">
        <f>VLOOKUP(D20,'Master Data'!A:F,6,FALSE)</f>
        <v>P.kellehan92@gmail.com</v>
      </c>
      <c r="D20" s="30" t="s">
        <v>11900</v>
      </c>
      <c r="E20" s="46"/>
      <c r="F20" s="46" t="str">
        <f>VLOOKUP(D20,'Master Data'!A:F,4,FALSE)</f>
        <v>m</v>
      </c>
      <c r="G20" s="46" t="str">
        <f>VLOOKUP(D20,'Master Data'!A:F,5,FALSE)</f>
        <v>Normal</v>
      </c>
      <c r="H20" s="106">
        <v>190</v>
      </c>
      <c r="I20" s="49" t="s">
        <v>11760</v>
      </c>
      <c r="J20" s="49" t="s">
        <v>11760</v>
      </c>
      <c r="K20" s="49" t="s">
        <v>11760</v>
      </c>
      <c r="L20" s="49"/>
      <c r="M20" s="49" t="s">
        <v>11754</v>
      </c>
      <c r="N20" s="49" t="s">
        <v>11754</v>
      </c>
      <c r="O20" s="49"/>
      <c r="P20" s="49"/>
    </row>
    <row r="21" spans="1:16" ht="23.25" customHeight="1" x14ac:dyDescent="0.25">
      <c r="A21" s="46" t="str">
        <f>VLOOKUP(D21,'Master Data'!A:F,2,FALSE)</f>
        <v>Natalya</v>
      </c>
      <c r="B21" s="46" t="str">
        <f>VLOOKUP(D21,'Master Data'!A:F,3,FALSE)</f>
        <v>Ventocilla</v>
      </c>
      <c r="C21" s="47" t="str">
        <f>VLOOKUP(D21,'Master Data'!A:F,6,FALSE)</f>
        <v>natalya.ventocilla@gmail.com</v>
      </c>
      <c r="D21" s="30" t="s">
        <v>11996</v>
      </c>
      <c r="E21" s="46"/>
      <c r="F21" s="46" t="str">
        <f>VLOOKUP(D21,'Master Data'!A:F,4,FALSE)</f>
        <v>w</v>
      </c>
      <c r="G21" s="46" t="str">
        <f>VLOOKUP(D21,'Master Data'!A:F,5,FALSE)</f>
        <v>Normal</v>
      </c>
      <c r="H21" s="103">
        <v>190</v>
      </c>
      <c r="I21" s="49" t="s">
        <v>11760</v>
      </c>
      <c r="J21" s="49" t="s">
        <v>11760</v>
      </c>
      <c r="K21" s="49" t="s">
        <v>11760</v>
      </c>
      <c r="L21" s="49"/>
      <c r="M21" s="49" t="s">
        <v>11760</v>
      </c>
      <c r="N21" s="49"/>
      <c r="O21" s="49"/>
      <c r="P21" s="49"/>
    </row>
    <row r="22" spans="1:16" ht="23.25" customHeight="1" x14ac:dyDescent="0.25">
      <c r="A22" s="46" t="str">
        <f>VLOOKUP(D22,'Master Data'!A:F,2,FALSE)</f>
        <v>Evanthia</v>
      </c>
      <c r="B22" s="46" t="str">
        <f>VLOOKUP(D22,'Master Data'!A:F,3,FALSE)</f>
        <v>Drakousis</v>
      </c>
      <c r="C22" s="47" t="str">
        <f>VLOOKUP(D22,'Master Data'!A:F,6,FALSE)</f>
        <v>edrakousis@gmail.com</v>
      </c>
      <c r="D22" s="30" t="s">
        <v>12001</v>
      </c>
      <c r="E22" s="46"/>
      <c r="F22" s="46" t="str">
        <f>VLOOKUP(D22,'Master Data'!A:F,4,FALSE)</f>
        <v>w</v>
      </c>
      <c r="G22" s="46" t="str">
        <f>VLOOKUP(D22,'Master Data'!A:F,5,FALSE)</f>
        <v>Normal</v>
      </c>
      <c r="H22" s="106">
        <v>145</v>
      </c>
      <c r="I22" s="49" t="s">
        <v>11754</v>
      </c>
      <c r="J22" s="49" t="s">
        <v>11754</v>
      </c>
      <c r="K22" s="49" t="s">
        <v>11760</v>
      </c>
      <c r="L22" s="49"/>
      <c r="M22" s="49" t="s">
        <v>11760</v>
      </c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2340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15" priority="1" operator="equal">
      <formula>0</formula>
    </cfRule>
    <cfRule type="expression" dxfId="14" priority="2">
      <formula>ISERROR(A7)</formula>
    </cfRule>
  </conditionalFormatting>
  <pageMargins left="0.41666666666666669" right="0.41666666666666669" top="0.78740157499999996" bottom="0.57750000000000001" header="0" footer="0"/>
  <pageSetup paperSize="9" scale="78" orientation="landscape" r:id="rId1"/>
  <headerFooter>
    <oddFooter>&amp;LSalsaflow Dance Company KLG Aeschenvorstadt 67, 4051 Basel&amp;CSebastian - Tel. 076 218 21 98 Fabio - Tel. 076 478 84 11&amp;R info@salsaflow-dc.com www.salsaflow-dc.com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E598"/>
  </sheetPr>
  <dimension ref="A1:P1001"/>
  <sheetViews>
    <sheetView topLeftCell="A5" workbookViewId="0">
      <selection activeCell="H17" sqref="H17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11650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102" t="s">
        <v>11654</v>
      </c>
      <c r="C3" s="8"/>
      <c r="D3" s="41" t="s">
        <v>11276</v>
      </c>
      <c r="E3" s="8" t="s">
        <v>11317</v>
      </c>
      <c r="F3" s="8"/>
      <c r="G3" s="41" t="s">
        <v>11278</v>
      </c>
      <c r="H3" s="8" t="s">
        <v>11651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11281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e">
        <f>VLOOKUP(D7,'Master Data'!A:F,2,FALSE)</f>
        <v>#N/A</v>
      </c>
      <c r="B7" s="46" t="e">
        <f>VLOOKUP(D7,'Master Data'!A:F,3,FALSE)</f>
        <v>#N/A</v>
      </c>
      <c r="C7" s="47" t="e">
        <f>VLOOKUP(D7,'Master Data'!A:F,6,FALSE)</f>
        <v>#N/A</v>
      </c>
      <c r="D7" s="7"/>
      <c r="E7" s="46"/>
      <c r="F7" s="46" t="e">
        <f>VLOOKUP(D7,'Master Data'!A:F,4,FALSE)</f>
        <v>#N/A</v>
      </c>
      <c r="G7" s="46" t="e">
        <f>VLOOKUP(D7,'Master Data'!A:F,5,FALSE)</f>
        <v>#N/A</v>
      </c>
      <c r="H7" s="48"/>
      <c r="I7" s="49"/>
      <c r="J7" s="49"/>
      <c r="K7" s="49"/>
      <c r="L7" s="49"/>
      <c r="M7" s="49"/>
      <c r="N7" s="49"/>
      <c r="O7" s="49"/>
      <c r="P7" s="49"/>
    </row>
    <row r="8" spans="1:16" ht="23.25" customHeight="1" x14ac:dyDescent="0.25">
      <c r="A8" s="46" t="e">
        <f>VLOOKUP(D8,'Master Data'!A:F,2,FALSE)</f>
        <v>#N/A</v>
      </c>
      <c r="B8" s="46" t="e">
        <f>VLOOKUP(D8,'Master Data'!A:F,3,FALSE)</f>
        <v>#N/A</v>
      </c>
      <c r="C8" s="47" t="e">
        <f>VLOOKUP(D8,'Master Data'!A:F,6,FALSE)</f>
        <v>#N/A</v>
      </c>
      <c r="D8" s="30"/>
      <c r="E8" s="46"/>
      <c r="F8" s="46" t="e">
        <f>VLOOKUP(D8,'Master Data'!A:F,4,FALSE)</f>
        <v>#N/A</v>
      </c>
      <c r="G8" s="46" t="e">
        <f>VLOOKUP(D8,'Master Data'!A:F,5,FALSE)</f>
        <v>#N/A</v>
      </c>
      <c r="H8" s="48"/>
      <c r="I8" s="49"/>
      <c r="J8" s="49"/>
      <c r="K8" s="49"/>
      <c r="L8" s="49"/>
      <c r="M8" s="49"/>
      <c r="N8" s="49"/>
      <c r="O8" s="49"/>
      <c r="P8" s="49"/>
    </row>
    <row r="9" spans="1:16" ht="23.25" customHeight="1" x14ac:dyDescent="0.25">
      <c r="A9" s="46" t="e">
        <f>VLOOKUP(D9,'Master Data'!A:F,2,FALSE)</f>
        <v>#N/A</v>
      </c>
      <c r="B9" s="46" t="e">
        <f>VLOOKUP(D9,'Master Data'!A:F,3,FALSE)</f>
        <v>#N/A</v>
      </c>
      <c r="C9" s="47" t="e">
        <f>VLOOKUP(D9,'Master Data'!A:F,6,FALSE)</f>
        <v>#N/A</v>
      </c>
      <c r="D9" s="30"/>
      <c r="E9" s="46"/>
      <c r="F9" s="46" t="e">
        <f>VLOOKUP(D9,'Master Data'!A:F,4,FALSE)</f>
        <v>#N/A</v>
      </c>
      <c r="G9" s="46" t="e">
        <f>VLOOKUP(D9,'Master Data'!A:F,5,FALSE)</f>
        <v>#N/A</v>
      </c>
      <c r="H9" s="48"/>
      <c r="I9" s="49"/>
      <c r="J9" s="49"/>
      <c r="K9" s="49"/>
      <c r="L9" s="49"/>
      <c r="M9" s="49"/>
      <c r="N9" s="49"/>
      <c r="O9" s="49"/>
      <c r="P9" s="49"/>
    </row>
    <row r="10" spans="1:16" ht="23.25" customHeight="1" x14ac:dyDescent="0.25">
      <c r="A10" s="46" t="e">
        <f>VLOOKUP(D10,'Master Data'!A:F,2,FALSE)</f>
        <v>#N/A</v>
      </c>
      <c r="B10" s="46" t="e">
        <f>VLOOKUP(D10,'Master Data'!A:F,3,FALSE)</f>
        <v>#N/A</v>
      </c>
      <c r="C10" s="47" t="e">
        <f>VLOOKUP(D10,'Master Data'!A:F,6,FALSE)</f>
        <v>#N/A</v>
      </c>
      <c r="D10" s="19"/>
      <c r="E10" s="46"/>
      <c r="F10" s="46" t="e">
        <f>VLOOKUP(D10,'Master Data'!A:F,4,FALSE)</f>
        <v>#N/A</v>
      </c>
      <c r="G10" s="46" t="e">
        <f>VLOOKUP(D10,'Master Data'!A:F,5,FALSE)</f>
        <v>#N/A</v>
      </c>
      <c r="H10" s="48"/>
      <c r="I10" s="49"/>
      <c r="J10" s="49"/>
      <c r="K10" s="49"/>
      <c r="L10" s="49"/>
      <c r="M10" s="49"/>
      <c r="N10" s="49"/>
      <c r="O10" s="49"/>
      <c r="P10" s="49"/>
    </row>
    <row r="11" spans="1:16" ht="23.25" customHeight="1" x14ac:dyDescent="0.25">
      <c r="A11" s="46" t="e">
        <f>VLOOKUP(D11,'Master Data'!A:F,2,FALSE)</f>
        <v>#N/A</v>
      </c>
      <c r="B11" s="46" t="e">
        <f>VLOOKUP(D11,'Master Data'!A:F,3,FALSE)</f>
        <v>#N/A</v>
      </c>
      <c r="C11" s="47" t="e">
        <f>VLOOKUP(D11,'Master Data'!A:F,6,FALSE)</f>
        <v>#N/A</v>
      </c>
      <c r="D11" s="19"/>
      <c r="E11" s="46"/>
      <c r="F11" s="46" t="e">
        <f>VLOOKUP(D11,'Master Data'!A:F,4,FALSE)</f>
        <v>#N/A</v>
      </c>
      <c r="G11" s="46" t="e">
        <f>VLOOKUP(D11,'Master Data'!A:F,5,FALSE)</f>
        <v>#N/A</v>
      </c>
      <c r="H11" s="48"/>
      <c r="I11" s="49"/>
      <c r="J11" s="49"/>
      <c r="K11" s="49"/>
      <c r="L11" s="49"/>
      <c r="M11" s="49"/>
      <c r="N11" s="49"/>
      <c r="O11" s="49"/>
      <c r="P11" s="49"/>
    </row>
    <row r="12" spans="1:16" ht="23.25" customHeight="1" x14ac:dyDescent="0.25">
      <c r="A12" s="46" t="e">
        <f>VLOOKUP(D12,'Master Data'!A:F,2,FALSE)</f>
        <v>#N/A</v>
      </c>
      <c r="B12" s="46" t="e">
        <f>VLOOKUP(D12,'Master Data'!A:F,3,FALSE)</f>
        <v>#N/A</v>
      </c>
      <c r="C12" s="47" t="e">
        <f>VLOOKUP(D12,'Master Data'!A:F,6,FALSE)</f>
        <v>#N/A</v>
      </c>
      <c r="D12" s="30"/>
      <c r="E12" s="46"/>
      <c r="F12" s="46" t="e">
        <f>VLOOKUP(D12,'Master Data'!A:F,4,FALSE)</f>
        <v>#N/A</v>
      </c>
      <c r="G12" s="46" t="e">
        <f>VLOOKUP(D12,'Master Data'!A:F,5,FALSE)</f>
        <v>#N/A</v>
      </c>
      <c r="H12" s="48"/>
      <c r="I12" s="49"/>
      <c r="J12" s="49"/>
      <c r="K12" s="49"/>
      <c r="L12" s="49"/>
      <c r="M12" s="49"/>
      <c r="N12" s="49"/>
      <c r="O12" s="49"/>
      <c r="P12" s="49"/>
    </row>
    <row r="13" spans="1:16" ht="23.25" customHeight="1" x14ac:dyDescent="0.25">
      <c r="A13" s="46" t="e">
        <f>VLOOKUP(D13,'Master Data'!A:F,2,FALSE)</f>
        <v>#N/A</v>
      </c>
      <c r="B13" s="46" t="e">
        <f>VLOOKUP(D13,'Master Data'!A:F,3,FALSE)</f>
        <v>#N/A</v>
      </c>
      <c r="C13" s="47" t="e">
        <f>VLOOKUP(D13,'Master Data'!A:F,6,FALSE)</f>
        <v>#N/A</v>
      </c>
      <c r="D13" s="30"/>
      <c r="E13" s="46"/>
      <c r="F13" s="46" t="e">
        <f>VLOOKUP(D13,'Master Data'!A:F,4,FALSE)</f>
        <v>#N/A</v>
      </c>
      <c r="G13" s="46" t="e">
        <f>VLOOKUP(D13,'Master Data'!A:F,5,FALSE)</f>
        <v>#N/A</v>
      </c>
      <c r="H13" s="48"/>
      <c r="I13" s="49"/>
      <c r="J13" s="49"/>
      <c r="K13" s="49"/>
      <c r="L13" s="49"/>
      <c r="M13" s="49"/>
      <c r="N13" s="49"/>
      <c r="O13" s="49"/>
      <c r="P13" s="49"/>
    </row>
    <row r="14" spans="1:16" ht="23.25" customHeight="1" x14ac:dyDescent="0.25">
      <c r="A14" s="46" t="e">
        <f>VLOOKUP(D14,'Master Data'!A:F,2,FALSE)</f>
        <v>#N/A</v>
      </c>
      <c r="B14" s="46" t="e">
        <f>VLOOKUP(D14,'Master Data'!A:F,3,FALSE)</f>
        <v>#N/A</v>
      </c>
      <c r="C14" s="47" t="e">
        <f>VLOOKUP(D14,'Master Data'!A:F,6,FALSE)</f>
        <v>#N/A</v>
      </c>
      <c r="D14" s="30"/>
      <c r="E14" s="99"/>
      <c r="F14" s="46" t="e">
        <f>VLOOKUP(D14,'Master Data'!A:F,4,FALSE)</f>
        <v>#N/A</v>
      </c>
      <c r="G14" s="46" t="e">
        <f>VLOOKUP(D14,'Master Data'!A:F,5,FALSE)</f>
        <v>#N/A</v>
      </c>
      <c r="H14" s="48"/>
      <c r="I14" s="49"/>
      <c r="J14" s="49"/>
      <c r="K14" s="49"/>
      <c r="L14" s="49"/>
      <c r="M14" s="49"/>
      <c r="N14" s="49"/>
      <c r="O14" s="49"/>
      <c r="P14" s="49"/>
    </row>
    <row r="15" spans="1:16" ht="23.25" customHeight="1" x14ac:dyDescent="0.25">
      <c r="A15" s="46" t="e">
        <f>VLOOKUP(D15,'Master Data'!A:F,2,FALSE)</f>
        <v>#N/A</v>
      </c>
      <c r="B15" s="46" t="e">
        <f>VLOOKUP(D15,'Master Data'!A:F,3,FALSE)</f>
        <v>#N/A</v>
      </c>
      <c r="C15" s="47" t="e">
        <f>VLOOKUP(D15,'Master Data'!A:F,6,FALSE)</f>
        <v>#N/A</v>
      </c>
      <c r="D15" s="30"/>
      <c r="E15" s="46"/>
      <c r="F15" s="46" t="e">
        <f>VLOOKUP(D15,'Master Data'!A:F,4,FALSE)</f>
        <v>#N/A</v>
      </c>
      <c r="G15" s="46" t="e">
        <f>VLOOKUP(D15,'Master Data'!A:F,5,FALSE)</f>
        <v>#N/A</v>
      </c>
      <c r="H15" s="48"/>
      <c r="I15" s="49"/>
      <c r="J15" s="49"/>
      <c r="K15" s="49"/>
      <c r="L15" s="49"/>
      <c r="M15" s="49"/>
      <c r="N15" s="49"/>
      <c r="O15" s="49"/>
      <c r="P15" s="49"/>
    </row>
    <row r="16" spans="1:16" ht="23.25" customHeight="1" x14ac:dyDescent="0.25">
      <c r="A16" s="46" t="e">
        <f>VLOOKUP(D16,'Master Data'!A:F,2,FALSE)</f>
        <v>#N/A</v>
      </c>
      <c r="B16" s="46" t="e">
        <f>VLOOKUP(D16,'Master Data'!A:F,3,FALSE)</f>
        <v>#N/A</v>
      </c>
      <c r="C16" s="47" t="e">
        <f>VLOOKUP(D16,'Master Data'!A:F,6,FALSE)</f>
        <v>#N/A</v>
      </c>
      <c r="D16" s="98"/>
      <c r="E16" s="46"/>
      <c r="F16" s="46" t="e">
        <f>VLOOKUP(D16,'Master Data'!A:F,4,FALSE)</f>
        <v>#N/A</v>
      </c>
      <c r="G16" s="46" t="e">
        <f>VLOOKUP(D16,'Master Data'!A:F,5,FALSE)</f>
        <v>#N/A</v>
      </c>
      <c r="H16" s="48"/>
      <c r="I16" s="49"/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e">
        <f>VLOOKUP(D17,'Master Data'!A:F,2,FALSE)</f>
        <v>#N/A</v>
      </c>
      <c r="B17" s="46" t="e">
        <f>VLOOKUP(D17,'Master Data'!A:F,3,FALSE)</f>
        <v>#N/A</v>
      </c>
      <c r="C17" s="47" t="e">
        <f>VLOOKUP(D17,'Master Data'!A:F,6,FALSE)</f>
        <v>#N/A</v>
      </c>
      <c r="D17" s="30"/>
      <c r="E17" s="46"/>
      <c r="F17" s="46" t="e">
        <f>VLOOKUP(D17,'Master Data'!A:F,4,FALSE)</f>
        <v>#N/A</v>
      </c>
      <c r="G17" s="46" t="e">
        <f>VLOOKUP(D17,'Master Data'!A:F,5,FALSE)</f>
        <v>#N/A</v>
      </c>
      <c r="H17" s="48"/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e">
        <f>VLOOKUP(D18,'Master Data'!A:F,2,FALSE)</f>
        <v>#N/A</v>
      </c>
      <c r="B18" s="46" t="e">
        <f>VLOOKUP(D18,'Master Data'!A:F,3,FALSE)</f>
        <v>#N/A</v>
      </c>
      <c r="C18" s="47" t="e">
        <f>VLOOKUP(D18,'Master Data'!A:F,6,FALSE)</f>
        <v>#N/A</v>
      </c>
      <c r="D18" s="30"/>
      <c r="E18" s="46"/>
      <c r="F18" s="46" t="e">
        <f>VLOOKUP(D18,'Master Data'!A:F,4,FALSE)</f>
        <v>#N/A</v>
      </c>
      <c r="G18" s="46" t="e">
        <f>VLOOKUP(D18,'Master Data'!A:F,5,FALSE)</f>
        <v>#N/A</v>
      </c>
      <c r="H18" s="48"/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e">
        <f>VLOOKUP(D19,'Master Data'!A:F,2,FALSE)</f>
        <v>#N/A</v>
      </c>
      <c r="B19" s="46" t="e">
        <f>VLOOKUP(D19,'Master Data'!A:F,3,FALSE)</f>
        <v>#N/A</v>
      </c>
      <c r="C19" s="47" t="e">
        <f>VLOOKUP(D19,'Master Data'!A:F,6,FALSE)</f>
        <v>#N/A</v>
      </c>
      <c r="D19" s="30"/>
      <c r="E19" s="46"/>
      <c r="F19" s="46" t="e">
        <f>VLOOKUP(D19,'Master Data'!A:F,4,FALSE)</f>
        <v>#N/A</v>
      </c>
      <c r="G19" s="46" t="e">
        <f>VLOOKUP(D19,'Master Data'!A:F,5,FALSE)</f>
        <v>#N/A</v>
      </c>
      <c r="H19" s="48"/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0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0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0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0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I6:P6"/>
  </mergeCells>
  <conditionalFormatting sqref="F7:G31 A7:C32">
    <cfRule type="cellIs" dxfId="13" priority="1" operator="equal">
      <formula>0</formula>
    </cfRule>
    <cfRule type="expression" dxfId="12" priority="2">
      <formula>ISERROR(A7)</formula>
    </cfRule>
  </conditionalFormatting>
  <pageMargins left="0.41666666666666669" right="0.41666666666666669" top="0.78740157499999996" bottom="0.57750000000000001" header="0" footer="0"/>
  <pageSetup paperSize="9" scale="78" orientation="landscape"/>
  <headerFooter>
    <oddFooter>&amp;LSalsaflow Dance Company GmbH Elisabethenanlage 7, 4051 Basel&amp;CSebastian - Tel. 076 218 21 98 Fabio - Tel. 076 478 84 11&amp;R info@salsaflow-dc.com www.salsaflow-dc.com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E598"/>
  </sheetPr>
  <dimension ref="A1:P1000"/>
  <sheetViews>
    <sheetView view="pageLayout" topLeftCell="A17" zoomScaleNormal="100" workbookViewId="0">
      <selection activeCell="H33" sqref="H33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11645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102" t="s">
        <v>11654</v>
      </c>
      <c r="C3" s="8"/>
      <c r="D3" s="41" t="s">
        <v>11276</v>
      </c>
      <c r="E3" s="8" t="s">
        <v>11317</v>
      </c>
      <c r="F3" s="8"/>
      <c r="G3" s="41" t="s">
        <v>11278</v>
      </c>
      <c r="H3" s="8" t="s">
        <v>11651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11293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11285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Angelo</v>
      </c>
      <c r="B7" s="46" t="str">
        <f>VLOOKUP(D7,'Master Data'!A:F,3,FALSE)</f>
        <v>Sacheli</v>
      </c>
      <c r="C7" s="47" t="str">
        <f>VLOOKUP(D7,'Master Data'!A:F,6,FALSE)</f>
        <v>angelo.sacheli.as@gmail.com</v>
      </c>
      <c r="D7" s="34" t="s">
        <v>10389</v>
      </c>
      <c r="E7" s="46"/>
      <c r="F7" s="46" t="str">
        <f>VLOOKUP(D7,'Master Data'!A:F,4,FALSE)</f>
        <v>m</v>
      </c>
      <c r="G7" s="46" t="str">
        <f>VLOOKUP(D7,'Master Data'!A:F,5,FALSE)</f>
        <v>Paar</v>
      </c>
      <c r="H7" s="106">
        <v>160</v>
      </c>
      <c r="I7" s="49" t="s">
        <v>11760</v>
      </c>
      <c r="J7" s="49" t="s">
        <v>11760</v>
      </c>
      <c r="K7" s="49" t="s">
        <v>11760</v>
      </c>
      <c r="L7" s="49"/>
      <c r="M7" s="49" t="s">
        <v>11760</v>
      </c>
      <c r="N7" s="49"/>
      <c r="O7" s="49"/>
      <c r="P7" s="49"/>
    </row>
    <row r="8" spans="1:16" ht="23.25" customHeight="1" x14ac:dyDescent="0.25">
      <c r="A8" s="46" t="str">
        <f>VLOOKUP(D8,'Master Data'!A:F,2,FALSE)</f>
        <v>Tatiana</v>
      </c>
      <c r="B8" s="46" t="str">
        <f>VLOOKUP(D8,'Master Data'!A:F,3,FALSE)</f>
        <v>Bertuzzi</v>
      </c>
      <c r="C8" s="47">
        <f>VLOOKUP(D8,'Master Data'!A:F,6,FALSE)</f>
        <v>0</v>
      </c>
      <c r="D8" s="34" t="s">
        <v>10393</v>
      </c>
      <c r="E8" s="46"/>
      <c r="F8" s="46" t="str">
        <f>VLOOKUP(D8,'Master Data'!A:F,4,FALSE)</f>
        <v>w</v>
      </c>
      <c r="G8" s="46" t="str">
        <f>VLOOKUP(D8,'Master Data'!A:F,5,FALSE)</f>
        <v>Paar</v>
      </c>
      <c r="H8" s="106">
        <v>160</v>
      </c>
      <c r="I8" s="49" t="s">
        <v>11760</v>
      </c>
      <c r="J8" s="49" t="s">
        <v>11754</v>
      </c>
      <c r="K8" s="49" t="s">
        <v>11760</v>
      </c>
      <c r="L8" s="49"/>
      <c r="M8" s="49" t="s">
        <v>11760</v>
      </c>
      <c r="N8" s="49"/>
      <c r="O8" s="49"/>
      <c r="P8" s="49"/>
    </row>
    <row r="9" spans="1:16" ht="23.25" customHeight="1" x14ac:dyDescent="0.25">
      <c r="A9" s="46" t="str">
        <f>VLOOKUP(D9,'Master Data'!A:F,2,FALSE)</f>
        <v>Celine</v>
      </c>
      <c r="B9" s="46" t="str">
        <f>VLOOKUP(D9,'Master Data'!A:F,3,FALSE)</f>
        <v>de Araujo</v>
      </c>
      <c r="C9" s="47" t="str">
        <f>VLOOKUP(D9,'Master Data'!A:F,6,FALSE)</f>
        <v>celine.n.araujo@gmail.com</v>
      </c>
      <c r="D9" s="34" t="s">
        <v>10415</v>
      </c>
      <c r="E9" s="46"/>
      <c r="F9" s="46" t="str">
        <f>VLOOKUP(D9,'Master Data'!A:F,4,FALSE)</f>
        <v>w</v>
      </c>
      <c r="G9" s="46" t="str">
        <f>VLOOKUP(D9,'Master Data'!A:F,5,FALSE)</f>
        <v>Paar</v>
      </c>
      <c r="H9" s="103">
        <v>135</v>
      </c>
      <c r="I9" s="49" t="s">
        <v>11760</v>
      </c>
      <c r="J9" s="49" t="s">
        <v>11760</v>
      </c>
      <c r="K9" s="49" t="s">
        <v>11760</v>
      </c>
      <c r="L9" s="49"/>
      <c r="M9" s="49" t="s">
        <v>11760</v>
      </c>
      <c r="N9" s="49" t="s">
        <v>11754</v>
      </c>
      <c r="O9" s="49" t="s">
        <v>11754</v>
      </c>
      <c r="P9" s="49" t="s">
        <v>11754</v>
      </c>
    </row>
    <row r="10" spans="1:16" ht="23.25" customHeight="1" x14ac:dyDescent="0.25">
      <c r="A10" s="46" t="str">
        <f>VLOOKUP(D10,'Master Data'!A:F,2,FALSE)</f>
        <v>Igor</v>
      </c>
      <c r="B10" s="46" t="str">
        <f>VLOOKUP(D10,'Master Data'!A:F,3,FALSE)</f>
        <v>Santana</v>
      </c>
      <c r="C10" s="47" t="str">
        <f>VLOOKUP(D10,'Master Data'!A:F,6,FALSE)</f>
        <v>igor.santana@live.de</v>
      </c>
      <c r="D10" s="7" t="s">
        <v>10419</v>
      </c>
      <c r="E10" s="46"/>
      <c r="F10" s="46" t="str">
        <f>VLOOKUP(D10,'Master Data'!A:F,4,FALSE)</f>
        <v>m</v>
      </c>
      <c r="G10" s="46" t="str">
        <f>VLOOKUP(D10,'Master Data'!A:F,5,FALSE)</f>
        <v>Paar</v>
      </c>
      <c r="H10" s="103">
        <v>135</v>
      </c>
      <c r="I10" s="49" t="s">
        <v>11760</v>
      </c>
      <c r="J10" s="49" t="s">
        <v>11760</v>
      </c>
      <c r="K10" s="49" t="s">
        <v>11760</v>
      </c>
      <c r="L10" s="49"/>
      <c r="M10" s="49" t="s">
        <v>11760</v>
      </c>
      <c r="N10" s="49"/>
      <c r="O10" s="49"/>
      <c r="P10" s="49"/>
    </row>
    <row r="11" spans="1:16" ht="23.25" customHeight="1" x14ac:dyDescent="0.25">
      <c r="A11" s="46" t="str">
        <f>VLOOKUP(D11,'Master Data'!A:F,2,FALSE)</f>
        <v>Andrea Sandra</v>
      </c>
      <c r="B11" s="46" t="str">
        <f>VLOOKUP(D11,'Master Data'!A:F,3,FALSE)</f>
        <v>Blaser-Thommen</v>
      </c>
      <c r="C11" s="47" t="str">
        <f>VLOOKUP(D11,'Master Data'!A:F,6,FALSE)</f>
        <v>a.s.blaser@bluewin.ch</v>
      </c>
      <c r="D11" s="34" t="s">
        <v>10581</v>
      </c>
      <c r="E11" s="46"/>
      <c r="F11" s="46" t="str">
        <f>VLOOKUP(D11,'Master Data'!A:F,4,FALSE)</f>
        <v>w</v>
      </c>
      <c r="G11" s="46" t="str">
        <f>VLOOKUP(D11,'Master Data'!A:F,5,FALSE)</f>
        <v>Paar</v>
      </c>
      <c r="H11" s="103">
        <v>190</v>
      </c>
      <c r="I11" s="49" t="s">
        <v>11760</v>
      </c>
      <c r="J11" s="49" t="s">
        <v>11760</v>
      </c>
      <c r="K11" s="49" t="s">
        <v>11760</v>
      </c>
      <c r="L11" s="49" t="s">
        <v>11754</v>
      </c>
      <c r="M11" s="49" t="s">
        <v>11760</v>
      </c>
      <c r="N11" s="49"/>
      <c r="O11" s="49"/>
      <c r="P11" s="49"/>
    </row>
    <row r="12" spans="1:16" ht="23.25" customHeight="1" x14ac:dyDescent="0.25">
      <c r="A12" s="46" t="str">
        <f>VLOOKUP(D12,'Master Data'!A:F,2,FALSE)</f>
        <v>Clivia</v>
      </c>
      <c r="B12" s="46" t="str">
        <f>VLOOKUP(D12,'Master Data'!A:F,3,FALSE)</f>
        <v>Meier</v>
      </c>
      <c r="C12" s="47" t="str">
        <f>VLOOKUP(D12,'Master Data'!A:F,6,FALSE)</f>
        <v>cliviameier@gmail.com</v>
      </c>
      <c r="D12" s="34" t="s">
        <v>10590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3">
        <v>160</v>
      </c>
      <c r="I12" s="49" t="s">
        <v>11760</v>
      </c>
      <c r="J12" s="49" t="s">
        <v>11754</v>
      </c>
      <c r="K12" s="49" t="s">
        <v>11760</v>
      </c>
      <c r="L12" s="49" t="s">
        <v>11754</v>
      </c>
      <c r="M12" s="49" t="s">
        <v>11760</v>
      </c>
      <c r="N12" s="49"/>
      <c r="O12" s="49"/>
      <c r="P12" s="49"/>
    </row>
    <row r="13" spans="1:16" ht="23.25" customHeight="1" x14ac:dyDescent="0.25">
      <c r="A13" s="46" t="str">
        <f>VLOOKUP(D13,'Master Data'!A:F,2,FALSE)</f>
        <v>Pasquale</v>
      </c>
      <c r="B13" s="46" t="str">
        <f>VLOOKUP(D13,'Master Data'!A:F,3,FALSE)</f>
        <v>Grasso</v>
      </c>
      <c r="C13" s="47" t="str">
        <f>VLOOKUP(D13,'Master Data'!A:F,6,FALSE)</f>
        <v>pasquale_grasso@hotmail.com</v>
      </c>
      <c r="D13" s="63" t="s">
        <v>9911</v>
      </c>
      <c r="E13" s="46"/>
      <c r="F13" s="46" t="str">
        <f>VLOOKUP(D13,'Master Data'!A:F,4,FALSE)</f>
        <v>m</v>
      </c>
      <c r="G13" s="46" t="str">
        <f>VLOOKUP(D13,'Master Data'!A:F,5,FALSE)</f>
        <v>Normal</v>
      </c>
      <c r="H13" s="103">
        <v>160</v>
      </c>
      <c r="I13" s="49" t="s">
        <v>11760</v>
      </c>
      <c r="J13" s="49" t="s">
        <v>11754</v>
      </c>
      <c r="K13" s="49" t="s">
        <v>11760</v>
      </c>
      <c r="L13" s="49"/>
      <c r="M13" s="49" t="s">
        <v>11760</v>
      </c>
      <c r="N13" s="49"/>
      <c r="O13" s="49"/>
      <c r="P13" s="49"/>
    </row>
    <row r="14" spans="1:16" ht="23.25" customHeight="1" x14ac:dyDescent="0.25">
      <c r="A14" s="46" t="str">
        <f>VLOOKUP(D14,'Master Data'!A:F,2,FALSE)</f>
        <v>Andreia</v>
      </c>
      <c r="B14" s="46" t="str">
        <f>VLOOKUP(D14,'Master Data'!A:F,3,FALSE)</f>
        <v>Silva</v>
      </c>
      <c r="C14" s="47" t="str">
        <f>VLOOKUP(D14,'Master Data'!A:F,6,FALSE)</f>
        <v>andr3iasilva@gmail.com</v>
      </c>
      <c r="D14" s="19" t="s">
        <v>10597</v>
      </c>
      <c r="E14" s="46" t="s">
        <v>11665</v>
      </c>
      <c r="F14" s="46" t="str">
        <f>VLOOKUP(D14,'Master Data'!A:F,4,FALSE)</f>
        <v>w</v>
      </c>
      <c r="G14" s="46" t="str">
        <f>VLOOKUP(D14,'Master Data'!A:F,5,FALSE)</f>
        <v>Normal</v>
      </c>
      <c r="H14" s="106">
        <v>285</v>
      </c>
      <c r="I14" s="49" t="s">
        <v>11760</v>
      </c>
      <c r="J14" s="49" t="s">
        <v>11760</v>
      </c>
      <c r="K14" s="49" t="s">
        <v>11760</v>
      </c>
      <c r="L14" s="49"/>
      <c r="M14" s="49" t="s">
        <v>11760</v>
      </c>
      <c r="N14" s="49"/>
      <c r="O14" s="49"/>
      <c r="P14" s="49"/>
    </row>
    <row r="15" spans="1:16" ht="23.25" customHeight="1" x14ac:dyDescent="0.25">
      <c r="A15" s="46" t="str">
        <f>VLOOKUP(D15,'Master Data'!A:F,2,FALSE)</f>
        <v>Steve</v>
      </c>
      <c r="B15" s="46" t="str">
        <f>VLOOKUP(D15,'Master Data'!A:F,3,FALSE)</f>
        <v>Zwicky</v>
      </c>
      <c r="C15" s="47" t="str">
        <f>VLOOKUP(D15,'Master Data'!A:F,6,FALSE)</f>
        <v>zwicky.steve@gmail.com</v>
      </c>
      <c r="D15" s="7" t="s">
        <v>10647</v>
      </c>
      <c r="E15" s="46"/>
      <c r="F15" s="46" t="str">
        <f>VLOOKUP(D15,'Master Data'!A:F,4,FALSE)</f>
        <v>m</v>
      </c>
      <c r="G15" s="46" t="str">
        <f>VLOOKUP(D15,'Master Data'!A:F,5,FALSE)</f>
        <v>Normal</v>
      </c>
      <c r="H15" s="106">
        <v>190</v>
      </c>
      <c r="I15" s="49" t="s">
        <v>11760</v>
      </c>
      <c r="J15" s="49" t="s">
        <v>11760</v>
      </c>
      <c r="K15" s="49" t="s">
        <v>11754</v>
      </c>
      <c r="L15" s="49"/>
      <c r="M15" s="49" t="s">
        <v>11760</v>
      </c>
      <c r="N15" s="49"/>
      <c r="O15" s="49"/>
      <c r="P15" s="49"/>
    </row>
    <row r="16" spans="1:16" ht="23.25" customHeight="1" x14ac:dyDescent="0.25">
      <c r="A16" s="46" t="str">
        <f>VLOOKUP(D16,'Master Data'!A:F,2,FALSE)</f>
        <v>Annemarie</v>
      </c>
      <c r="B16" s="46" t="str">
        <f>VLOOKUP(D16,'Master Data'!A:F,3,FALSE)</f>
        <v>Fritsch</v>
      </c>
      <c r="C16" s="47" t="str">
        <f>VLOOKUP(D16,'Master Data'!A:F,6,FALSE)</f>
        <v>annemarie.fritsch@gmail.com</v>
      </c>
      <c r="D16" s="30" t="s">
        <v>10717</v>
      </c>
      <c r="E16" s="46"/>
      <c r="F16" s="46" t="str">
        <f>VLOOKUP(D16,'Master Data'!A:F,4,FALSE)</f>
        <v>w</v>
      </c>
      <c r="G16" s="46" t="str">
        <f>VLOOKUP(D16,'Master Data'!A:F,5,FALSE)</f>
        <v>Paar</v>
      </c>
      <c r="H16" s="103">
        <v>190</v>
      </c>
      <c r="I16" s="49" t="s">
        <v>11754</v>
      </c>
      <c r="J16" s="49" t="s">
        <v>11760</v>
      </c>
      <c r="K16" s="49" t="s">
        <v>11760</v>
      </c>
      <c r="L16" s="49"/>
      <c r="M16" s="49" t="s">
        <v>11760</v>
      </c>
      <c r="N16" s="49"/>
      <c r="O16" s="49"/>
      <c r="P16" s="49"/>
    </row>
    <row r="17" spans="1:16" ht="23.25" customHeight="1" x14ac:dyDescent="0.25">
      <c r="A17" s="46" t="str">
        <f>VLOOKUP(D17,'Master Data'!A:F,2,FALSE)</f>
        <v>Olga</v>
      </c>
      <c r="B17" s="46" t="str">
        <f>VLOOKUP(D17,'Master Data'!A:F,3,FALSE)</f>
        <v>Myloshyk</v>
      </c>
      <c r="C17" s="47" t="str">
        <f>VLOOKUP(D17,'Master Data'!A:F,6,FALSE)</f>
        <v>omyloshyk@gmail.com</v>
      </c>
      <c r="D17" s="30" t="s">
        <v>10679</v>
      </c>
      <c r="E17" s="46"/>
      <c r="F17" s="46" t="str">
        <f>VLOOKUP(D17,'Master Data'!A:F,4,FALSE)</f>
        <v>w</v>
      </c>
      <c r="G17" s="46" t="str">
        <f>VLOOKUP(D17,'Master Data'!A:F,5,FALSE)</f>
        <v>Normal</v>
      </c>
      <c r="H17" s="103">
        <v>190</v>
      </c>
      <c r="I17" s="49" t="s">
        <v>11754</v>
      </c>
      <c r="J17" s="49" t="s">
        <v>11754</v>
      </c>
      <c r="K17" s="49" t="s">
        <v>11760</v>
      </c>
      <c r="L17" s="49"/>
      <c r="M17" s="49" t="s">
        <v>11760</v>
      </c>
      <c r="N17" s="49"/>
      <c r="O17" s="49"/>
      <c r="P17" s="49"/>
    </row>
    <row r="18" spans="1:16" ht="23.25" customHeight="1" x14ac:dyDescent="0.25">
      <c r="A18" s="46" t="str">
        <f>VLOOKUP(D18,'Master Data'!A:F,2,FALSE)</f>
        <v>Florian</v>
      </c>
      <c r="B18" s="46" t="str">
        <f>VLOOKUP(D18,'Master Data'!A:F,3,FALSE)</f>
        <v>Dünku</v>
      </c>
      <c r="C18" s="47" t="str">
        <f>VLOOKUP(D18,'Master Data'!A:F,6,FALSE)</f>
        <v>florian.duenki@gmail.com</v>
      </c>
      <c r="D18" s="34" t="s">
        <v>10227</v>
      </c>
      <c r="E18" s="46" t="s">
        <v>11665</v>
      </c>
      <c r="F18" s="46" t="str">
        <f>VLOOKUP(D18,'Master Data'!A:F,4,FALSE)</f>
        <v>m</v>
      </c>
      <c r="G18" s="46" t="str">
        <f>VLOOKUP(D18,'Master Data'!A:F,5,FALSE)</f>
        <v>Paar</v>
      </c>
      <c r="H18" s="103"/>
      <c r="I18" s="49" t="s">
        <v>11754</v>
      </c>
      <c r="J18" s="49" t="s">
        <v>11754</v>
      </c>
      <c r="K18" s="49" t="s">
        <v>11760</v>
      </c>
      <c r="L18" s="49"/>
      <c r="M18" s="49" t="s">
        <v>11760</v>
      </c>
      <c r="N18" s="49"/>
      <c r="O18" s="49"/>
      <c r="P18" s="49"/>
    </row>
    <row r="19" spans="1:16" ht="23.25" customHeight="1" x14ac:dyDescent="0.25">
      <c r="A19" s="46" t="str">
        <f>VLOOKUP(D19,'Master Data'!A:F,2,FALSE)</f>
        <v>Cristina</v>
      </c>
      <c r="B19" s="46" t="str">
        <f>VLOOKUP(D19,'Master Data'!A:F,3,FALSE)</f>
        <v>Guarnaccia</v>
      </c>
      <c r="C19" s="47" t="str">
        <f>VLOOKUP(D19,'Master Data'!A:F,6,FALSE)</f>
        <v>cristina.guarn@gmail.com</v>
      </c>
      <c r="D19" s="34" t="s">
        <v>10223</v>
      </c>
      <c r="E19" s="46" t="s">
        <v>11665</v>
      </c>
      <c r="F19" s="46" t="str">
        <f>VLOOKUP(D19,'Master Data'!A:F,4,FALSE)</f>
        <v>w</v>
      </c>
      <c r="G19" s="46" t="str">
        <f>VLOOKUP(D19,'Master Data'!A:F,5,FALSE)</f>
        <v>Paar</v>
      </c>
      <c r="H19" s="103"/>
      <c r="I19" s="49" t="s">
        <v>11754</v>
      </c>
      <c r="J19" s="49" t="s">
        <v>11754</v>
      </c>
      <c r="K19" s="49" t="s">
        <v>11760</v>
      </c>
      <c r="L19" s="49"/>
      <c r="M19" s="49" t="s">
        <v>11760</v>
      </c>
      <c r="N19" s="49"/>
      <c r="O19" s="49"/>
      <c r="P19" s="49"/>
    </row>
    <row r="20" spans="1:16" ht="23.25" customHeight="1" x14ac:dyDescent="0.25">
      <c r="A20" s="46" t="str">
        <f>VLOOKUP(D20,'Master Data'!A:F,2,FALSE)</f>
        <v>Antonio</v>
      </c>
      <c r="B20" s="46" t="str">
        <f>VLOOKUP(D20,'Master Data'!A:F,3,FALSE)</f>
        <v>Branca</v>
      </c>
      <c r="C20" s="47" t="str">
        <f>VLOOKUP(D20,'Master Data'!A:F,6,FALSE)</f>
        <v>tbranca@gmx.net</v>
      </c>
      <c r="D20" s="30" t="s">
        <v>10276</v>
      </c>
      <c r="E20" s="46"/>
      <c r="F20" s="46" t="str">
        <f>VLOOKUP(D20,'Master Data'!A:F,4,FALSE)</f>
        <v>m</v>
      </c>
      <c r="G20" s="46" t="str">
        <f>VLOOKUP(D20,'Master Data'!A:F,5,FALSE)</f>
        <v>Normal</v>
      </c>
      <c r="H20" s="106"/>
      <c r="I20" s="49" t="s">
        <v>11760</v>
      </c>
      <c r="J20" s="49" t="s">
        <v>11760</v>
      </c>
      <c r="K20" s="49" t="s">
        <v>11760</v>
      </c>
      <c r="L20" s="49" t="s">
        <v>11754</v>
      </c>
      <c r="M20" s="49" t="s">
        <v>11760</v>
      </c>
      <c r="N20" s="49"/>
      <c r="O20" s="49"/>
      <c r="P20" s="49"/>
    </row>
    <row r="21" spans="1:16" ht="23.25" customHeight="1" x14ac:dyDescent="0.25">
      <c r="A21" s="46" t="str">
        <f>VLOOKUP(D21,'Master Data'!A:F,2,FALSE)</f>
        <v>Angelika</v>
      </c>
      <c r="B21" s="46" t="str">
        <f>VLOOKUP(D21,'Master Data'!A:F,3,FALSE)</f>
        <v>Jahreis</v>
      </c>
      <c r="C21" s="47" t="str">
        <f>VLOOKUP(D21,'Master Data'!A:F,6,FALSE)</f>
        <v>angelikajahreis@yahoo.com</v>
      </c>
      <c r="D21" s="30" t="s">
        <v>9671</v>
      </c>
      <c r="E21" s="46"/>
      <c r="F21" s="46" t="str">
        <f>VLOOKUP(D21,'Master Data'!A:F,4,FALSE)</f>
        <v>w</v>
      </c>
      <c r="G21" s="46" t="str">
        <f>VLOOKUP(D21,'Master Data'!A:F,5,FALSE)</f>
        <v>Normal</v>
      </c>
      <c r="H21" s="103">
        <v>150</v>
      </c>
      <c r="I21" s="49" t="s">
        <v>11760</v>
      </c>
      <c r="J21" s="49" t="s">
        <v>11760</v>
      </c>
      <c r="K21" s="49" t="s">
        <v>11754</v>
      </c>
      <c r="L21" s="49"/>
      <c r="M21" s="49" t="s">
        <v>11760</v>
      </c>
      <c r="N21" s="49"/>
      <c r="O21" s="49" t="s">
        <v>11754</v>
      </c>
      <c r="P21" s="49" t="s">
        <v>11754</v>
      </c>
    </row>
    <row r="22" spans="1:16" ht="23.25" customHeight="1" x14ac:dyDescent="0.25">
      <c r="A22" s="46" t="str">
        <f>VLOOKUP(D22,'Master Data'!A:F,2,FALSE)</f>
        <v>Harald</v>
      </c>
      <c r="B22" s="46" t="str">
        <f>VLOOKUP(D22,'Master Data'!A:F,3,FALSE)</f>
        <v>Saueressig</v>
      </c>
      <c r="C22" s="47" t="str">
        <f>VLOOKUP(D22,'Master Data'!A:F,6,FALSE)</f>
        <v>hsaueressig@hotmail.com</v>
      </c>
      <c r="D22" s="30" t="s">
        <v>9778</v>
      </c>
      <c r="E22" s="46"/>
      <c r="F22" s="46" t="str">
        <f>VLOOKUP(D22,'Master Data'!A:F,4,FALSE)</f>
        <v>m</v>
      </c>
      <c r="G22" s="46" t="str">
        <f>VLOOKUP(D22,'Master Data'!A:F,5,FALSE)</f>
        <v>Normal</v>
      </c>
      <c r="H22" s="103">
        <v>150</v>
      </c>
      <c r="I22" s="49" t="s">
        <v>11760</v>
      </c>
      <c r="J22" s="49" t="s">
        <v>11760</v>
      </c>
      <c r="K22" s="49" t="s">
        <v>11754</v>
      </c>
      <c r="L22" s="49"/>
      <c r="M22" s="49" t="s">
        <v>11760</v>
      </c>
      <c r="N22" s="49"/>
      <c r="O22" s="49" t="s">
        <v>11754</v>
      </c>
      <c r="P22" s="49" t="s">
        <v>11754</v>
      </c>
    </row>
    <row r="23" spans="1:16" ht="23.25" customHeight="1" x14ac:dyDescent="0.25">
      <c r="A23" s="46" t="str">
        <f>VLOOKUP(D23,'Master Data'!A:F,2,FALSE)</f>
        <v>Caroline</v>
      </c>
      <c r="B23" s="46" t="str">
        <f>VLOOKUP(D23,'Master Data'!A:F,3,FALSE)</f>
        <v>Rahn</v>
      </c>
      <c r="C23" s="47" t="str">
        <f>VLOOKUP(D23,'Master Data'!A:F,6,FALSE)</f>
        <v>crahn@gmx.ch</v>
      </c>
      <c r="D23" s="30" t="s">
        <v>11992</v>
      </c>
      <c r="E23" s="46" t="s">
        <v>12020</v>
      </c>
      <c r="F23" s="46" t="str">
        <f>VLOOKUP(D23,'Master Data'!A:F,4,FALSE)</f>
        <v>w</v>
      </c>
      <c r="G23" s="46" t="str">
        <f>VLOOKUP(D23,'Master Data'!A:F,5,FALSE)</f>
        <v>Normal</v>
      </c>
      <c r="H23" s="103">
        <v>190</v>
      </c>
      <c r="I23" s="49" t="s">
        <v>11760</v>
      </c>
      <c r="J23" s="49" t="s">
        <v>11760</v>
      </c>
      <c r="K23" s="49" t="s">
        <v>11760</v>
      </c>
      <c r="L23" s="49"/>
      <c r="M23" s="49" t="s">
        <v>11760</v>
      </c>
      <c r="N23" s="49"/>
      <c r="O23" s="49"/>
      <c r="P23" s="49"/>
    </row>
    <row r="24" spans="1:16" ht="23.25" customHeight="1" x14ac:dyDescent="0.25">
      <c r="A24" s="46" t="str">
        <f>VLOOKUP(D24,'Master Data'!A:F,2,FALSE)</f>
        <v>Ben</v>
      </c>
      <c r="B24" s="46" t="str">
        <f>VLOOKUP(D24,'Master Data'!A:F,3,FALSE)</f>
        <v>Böke</v>
      </c>
      <c r="C24" s="47" t="str">
        <f>VLOOKUP(D24,'Master Data'!A:F,6,FALSE)</f>
        <v>ben25boeke@gmail.com</v>
      </c>
      <c r="D24" s="98" t="s">
        <v>11951</v>
      </c>
      <c r="E24" s="46" t="s">
        <v>11298</v>
      </c>
      <c r="F24" s="46" t="str">
        <f>VLOOKUP(D24,'Master Data'!A:F,4,FALSE)</f>
        <v>m</v>
      </c>
      <c r="G24" s="46" t="str">
        <f>VLOOKUP(D24,'Master Data'!A:F,5,FALSE)</f>
        <v>Normal</v>
      </c>
      <c r="H24" s="103"/>
      <c r="I24" s="49" t="s">
        <v>11760</v>
      </c>
      <c r="J24" s="49" t="s">
        <v>11760</v>
      </c>
      <c r="K24" s="49" t="s">
        <v>11760</v>
      </c>
      <c r="L24" s="49"/>
      <c r="M24" s="49" t="s">
        <v>11760</v>
      </c>
      <c r="N24" s="49"/>
      <c r="O24" s="49"/>
      <c r="P24" s="49"/>
    </row>
    <row r="25" spans="1:16" ht="23.25" customHeight="1" x14ac:dyDescent="0.25">
      <c r="A25" s="46" t="str">
        <f>VLOOKUP(D25,'Master Data'!A:F,2,FALSE)</f>
        <v>Rom</v>
      </c>
      <c r="B25" s="46" t="str">
        <f>VLOOKUP(D25,'Master Data'!A:F,3,FALSE)</f>
        <v>Bolliger</v>
      </c>
      <c r="C25" s="47" t="str">
        <f>VLOOKUP(D25,'Master Data'!A:F,6,FALSE)</f>
        <v>rom.bolliger@gmail.com</v>
      </c>
      <c r="D25" s="30" t="s">
        <v>11388</v>
      </c>
      <c r="E25" s="46"/>
      <c r="F25" s="46" t="str">
        <f>VLOOKUP(D25,'Master Data'!A:F,4,FALSE)</f>
        <v>m</v>
      </c>
      <c r="G25" s="46" t="str">
        <f>VLOOKUP(D25,'Master Data'!A:F,5,FALSE)</f>
        <v>Normal</v>
      </c>
      <c r="H25" s="106">
        <v>95</v>
      </c>
      <c r="I25" s="49"/>
      <c r="J25" s="49"/>
      <c r="K25" s="49"/>
      <c r="L25" s="49"/>
      <c r="M25" s="49" t="s">
        <v>11760</v>
      </c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0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1">
        <f>SUM(H7:H31)</f>
        <v>2540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11" priority="1" operator="equal">
      <formula>0</formula>
    </cfRule>
    <cfRule type="expression" dxfId="10" priority="2">
      <formula>ISERROR(A7)</formula>
    </cfRule>
  </conditionalFormatting>
  <pageMargins left="0.41666666666666669" right="0.41666666666666669" top="0.78740157499999996" bottom="0.57750000000000001" header="0" footer="0"/>
  <pageSetup paperSize="9" scale="78" orientation="landscape" r:id="rId1"/>
  <headerFooter>
    <oddFooter>&amp;LSalsaflow Dance Company GmbH Elisabethenanlage 7, 4051 Basel&amp;CSebastian - Tel. 076 218 21 98 Fabio - Tel. 076 478 84 11&amp;R info@salsaflow-dc.com www.salsaflow-dc.com</oddFooter>
  </headerFooter>
  <colBreaks count="1" manualBreakCount="1">
    <brk id="16" max="31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DADADA"/>
  </sheetPr>
  <dimension ref="A1:P1000"/>
  <sheetViews>
    <sheetView topLeftCell="A11" workbookViewId="0">
      <selection activeCell="H18" sqref="H18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11663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>
        <v>46038</v>
      </c>
      <c r="C3" s="8"/>
      <c r="D3" s="41" t="s">
        <v>11276</v>
      </c>
      <c r="E3" s="8" t="s">
        <v>11317</v>
      </c>
      <c r="F3" s="8"/>
      <c r="G3" s="41" t="s">
        <v>11278</v>
      </c>
      <c r="H3" s="8" t="s">
        <v>11664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11322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11323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/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Chuang</v>
      </c>
      <c r="B7" s="46" t="str">
        <f>VLOOKUP(D7,'Master Data'!A:F,3,FALSE)</f>
        <v>Hembo</v>
      </c>
      <c r="C7" s="47" t="str">
        <f>VLOOKUP(D7,'Master Data'!A:F,6,FALSE)</f>
        <v>chuanghembo@gmail.com</v>
      </c>
      <c r="D7" s="33" t="s">
        <v>12054</v>
      </c>
      <c r="E7" s="46"/>
      <c r="F7" s="46" t="str">
        <f>VLOOKUP(D7,'Master Data'!A:F,4,FALSE)</f>
        <v>m</v>
      </c>
      <c r="G7" s="46" t="str">
        <f>VLOOKUP(D7,'Master Data'!A:F,5,FALSE)</f>
        <v>Normal</v>
      </c>
      <c r="H7" s="106">
        <v>30</v>
      </c>
      <c r="I7" s="49"/>
      <c r="J7" s="49"/>
      <c r="K7" s="49"/>
      <c r="L7" s="49"/>
      <c r="M7" s="49"/>
      <c r="N7" s="49"/>
      <c r="O7" s="49"/>
      <c r="P7" s="49"/>
    </row>
    <row r="8" spans="1:16" ht="23.25" customHeight="1" x14ac:dyDescent="0.25">
      <c r="A8" s="46" t="str">
        <f>VLOOKUP(D8,'Master Data'!A:F,2,FALSE)</f>
        <v>Nicole</v>
      </c>
      <c r="B8" s="46" t="str">
        <f>VLOOKUP(D8,'Master Data'!A:F,3,FALSE)</f>
        <v>Brodmann</v>
      </c>
      <c r="C8" s="47" t="str">
        <f>VLOOKUP(D8,'Master Data'!A:F,6,FALSE)</f>
        <v>nicole.brodmann@bluewin.ch</v>
      </c>
      <c r="D8" s="34" t="s">
        <v>11776</v>
      </c>
      <c r="E8" s="46"/>
      <c r="F8" s="46" t="str">
        <f>VLOOKUP(D8,'Master Data'!A:F,4,FALSE)</f>
        <v>w</v>
      </c>
      <c r="G8" s="46" t="str">
        <f>VLOOKUP(D8,'Master Data'!A:F,5,FALSE)</f>
        <v>Normal</v>
      </c>
      <c r="H8" s="103">
        <v>30</v>
      </c>
      <c r="I8" s="49"/>
      <c r="J8" s="49"/>
      <c r="K8" s="49"/>
      <c r="L8" s="49"/>
      <c r="M8" s="49"/>
      <c r="N8" s="49"/>
      <c r="O8" s="49"/>
      <c r="P8" s="49"/>
    </row>
    <row r="9" spans="1:16" ht="23.25" customHeight="1" x14ac:dyDescent="0.25">
      <c r="A9" s="46" t="str">
        <f>VLOOKUP(D9,'Master Data'!A:F,2,FALSE)</f>
        <v>Pascal</v>
      </c>
      <c r="B9" s="46" t="str">
        <f>VLOOKUP(D9,'Master Data'!A:F,3,FALSE)</f>
        <v>Hesse</v>
      </c>
      <c r="C9" s="47" t="str">
        <f>VLOOKUP(D9,'Master Data'!A:F,6,FALSE)</f>
        <v>pascal.lucien.hesse@gmail.com</v>
      </c>
      <c r="D9" s="34" t="s">
        <v>11779</v>
      </c>
      <c r="E9" s="46"/>
      <c r="F9" s="46" t="str">
        <f>VLOOKUP(D9,'Master Data'!A:F,4,FALSE)</f>
        <v>m</v>
      </c>
      <c r="G9" s="46" t="str">
        <f>VLOOKUP(D9,'Master Data'!A:F,5,FALSE)</f>
        <v>Normal</v>
      </c>
      <c r="H9" s="103">
        <v>30</v>
      </c>
      <c r="I9" s="49"/>
      <c r="J9" s="49"/>
      <c r="K9" s="49"/>
      <c r="L9" s="49"/>
      <c r="M9" s="49"/>
      <c r="N9" s="49"/>
      <c r="O9" s="49"/>
      <c r="P9" s="49"/>
    </row>
    <row r="10" spans="1:16" ht="23.25" customHeight="1" x14ac:dyDescent="0.25">
      <c r="A10" s="46" t="str">
        <f>VLOOKUP(D10,'Master Data'!A:F,2,FALSE)</f>
        <v>Rayan</v>
      </c>
      <c r="B10" s="46" t="str">
        <f>VLOOKUP(D10,'Master Data'!A:F,3,FALSE)</f>
        <v>Kieffer</v>
      </c>
      <c r="C10" s="47" t="str">
        <f>VLOOKUP(D10,'Master Data'!A:F,6,FALSE)</f>
        <v>rayan.kieffer@gmail.com</v>
      </c>
      <c r="D10" s="34" t="s">
        <v>8321</v>
      </c>
      <c r="E10" s="46"/>
      <c r="F10" s="46" t="str">
        <f>VLOOKUP(D10,'Master Data'!A:F,4,FALSE)</f>
        <v>m</v>
      </c>
      <c r="G10" s="46" t="str">
        <f>VLOOKUP(D10,'Master Data'!A:F,5,FALSE)</f>
        <v>Normal</v>
      </c>
      <c r="H10" s="106">
        <v>30</v>
      </c>
      <c r="I10" s="49"/>
      <c r="J10" s="49"/>
      <c r="K10" s="49"/>
      <c r="L10" s="49"/>
      <c r="M10" s="49"/>
      <c r="N10" s="49"/>
      <c r="O10" s="49"/>
      <c r="P10" s="49"/>
    </row>
    <row r="11" spans="1:16" ht="23.25" customHeight="1" x14ac:dyDescent="0.25">
      <c r="A11" s="46" t="str">
        <f>VLOOKUP(D11,'Master Data'!A:F,2,FALSE)</f>
        <v>Anne-Marie</v>
      </c>
      <c r="B11" s="46" t="str">
        <f>VLOOKUP(D11,'Master Data'!A:F,3,FALSE)</f>
        <v>Köppen</v>
      </c>
      <c r="C11" s="47" t="str">
        <f>VLOOKUP(D11,'Master Data'!A:F,6,FALSE)</f>
        <v>anne_marie.k@hotmail.com</v>
      </c>
      <c r="D11" s="33" t="s">
        <v>8167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6">
        <v>30</v>
      </c>
      <c r="I11" s="49"/>
      <c r="J11" s="49"/>
      <c r="K11" s="49"/>
      <c r="L11" s="49"/>
      <c r="M11" s="49"/>
      <c r="N11" s="49"/>
      <c r="O11" s="49"/>
      <c r="P11" s="49"/>
    </row>
    <row r="12" spans="1:16" ht="23.25" customHeight="1" x14ac:dyDescent="0.25">
      <c r="A12" s="46" t="str">
        <f>VLOOKUP(D12,'Master Data'!A:F,2,FALSE)</f>
        <v>Ivan</v>
      </c>
      <c r="B12" s="46" t="str">
        <f>VLOOKUP(D12,'Master Data'!A:F,3,FALSE)</f>
        <v>Glushenkov</v>
      </c>
      <c r="C12" s="47" t="str">
        <f>VLOOKUP(D12,'Master Data'!A:F,6,FALSE)</f>
        <v>ivan.glushenkov.data@gmail.com</v>
      </c>
      <c r="D12" s="30" t="s">
        <v>11116</v>
      </c>
      <c r="E12" s="46"/>
      <c r="F12" s="46" t="str">
        <f>VLOOKUP(D12,'Master Data'!A:F,4,FALSE)</f>
        <v>m</v>
      </c>
      <c r="G12" s="46" t="str">
        <f>VLOOKUP(D12,'Master Data'!A:F,5,FALSE)</f>
        <v>Normal</v>
      </c>
      <c r="H12" s="106">
        <v>30</v>
      </c>
      <c r="I12" s="49"/>
      <c r="J12" s="49"/>
      <c r="K12" s="49"/>
      <c r="L12" s="49"/>
      <c r="M12" s="49"/>
      <c r="N12" s="49"/>
      <c r="O12" s="49"/>
      <c r="P12" s="49"/>
    </row>
    <row r="13" spans="1:16" ht="23.25" customHeight="1" x14ac:dyDescent="0.25">
      <c r="A13" s="46" t="str">
        <f>VLOOKUP(D13,'Master Data'!A:F,2,FALSE)</f>
        <v>Sheena</v>
      </c>
      <c r="B13" s="46" t="str">
        <f>VLOOKUP(D13,'Master Data'!A:F,3,FALSE)</f>
        <v>Brechbühl</v>
      </c>
      <c r="C13" s="47" t="str">
        <f>VLOOKUP(D13,'Master Data'!A:F,6,FALSE)</f>
        <v>sheenabre@hotmail.com</v>
      </c>
      <c r="D13" s="33" t="s">
        <v>4718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03">
        <v>30</v>
      </c>
      <c r="I13" s="49"/>
      <c r="J13" s="49"/>
      <c r="K13" s="49"/>
      <c r="L13" s="49"/>
      <c r="M13" s="49"/>
      <c r="N13" s="49"/>
      <c r="O13" s="49"/>
      <c r="P13" s="49"/>
    </row>
    <row r="14" spans="1:16" ht="23.25" customHeight="1" x14ac:dyDescent="0.25">
      <c r="A14" s="46" t="str">
        <f>VLOOKUP(D14,'Master Data'!A:F,2,FALSE)</f>
        <v>Lukas</v>
      </c>
      <c r="B14" s="46" t="str">
        <f>VLOOKUP(D14,'Master Data'!A:F,3,FALSE)</f>
        <v>Müller</v>
      </c>
      <c r="C14" s="47" t="str">
        <f>VLOOKUP(D14,'Master Data'!A:F,6,FALSE)</f>
        <v>lukas79@bluewin.ch</v>
      </c>
      <c r="D14" s="33" t="s">
        <v>12050</v>
      </c>
      <c r="E14" s="46"/>
      <c r="F14" s="46" t="str">
        <f>VLOOKUP(D14,'Master Data'!A:F,4,FALSE)</f>
        <v>m</v>
      </c>
      <c r="G14" s="46" t="str">
        <f>VLOOKUP(D14,'Master Data'!A:F,5,FALSE)</f>
        <v>Normal</v>
      </c>
      <c r="H14" s="106">
        <v>30</v>
      </c>
      <c r="I14" s="49"/>
      <c r="J14" s="49"/>
      <c r="K14" s="49"/>
      <c r="L14" s="49"/>
      <c r="M14" s="49"/>
      <c r="N14" s="49"/>
      <c r="O14" s="49"/>
      <c r="P14" s="49"/>
    </row>
    <row r="15" spans="1:16" ht="23.25" customHeight="1" x14ac:dyDescent="0.25">
      <c r="A15" s="46" t="str">
        <f>VLOOKUP(D15,'Master Data'!A:F,2,FALSE)</f>
        <v>Estelle</v>
      </c>
      <c r="B15" s="46" t="str">
        <f>VLOOKUP(D15,'Master Data'!A:F,3,FALSE)</f>
        <v>Pierrot</v>
      </c>
      <c r="C15" s="47" t="str">
        <f>VLOOKUP(D15,'Master Data'!A:F,6,FALSE)</f>
        <v>stella110@hotmail.fr</v>
      </c>
      <c r="D15" s="33" t="s">
        <v>9894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06">
        <v>30</v>
      </c>
      <c r="I15" s="49"/>
      <c r="J15" s="49"/>
      <c r="K15" s="49"/>
      <c r="L15" s="49"/>
      <c r="M15" s="49"/>
      <c r="N15" s="49"/>
      <c r="O15" s="49"/>
      <c r="P15" s="49"/>
    </row>
    <row r="16" spans="1:16" ht="23.25" customHeight="1" x14ac:dyDescent="0.25">
      <c r="A16" s="46" t="str">
        <f>VLOOKUP(D16,'Master Data'!A:F,2,FALSE)</f>
        <v>Jacov</v>
      </c>
      <c r="B16" s="46" t="str">
        <f>VLOOKUP(D16,'Master Data'!A:F,3,FALSE)</f>
        <v>Bludnikov</v>
      </c>
      <c r="C16" s="47" t="str">
        <f>VLOOKUP(D16,'Master Data'!A:F,6,FALSE)</f>
        <v>04jakov.bludnikov@gmail.com</v>
      </c>
      <c r="D16" s="33" t="s">
        <v>10013</v>
      </c>
      <c r="E16" s="46"/>
      <c r="F16" s="46" t="str">
        <f>VLOOKUP(D16,'Master Data'!A:F,4,FALSE)</f>
        <v>m</v>
      </c>
      <c r="G16" s="46" t="str">
        <f>VLOOKUP(D16,'Master Data'!A:F,5,FALSE)</f>
        <v>Paar</v>
      </c>
      <c r="H16" s="106">
        <v>20</v>
      </c>
      <c r="I16" s="49"/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str">
        <f>VLOOKUP(D17,'Master Data'!A:F,2,FALSE)</f>
        <v>Sven</v>
      </c>
      <c r="B17" s="46" t="str">
        <f>VLOOKUP(D17,'Master Data'!A:F,3,FALSE)</f>
        <v>Hopf</v>
      </c>
      <c r="C17" s="47" t="str">
        <f>VLOOKUP(D17,'Master Data'!A:F,6,FALSE)</f>
        <v>svenhopf@hotmail.com</v>
      </c>
      <c r="D17" s="33" t="s">
        <v>9609</v>
      </c>
      <c r="E17" s="46"/>
      <c r="F17" s="46" t="str">
        <f>VLOOKUP(D17,'Master Data'!A:F,4,FALSE)</f>
        <v>m</v>
      </c>
      <c r="G17" s="46" t="str">
        <f>VLOOKUP(D17,'Master Data'!A:F,5,FALSE)</f>
        <v>Normal</v>
      </c>
      <c r="H17" s="103">
        <v>30</v>
      </c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str">
        <f>VLOOKUP(D18,'Master Data'!A:F,2,FALSE)</f>
        <v>Fernanda</v>
      </c>
      <c r="B18" s="46" t="str">
        <f>VLOOKUP(D18,'Master Data'!A:F,3,FALSE)</f>
        <v>Rychen</v>
      </c>
      <c r="C18" s="47" t="str">
        <f>VLOOKUP(D18,'Master Data'!A:F,6,FALSE)</f>
        <v>tittasland@icloud.com</v>
      </c>
      <c r="D18" s="30" t="s">
        <v>10803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3">
        <v>30</v>
      </c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str">
        <f>VLOOKUP(D19,'Master Data'!A:F,2,FALSE)</f>
        <v>Kalin</v>
      </c>
      <c r="B19" s="46" t="str">
        <f>VLOOKUP(D19,'Master Data'!A:F,3,FALSE)</f>
        <v>Marinov</v>
      </c>
      <c r="C19" s="47" t="str">
        <f>VLOOKUP(D19,'Master Data'!A:F,6,FALSE)</f>
        <v>kalin.marinov977@gmail.com</v>
      </c>
      <c r="D19" s="34" t="s">
        <v>9579</v>
      </c>
      <c r="E19" s="46"/>
      <c r="F19" s="46" t="str">
        <f>VLOOKUP(D19,'Master Data'!A:F,4,FALSE)</f>
        <v>m</v>
      </c>
      <c r="G19" s="46" t="str">
        <f>VLOOKUP(D19,'Master Data'!A:F,5,FALSE)</f>
        <v>Normal</v>
      </c>
      <c r="H19" s="106">
        <v>30</v>
      </c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e">
        <f>VLOOKUP(D20,'Master Data'!A:F,2,FALSE)</f>
        <v>#N/A</v>
      </c>
      <c r="B20" s="46" t="e">
        <f>VLOOKUP(D20,'Master Data'!A:F,3,FALSE)</f>
        <v>#N/A</v>
      </c>
      <c r="C20" s="47" t="e">
        <f>VLOOKUP(D20,'Master Data'!A:F,6,FALSE)</f>
        <v>#N/A</v>
      </c>
      <c r="D20" s="33"/>
      <c r="E20" s="46"/>
      <c r="F20" s="46" t="e">
        <f>VLOOKUP(D20,'Master Data'!A:F,4,FALSE)</f>
        <v>#N/A</v>
      </c>
      <c r="G20" s="46" t="e">
        <f>VLOOKUP(D20,'Master Data'!A:F,5,FALSE)</f>
        <v>#N/A</v>
      </c>
      <c r="H20" s="48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e">
        <f>VLOOKUP(D21,'Master Data'!A:F,2,FALSE)</f>
        <v>#N/A</v>
      </c>
      <c r="B21" s="46" t="e">
        <f>VLOOKUP(D21,'Master Data'!A:F,3,FALSE)</f>
        <v>#N/A</v>
      </c>
      <c r="C21" s="47" t="e">
        <f>VLOOKUP(D21,'Master Data'!A:F,6,FALSE)</f>
        <v>#N/A</v>
      </c>
      <c r="D21" s="33"/>
      <c r="E21" s="46"/>
      <c r="F21" s="46" t="e">
        <f>VLOOKUP(D21,'Master Data'!A:F,4,FALSE)</f>
        <v>#N/A</v>
      </c>
      <c r="G21" s="46" t="e">
        <f>VLOOKUP(D21,'Master Data'!A:F,5,FALSE)</f>
        <v>#N/A</v>
      </c>
      <c r="H21" s="48"/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e">
        <f>VLOOKUP(D22,'Master Data'!A:F,2,FALSE)</f>
        <v>#N/A</v>
      </c>
      <c r="B22" s="46" t="e">
        <f>VLOOKUP(D22,'Master Data'!A:F,3,FALSE)</f>
        <v>#N/A</v>
      </c>
      <c r="C22" s="47" t="e">
        <f>VLOOKUP(D22,'Master Data'!A:F,6,FALSE)</f>
        <v>#N/A</v>
      </c>
      <c r="D22" s="33"/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48"/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e">
        <f>VLOOKUP(D23,'Master Data'!A:F,2,FALSE)</f>
        <v>#N/A</v>
      </c>
      <c r="B23" s="46" t="e">
        <f>VLOOKUP(D23,'Master Data'!A:F,3,FALSE)</f>
        <v>#N/A</v>
      </c>
      <c r="C23" s="47" t="e">
        <f>VLOOKUP(D23,'Master Data'!A:F,6,FALSE)</f>
        <v>#N/A</v>
      </c>
      <c r="D23" s="33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48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e">
        <f>VLOOKUP(D24,'Master Data'!A:F,2,FALSE)</f>
        <v>#N/A</v>
      </c>
      <c r="B24" s="46" t="e">
        <f>VLOOKUP(D24,'Master Data'!A:F,3,FALSE)</f>
        <v>#N/A</v>
      </c>
      <c r="C24" s="47" t="e">
        <f>VLOOKUP(D24,'Master Data'!A:F,6,FALSE)</f>
        <v>#N/A</v>
      </c>
      <c r="D24" s="33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48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33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48"/>
      <c r="I25" s="49"/>
      <c r="J25" s="49"/>
      <c r="K25" s="53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33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48"/>
      <c r="I26" s="49"/>
      <c r="J26" s="49"/>
      <c r="K26" s="49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Data'!A:F,6,FALSE)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48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Data'!A:F,6,FALSE)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48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Data'!A:F,6,FALSE)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48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Data'!A:F,6,FALSE)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48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Data'!A:F,6,FALSE)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48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55"/>
      <c r="E32" s="31"/>
      <c r="F32" s="31"/>
      <c r="G32" s="51" t="s">
        <v>11290</v>
      </c>
      <c r="H32" s="51">
        <f>SUM(H7:H29)</f>
        <v>380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9" priority="1" operator="equal">
      <formula>0</formula>
    </cfRule>
    <cfRule type="expression" dxfId="8" priority="2">
      <formula>ISERROR(A7)</formula>
    </cfRule>
  </conditionalFormatting>
  <pageMargins left="0.41666666666666669" right="0.41666666666666669" top="0.78740157499999996" bottom="0.78740157499999996" header="0" footer="0"/>
  <pageSetup paperSize="9" scale="76" orientation="landscape"/>
  <headerFooter>
    <oddFooter>&amp;LSalsaflow Dance Company KLG Aeschenvorstadt 67, 4051 Basel&amp;CSebastian - Tel. 076 218 21 98 Fabio - Tel. 076 478 84 11&amp;Rinfo@salsaflow-dc.com www.salsaflow-dc.com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CDB0-7960-43DC-89BB-03EC6189874A}">
  <sheetPr>
    <tabColor rgb="FFDADADA"/>
  </sheetPr>
  <dimension ref="A1:P1000"/>
  <sheetViews>
    <sheetView topLeftCell="A12" workbookViewId="0">
      <selection activeCell="H33" sqref="H33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12012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>
        <v>46059</v>
      </c>
      <c r="C3" s="8"/>
      <c r="D3" s="41" t="s">
        <v>11276</v>
      </c>
      <c r="E3" s="8" t="s">
        <v>11317</v>
      </c>
      <c r="F3" s="8"/>
      <c r="G3" s="41" t="s">
        <v>11278</v>
      </c>
      <c r="H3" s="8" t="s">
        <v>6149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11324</v>
      </c>
      <c r="C4" s="8"/>
      <c r="D4" s="41" t="s">
        <v>11282</v>
      </c>
      <c r="E4" s="8" t="s">
        <v>11325</v>
      </c>
      <c r="F4" s="8"/>
      <c r="G4" s="41" t="s">
        <v>11284</v>
      </c>
      <c r="H4" s="8" t="s">
        <v>11326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/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Salome</v>
      </c>
      <c r="B7" s="46" t="str">
        <f>VLOOKUP(D7,'Master Data'!A:F,3,FALSE)</f>
        <v>Amstutz</v>
      </c>
      <c r="C7" s="47" t="str">
        <f>VLOOKUP(D7,'Master Data'!A:F,6,FALSE)</f>
        <v>salome.amstutz@gmail.com</v>
      </c>
      <c r="D7" s="34" t="s">
        <v>11978</v>
      </c>
      <c r="E7" s="46"/>
      <c r="F7" s="46" t="str">
        <f>VLOOKUP(D7,'Master Data'!A:F,4,FALSE)</f>
        <v>w</v>
      </c>
      <c r="G7" s="46" t="str">
        <f>VLOOKUP(D7,'Master Data'!A:F,5,FALSE)</f>
        <v>Paar</v>
      </c>
      <c r="H7" s="110">
        <v>25</v>
      </c>
      <c r="I7" s="49"/>
      <c r="J7" s="49"/>
      <c r="K7" s="49"/>
      <c r="L7" s="49"/>
      <c r="M7" s="49"/>
      <c r="N7" s="49"/>
      <c r="O7" s="49"/>
      <c r="P7" s="49"/>
    </row>
    <row r="8" spans="1:16" ht="23.25" customHeight="1" x14ac:dyDescent="0.25">
      <c r="A8" s="46" t="str">
        <f>VLOOKUP(D8,'Master Data'!A:F,2,FALSE)</f>
        <v>Lea</v>
      </c>
      <c r="B8" s="46" t="str">
        <f>VLOOKUP(D8,'Master Data'!A:F,3,FALSE)</f>
        <v>Schmutz</v>
      </c>
      <c r="C8" s="47" t="str">
        <f>VLOOKUP(D8,'Master Data'!A:F,6,FALSE)</f>
        <v>lea.schmutz01@gmail.com</v>
      </c>
      <c r="D8" s="34" t="s">
        <v>12013</v>
      </c>
      <c r="E8" s="46"/>
      <c r="F8" s="46" t="s">
        <v>411</v>
      </c>
      <c r="G8" s="46" t="str">
        <f>VLOOKUP(D8,'Master Data'!A:F,5,FALSE)</f>
        <v>Normal</v>
      </c>
      <c r="H8" s="109">
        <v>25</v>
      </c>
      <c r="I8" s="49"/>
      <c r="J8" s="49"/>
      <c r="K8" s="49"/>
      <c r="L8" s="49"/>
      <c r="M8" s="49"/>
      <c r="N8" s="49"/>
      <c r="O8" s="49"/>
      <c r="P8" s="49"/>
    </row>
    <row r="9" spans="1:16" ht="23.25" customHeight="1" x14ac:dyDescent="0.25">
      <c r="A9" s="46" t="str">
        <f>VLOOKUP(D9,'Master Data'!A:F,2,FALSE)</f>
        <v>Jane</v>
      </c>
      <c r="B9" s="46" t="str">
        <f>VLOOKUP(D9,'Master Data'!A:F,3,FALSE)</f>
        <v>Danson</v>
      </c>
      <c r="C9" s="47" t="str">
        <f>VLOOKUP(D9,'Master Data'!A:F,6,FALSE)</f>
        <v>jane.danson@gmx.ch</v>
      </c>
      <c r="D9" s="34" t="s">
        <v>5237</v>
      </c>
      <c r="E9" s="46"/>
      <c r="F9" s="46" t="str">
        <f>VLOOKUP(D9,'Master Data'!A:F,4,FALSE)</f>
        <v>w</v>
      </c>
      <c r="G9" s="46" t="str">
        <f>VLOOKUP(D9,'Master Data'!A:F,5,FALSE)</f>
        <v>Normal</v>
      </c>
      <c r="H9" s="110">
        <v>30</v>
      </c>
      <c r="I9" s="49"/>
      <c r="J9" s="49"/>
      <c r="K9" s="49"/>
      <c r="L9" s="49"/>
      <c r="M9" s="49"/>
      <c r="N9" s="49"/>
      <c r="O9" s="49"/>
      <c r="P9" s="49"/>
    </row>
    <row r="10" spans="1:16" ht="23.25" customHeight="1" x14ac:dyDescent="0.25">
      <c r="A10" s="46" t="str">
        <f>VLOOKUP(D10,'Master Data'!A:F,2,FALSE)</f>
        <v>Julie</v>
      </c>
      <c r="B10" s="46" t="str">
        <f>VLOOKUP(D10,'Master Data'!A:F,3,FALSE)</f>
        <v>Bäbler</v>
      </c>
      <c r="C10" s="47" t="str">
        <f>VLOOKUP(D10,'Master Data'!A:F,6,FALSE)</f>
        <v>julie.baebler@gmx.ch</v>
      </c>
      <c r="D10" s="34" t="s">
        <v>12032</v>
      </c>
      <c r="E10" s="46"/>
      <c r="F10" s="46" t="str">
        <f>VLOOKUP(D10,'Master Data'!A:F,4,FALSE)</f>
        <v>w</v>
      </c>
      <c r="G10" s="46" t="str">
        <f>VLOOKUP(D10,'Master Data'!A:F,5,FALSE)</f>
        <v>Normal</v>
      </c>
      <c r="H10" s="110">
        <v>25</v>
      </c>
      <c r="I10" s="49"/>
      <c r="J10" s="49"/>
      <c r="K10" s="49"/>
      <c r="L10" s="49"/>
      <c r="M10" s="49"/>
      <c r="N10" s="49"/>
      <c r="O10" s="49"/>
      <c r="P10" s="49"/>
    </row>
    <row r="11" spans="1:16" ht="23.25" customHeight="1" x14ac:dyDescent="0.25">
      <c r="A11" s="46" t="str">
        <f>VLOOKUP(D11,'Master Data'!A:F,2,FALSE)</f>
        <v>Deborah</v>
      </c>
      <c r="B11" s="46" t="str">
        <f>VLOOKUP(D11,'Master Data'!A:F,3,FALSE)</f>
        <v>Zängerle</v>
      </c>
      <c r="C11" s="47" t="str">
        <f>VLOOKUP(D11,'Master Data'!A:F,6,FALSE)</f>
        <v>deborah.zaengerle@gmail.com</v>
      </c>
      <c r="D11" s="19" t="s">
        <v>10695</v>
      </c>
      <c r="E11" s="46"/>
      <c r="F11" s="46" t="str">
        <f>VLOOKUP(D11,'Master Data'!A:F,4,FALSE)</f>
        <v>w</v>
      </c>
      <c r="G11" s="46" t="str">
        <f>VLOOKUP(D11,'Master Data'!A:F,5,FALSE)</f>
        <v>Normal</v>
      </c>
      <c r="H11" s="109">
        <v>30</v>
      </c>
      <c r="I11" s="49"/>
      <c r="J11" s="49"/>
      <c r="K11" s="49"/>
      <c r="L11" s="49"/>
      <c r="M11" s="49"/>
      <c r="N11" s="49"/>
      <c r="O11" s="49"/>
      <c r="P11" s="49"/>
    </row>
    <row r="12" spans="1:16" ht="23.25" customHeight="1" x14ac:dyDescent="0.25">
      <c r="A12" s="46" t="str">
        <f>VLOOKUP(D12,'Master Data'!A:F,2,FALSE)</f>
        <v>Oxana</v>
      </c>
      <c r="B12" s="46" t="str">
        <f>VLOOKUP(D12,'Master Data'!A:F,3,FALSE)</f>
        <v>Janz</v>
      </c>
      <c r="C12" s="47" t="str">
        <f>VLOOKUP(D12,'Master Data'!A:F,6,FALSE)</f>
        <v>anzoxan@gmail.com</v>
      </c>
      <c r="D12" s="19" t="s">
        <v>11463</v>
      </c>
      <c r="E12" s="46"/>
      <c r="F12" s="46" t="str">
        <f>VLOOKUP(D12,'Master Data'!A:F,4,FALSE)</f>
        <v>w</v>
      </c>
      <c r="G12" s="46" t="str">
        <f>VLOOKUP(D12,'Master Data'!A:F,5,FALSE)</f>
        <v>Normal</v>
      </c>
      <c r="H12" s="109">
        <v>30</v>
      </c>
      <c r="I12" s="49"/>
      <c r="J12" s="49"/>
      <c r="K12" s="49"/>
      <c r="L12" s="49"/>
      <c r="M12" s="49"/>
      <c r="N12" s="49"/>
      <c r="O12" s="49"/>
      <c r="P12" s="49"/>
    </row>
    <row r="13" spans="1:16" ht="23.25" customHeight="1" x14ac:dyDescent="0.25">
      <c r="A13" s="46" t="str">
        <f>VLOOKUP(D13,'Master Data'!A:F,2,FALSE)</f>
        <v>Cinthya</v>
      </c>
      <c r="B13" s="46" t="str">
        <f>VLOOKUP(D13,'Master Data'!A:F,3,FALSE)</f>
        <v>Márquez Téllez</v>
      </c>
      <c r="C13" s="47" t="str">
        <f>VLOOKUP(D13,'Master Data'!A:F,6,FALSE)</f>
        <v>tellezm.cinthya@gmail.com</v>
      </c>
      <c r="D13" s="33" t="s">
        <v>10758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10">
        <v>25</v>
      </c>
      <c r="I13" s="49"/>
      <c r="J13" s="49"/>
      <c r="K13" s="49"/>
      <c r="L13" s="49"/>
      <c r="M13" s="49"/>
      <c r="N13" s="49"/>
      <c r="O13" s="49"/>
      <c r="P13" s="49"/>
    </row>
    <row r="14" spans="1:16" ht="23.25" customHeight="1" x14ac:dyDescent="0.25">
      <c r="A14" s="46" t="str">
        <f>VLOOKUP(D14,'Master Data'!A:F,2,FALSE)</f>
        <v>Charlotte</v>
      </c>
      <c r="B14" s="46" t="str">
        <f>VLOOKUP(D14,'Master Data'!A:F,3,FALSE)</f>
        <v>Mellor</v>
      </c>
      <c r="C14" s="47" t="str">
        <f>VLOOKUP(D14,'Master Data'!A:F,6,FALSE)</f>
        <v>chazmellor@yahoo.co.uk</v>
      </c>
      <c r="D14" s="33" t="s">
        <v>9646</v>
      </c>
      <c r="E14" s="46"/>
      <c r="F14" s="46" t="str">
        <f>VLOOKUP(D14,'Master Data'!A:F,4,FALSE)</f>
        <v>w</v>
      </c>
      <c r="G14" s="46" t="str">
        <f>VLOOKUP(D14,'Master Data'!A:F,5,FALSE)</f>
        <v>Normal</v>
      </c>
      <c r="H14" s="109">
        <v>25</v>
      </c>
      <c r="I14" s="49"/>
      <c r="J14" s="49"/>
      <c r="K14" s="49"/>
      <c r="L14" s="49"/>
      <c r="M14" s="49"/>
      <c r="N14" s="49"/>
      <c r="O14" s="49"/>
      <c r="P14" s="49"/>
    </row>
    <row r="15" spans="1:16" ht="23.25" customHeight="1" x14ac:dyDescent="0.25">
      <c r="A15" s="46" t="str">
        <f>VLOOKUP(D15,'Master Data'!A:F,2,FALSE)</f>
        <v>Sarah</v>
      </c>
      <c r="B15" s="46" t="str">
        <f>VLOOKUP(D15,'Master Data'!A:F,3,FALSE)</f>
        <v>Obrist</v>
      </c>
      <c r="C15" s="47" t="str">
        <f>VLOOKUP(D15,'Master Data'!A:F,6,FALSE)</f>
        <v>sarah-obrist@hotmail.com</v>
      </c>
      <c r="D15" s="33" t="s">
        <v>10874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110">
        <v>30</v>
      </c>
      <c r="I15" s="49"/>
      <c r="J15" s="49"/>
      <c r="K15" s="49"/>
      <c r="L15" s="49"/>
      <c r="M15" s="49"/>
      <c r="N15" s="49"/>
      <c r="O15" s="49"/>
      <c r="P15" s="49"/>
    </row>
    <row r="16" spans="1:16" ht="23.25" customHeight="1" x14ac:dyDescent="0.25">
      <c r="A16" s="46" t="str">
        <f>VLOOKUP(D16,'Master Data'!A:F,2,FALSE)</f>
        <v>Lorena</v>
      </c>
      <c r="B16" s="46" t="str">
        <f>VLOOKUP(D16,'Master Data'!A:F,3,FALSE)</f>
        <v>Madarena</v>
      </c>
      <c r="C16" s="47" t="str">
        <f>VLOOKUP(D16,'Master Data'!A:F,6,FALSE)</f>
        <v>lorena.madarena@bluewin.ch</v>
      </c>
      <c r="D16" s="19" t="s">
        <v>12058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110">
        <v>30</v>
      </c>
      <c r="I16" s="49"/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str">
        <f>VLOOKUP(D17,'Master Data'!A:F,2,FALSE)</f>
        <v>Rachel</v>
      </c>
      <c r="B17" s="46" t="str">
        <f>VLOOKUP(D17,'Master Data'!A:F,3,FALSE)</f>
        <v>Marley</v>
      </c>
      <c r="C17" s="47" t="str">
        <f>VLOOKUP(D17,'Master Data'!A:F,6,FALSE)</f>
        <v>rachel.marley@hotmail.com</v>
      </c>
      <c r="D17" s="19" t="s">
        <v>9919</v>
      </c>
      <c r="E17" s="46"/>
      <c r="F17" s="46" t="str">
        <f>VLOOKUP(D17,'Master Data'!A:F,4,FALSE)</f>
        <v>w</v>
      </c>
      <c r="G17" s="46" t="str">
        <f>VLOOKUP(D17,'Master Data'!A:F,5,FALSE)</f>
        <v>Normal</v>
      </c>
      <c r="H17" s="109">
        <v>30</v>
      </c>
      <c r="I17" s="49"/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str">
        <f>VLOOKUP(D18,'Master Data'!A:F,2,FALSE)</f>
        <v>Viktoria</v>
      </c>
      <c r="B18" s="46" t="str">
        <f>VLOOKUP(D18,'Master Data'!A:F,3,FALSE)</f>
        <v>Nömer</v>
      </c>
      <c r="C18" s="47" t="str">
        <f>VLOOKUP(D18,'Master Data'!A:F,6,FALSE)</f>
        <v>viktoria.noemer@gmx.de</v>
      </c>
      <c r="D18" s="19" t="s">
        <v>7770</v>
      </c>
      <c r="E18" s="46"/>
      <c r="F18" s="46" t="str">
        <f>VLOOKUP(D18,'Master Data'!A:F,4,FALSE)</f>
        <v>w</v>
      </c>
      <c r="G18" s="46" t="str">
        <f>VLOOKUP(D18,'Master Data'!A:F,5,FALSE)</f>
        <v>Normal</v>
      </c>
      <c r="H18" s="109">
        <v>30</v>
      </c>
      <c r="I18" s="49"/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str">
        <f>VLOOKUP(D19,'Master Data'!A:F,2,FALSE)</f>
        <v>Sharah</v>
      </c>
      <c r="B19" s="46" t="str">
        <f>VLOOKUP(D19,'Master Data'!A:F,3,FALSE)</f>
        <v>Meszaros</v>
      </c>
      <c r="C19" s="47" t="str">
        <f>VLOOKUP(D19,'Master Data'!A:F,6,FALSE)</f>
        <v>sharah.meszaros@gmail.com</v>
      </c>
      <c r="D19" s="30" t="s">
        <v>10777</v>
      </c>
      <c r="E19" s="46"/>
      <c r="F19" s="46" t="str">
        <f>VLOOKUP(D19,'Master Data'!A:F,4,FALSE)</f>
        <v>w</v>
      </c>
      <c r="G19" s="46" t="str">
        <f>VLOOKUP(D19,'Master Data'!A:F,5,FALSE)</f>
        <v>Normal</v>
      </c>
      <c r="H19" s="110">
        <v>30</v>
      </c>
      <c r="I19" s="49"/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str">
        <f>VLOOKUP(D20,'Master Data'!A:F,2,FALSE)</f>
        <v>Jenny</v>
      </c>
      <c r="B20" s="46" t="str">
        <f>VLOOKUP(D20,'Master Data'!A:F,3,FALSE)</f>
        <v>Castro</v>
      </c>
      <c r="C20" s="47" t="str">
        <f>VLOOKUP(D20,'Master Data'!A:F,6,FALSE)</f>
        <v>castro.jenny@hotmail.ch</v>
      </c>
      <c r="D20" s="30" t="s">
        <v>7183</v>
      </c>
      <c r="E20" s="46"/>
      <c r="F20" s="46" t="str">
        <f>VLOOKUP(D20,'Master Data'!A:F,4,FALSE)</f>
        <v>w</v>
      </c>
      <c r="G20" s="46" t="str">
        <f>VLOOKUP(D20,'Master Data'!A:F,5,FALSE)</f>
        <v>Pushflow</v>
      </c>
      <c r="H20" s="109"/>
      <c r="I20" s="49"/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str">
        <f>VLOOKUP(D21,'Master Data'!A:F,2,FALSE)</f>
        <v>Nina</v>
      </c>
      <c r="B21" s="46" t="str">
        <f>VLOOKUP(D21,'Master Data'!A:F,3,FALSE)</f>
        <v>Vitkovic</v>
      </c>
      <c r="C21" s="47" t="str">
        <f>VLOOKUP(D21,'Master Data'!A:F,6,FALSE)</f>
        <v>n.vitkovic@hotmail.com</v>
      </c>
      <c r="D21" s="19" t="s">
        <v>12075</v>
      </c>
      <c r="E21" s="46"/>
      <c r="F21" s="46" t="str">
        <f>VLOOKUP(D21,'Master Data'!A:F,4,FALSE)</f>
        <v>w</v>
      </c>
      <c r="G21" s="46" t="str">
        <f>VLOOKUP(D21,'Master Data'!A:F,5,FALSE)</f>
        <v>Normal</v>
      </c>
      <c r="H21" s="109">
        <v>30</v>
      </c>
      <c r="I21" s="49"/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str">
        <f>VLOOKUP(D22,'Master Data'!A:F,2,FALSE)</f>
        <v>Barbara</v>
      </c>
      <c r="B22" s="46" t="str">
        <f>VLOOKUP(D22,'Master Data'!A:F,3,FALSE)</f>
        <v>Ligresti</v>
      </c>
      <c r="C22" s="47" t="str">
        <f>VLOOKUP(D22,'Master Data'!A:F,6,FALSE)</f>
        <v>igrestib@aol.com</v>
      </c>
      <c r="D22" s="30" t="s">
        <v>12078</v>
      </c>
      <c r="E22" s="46"/>
      <c r="F22" s="46" t="str">
        <f>VLOOKUP(D22,'Master Data'!A:F,4,FALSE)</f>
        <v>w</v>
      </c>
      <c r="G22" s="46" t="str">
        <f>VLOOKUP(D22,'Master Data'!A:F,5,FALSE)</f>
        <v>Normal</v>
      </c>
      <c r="H22" s="109">
        <v>30</v>
      </c>
      <c r="I22" s="49"/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 t="str">
        <f>VLOOKUP(D23,'Master Data'!A:F,2,FALSE)</f>
        <v xml:space="preserve">Rabea </v>
      </c>
      <c r="B23" s="46" t="str">
        <f>VLOOKUP(D23,'Master Data'!A:F,3,FALSE)</f>
        <v>Widmer</v>
      </c>
      <c r="C23" s="47" t="str">
        <f>VLOOKUP(D23,'Master Data'!A:F,6,FALSE)</f>
        <v>widmerrabea@gmail.com</v>
      </c>
      <c r="D23" s="30" t="s">
        <v>6531</v>
      </c>
      <c r="E23" s="46"/>
      <c r="F23" s="46" t="str">
        <f>VLOOKUP(D23,'Master Data'!A:F,4,FALSE)</f>
        <v>w</v>
      </c>
      <c r="G23" s="46" t="str">
        <f>VLOOKUP(D23,'Master Data'!A:F,5,FALSE)</f>
        <v>Pushflow</v>
      </c>
      <c r="H23" s="109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 t="str">
        <f>VLOOKUP(D24,'Master Data'!A:F,2,FALSE)</f>
        <v>Patricia Maria</v>
      </c>
      <c r="B24" s="46" t="str">
        <f>VLOOKUP(D24,'Master Data'!A:F,3,FALSE)</f>
        <v>Schaad</v>
      </c>
      <c r="C24" s="47" t="str">
        <f>VLOOKUP(D24,'Master Data'!A:F,6,FALSE)</f>
        <v>patricia.schaad@students.fhnw.ch</v>
      </c>
      <c r="D24" s="30" t="s">
        <v>4388</v>
      </c>
      <c r="E24" s="46"/>
      <c r="F24" s="46" t="str">
        <f>VLOOKUP(D24,'Master Data'!A:F,4,FALSE)</f>
        <v>w</v>
      </c>
      <c r="G24" s="46" t="str">
        <f>VLOOKUP(D24,'Master Data'!A:F,5,FALSE)</f>
        <v>Normal</v>
      </c>
      <c r="H24" s="109">
        <v>30</v>
      </c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 t="e">
        <f>VLOOKUP(D25,'Master Data'!A:F,2,FALSE)</f>
        <v>#N/A</v>
      </c>
      <c r="B25" s="46" t="e">
        <f>VLOOKUP(D25,'Master Data'!A:F,3,FALSE)</f>
        <v>#N/A</v>
      </c>
      <c r="C25" s="47" t="e">
        <f>VLOOKUP(D25,'Master Data'!A:F,6,FALSE)</f>
        <v>#N/A</v>
      </c>
      <c r="D25" s="19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52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Data'!A:F,6,FALSE)</f>
        <v>#N/A</v>
      </c>
      <c r="D26" s="19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52"/>
      <c r="I26" s="49"/>
      <c r="J26" s="49"/>
      <c r="K26" s="53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Data'!A:F,5,FALSE)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52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Data'!A:F,5,FALSE)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52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Data'!A:F,5,FALSE)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52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Data'!A:F,5,FALSE)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52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52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2">
        <f>SUM(H7:H31)</f>
        <v>455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7" priority="1" operator="equal">
      <formula>0</formula>
    </cfRule>
    <cfRule type="expression" dxfId="6" priority="2">
      <formula>ISERROR(A7)</formula>
    </cfRule>
  </conditionalFormatting>
  <pageMargins left="0.41666666666666669" right="0.41666666666666669" top="0.78740157499999996" bottom="0.78740157499999996" header="0" footer="0"/>
  <pageSetup paperSize="9" scale="76" orientation="landscape" r:id="rId1"/>
  <headerFooter>
    <oddFooter>&amp;LSalsaflow Dance Company KLG Aeschenvorstadt 67, 4051 Basel&amp;CSebastian - Tel. 076 218 21 98 Fabio - Tel. 076 478 84 11&amp;Rinfo@salsaflow-dc.com www.salsaflow-dc.com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DADADA"/>
  </sheetPr>
  <dimension ref="A1:P1000"/>
  <sheetViews>
    <sheetView workbookViewId="0">
      <selection activeCell="H15" sqref="H15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12105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42">
        <v>46073</v>
      </c>
      <c r="C3" s="8"/>
      <c r="D3" s="41" t="s">
        <v>11276</v>
      </c>
      <c r="E3" s="8" t="s">
        <v>11317</v>
      </c>
      <c r="F3" s="8"/>
      <c r="G3" s="41" t="s">
        <v>11278</v>
      </c>
      <c r="H3" s="8" t="s">
        <v>12095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11324</v>
      </c>
      <c r="C4" s="8"/>
      <c r="D4" s="41" t="s">
        <v>11282</v>
      </c>
      <c r="E4" s="8" t="s">
        <v>11325</v>
      </c>
      <c r="F4" s="8"/>
      <c r="G4" s="41" t="s">
        <v>11284</v>
      </c>
      <c r="H4" s="8" t="s">
        <v>11326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/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Regula</v>
      </c>
      <c r="B7" s="46" t="str">
        <f>VLOOKUP(D7,'Master Data'!A:F,3,FALSE)</f>
        <v>Rudolf von Rohr</v>
      </c>
      <c r="C7" s="47" t="str">
        <f>VLOOKUP(D7,'Master Data'!A:F,6,FALSE)</f>
        <v>regula.rvr@hotmail.com</v>
      </c>
      <c r="D7" s="34" t="s">
        <v>5841</v>
      </c>
      <c r="E7" s="46" t="s">
        <v>12104</v>
      </c>
      <c r="F7" s="46" t="str">
        <f>VLOOKUP(D7,'Master Data'!A:F,4,FALSE)</f>
        <v>w</v>
      </c>
      <c r="G7" s="46" t="str">
        <f>VLOOKUP(D7,'Master Data'!A:F,5,FALSE)</f>
        <v>Normal</v>
      </c>
      <c r="H7" s="110">
        <v>30</v>
      </c>
      <c r="I7" s="49" t="s">
        <v>11941</v>
      </c>
      <c r="J7" s="49"/>
      <c r="K7" s="49"/>
      <c r="L7" s="49"/>
      <c r="M7" s="49"/>
      <c r="N7" s="49"/>
      <c r="O7" s="49"/>
      <c r="P7" s="49"/>
    </row>
    <row r="8" spans="1:16" ht="23.25" customHeight="1" x14ac:dyDescent="0.25">
      <c r="A8" s="46" t="str">
        <f>VLOOKUP(D8,'Master Data'!A:F,2,FALSE)</f>
        <v>Andreas</v>
      </c>
      <c r="B8" s="46" t="str">
        <f>VLOOKUP(D8,'Master Data'!A:F,3,FALSE)</f>
        <v>Böswarth</v>
      </c>
      <c r="C8" s="47" t="str">
        <f>VLOOKUP(D8,'Master Data'!A:F,6,FALSE)</f>
        <v>andreas.boeswarth@gmail.com</v>
      </c>
      <c r="D8" s="34" t="s">
        <v>12096</v>
      </c>
      <c r="E8" s="46" t="s">
        <v>12104</v>
      </c>
      <c r="F8" s="46" t="str">
        <f>VLOOKUP(D8,'Master Data'!A:F,4,FALSE)</f>
        <v>m</v>
      </c>
      <c r="G8" s="46" t="str">
        <f>VLOOKUP(D8,'Master Data'!A:F,5,FALSE)</f>
        <v>Normal</v>
      </c>
      <c r="H8" s="52"/>
      <c r="I8" s="49" t="s">
        <v>11754</v>
      </c>
      <c r="J8" s="49"/>
      <c r="K8" s="49"/>
      <c r="L8" s="49"/>
      <c r="M8" s="49"/>
      <c r="N8" s="49"/>
      <c r="O8" s="49"/>
      <c r="P8" s="49"/>
    </row>
    <row r="9" spans="1:16" ht="23.25" customHeight="1" x14ac:dyDescent="0.25">
      <c r="A9" s="46" t="str">
        <f>VLOOKUP(D9,'Master Data'!A:F,2,FALSE)</f>
        <v>Svenja</v>
      </c>
      <c r="B9" s="46" t="str">
        <f>VLOOKUP(D9,'Master Data'!A:F,3,FALSE)</f>
        <v>Gottschalk</v>
      </c>
      <c r="C9" s="47" t="str">
        <f>VLOOKUP(D9,'Master Data'!A:F,6,FALSE)</f>
        <v>svenja.gottschalk@roche.com</v>
      </c>
      <c r="D9" s="34" t="s">
        <v>12100</v>
      </c>
      <c r="E9" s="46" t="s">
        <v>12104</v>
      </c>
      <c r="F9" s="46" t="str">
        <f>VLOOKUP(D9,'Master Data'!A:F,4,FALSE)</f>
        <v>w</v>
      </c>
      <c r="G9" s="46" t="str">
        <f>VLOOKUP(D9,'Master Data'!A:F,5,FALSE)</f>
        <v>Normal</v>
      </c>
      <c r="H9" s="52"/>
      <c r="I9" s="49" t="s">
        <v>11754</v>
      </c>
      <c r="J9" s="49"/>
      <c r="K9" s="49"/>
      <c r="L9" s="49"/>
      <c r="M9" s="49"/>
      <c r="N9" s="49"/>
      <c r="O9" s="49"/>
      <c r="P9" s="49"/>
    </row>
    <row r="10" spans="1:16" ht="23.25" customHeight="1" x14ac:dyDescent="0.25">
      <c r="A10" s="46" t="str">
        <f>VLOOKUP(D10,'Master Data'!A:F,2,FALSE)</f>
        <v>Alexandra</v>
      </c>
      <c r="B10" s="46" t="str">
        <f>VLOOKUP(D10,'Master Data'!A:F,3,FALSE)</f>
        <v>Daniel</v>
      </c>
      <c r="C10" s="47" t="str">
        <f>VLOOKUP(D10,'Master Data'!A:F,6,FALSE)</f>
        <v>danielalexandra970@gmail.com</v>
      </c>
      <c r="D10" s="34" t="s">
        <v>8841</v>
      </c>
      <c r="E10" s="46" t="s">
        <v>12104</v>
      </c>
      <c r="F10" s="46" t="str">
        <f>VLOOKUP(D10,'Master Data'!A:F,4,FALSE)</f>
        <v>w</v>
      </c>
      <c r="G10" s="46" t="str">
        <f>VLOOKUP(D10,'Master Data'!A:F,5,FALSE)</f>
        <v>Paar</v>
      </c>
      <c r="H10" s="52"/>
      <c r="I10" s="49" t="s">
        <v>11754</v>
      </c>
      <c r="J10" s="49"/>
      <c r="K10" s="49"/>
      <c r="L10" s="49"/>
      <c r="M10" s="49"/>
      <c r="N10" s="49"/>
      <c r="O10" s="49"/>
      <c r="P10" s="49"/>
    </row>
    <row r="11" spans="1:16" ht="23.25" customHeight="1" x14ac:dyDescent="0.25">
      <c r="A11" s="46" t="s">
        <v>3877</v>
      </c>
      <c r="B11" s="46" t="s">
        <v>12107</v>
      </c>
      <c r="C11" s="47" t="e">
        <f>VLOOKUP(D11,'Master Data'!A:F,6,FALSE)</f>
        <v>#N/A</v>
      </c>
      <c r="D11" s="33" t="s">
        <v>12106</v>
      </c>
      <c r="E11" s="46"/>
      <c r="F11" s="46" t="s">
        <v>411</v>
      </c>
      <c r="G11" s="46" t="e">
        <f>VLOOKUP(D11,'Master Data'!A:F,5,FALSE)</f>
        <v>#N/A</v>
      </c>
      <c r="H11" s="52">
        <v>30</v>
      </c>
      <c r="I11" s="49" t="s">
        <v>11941</v>
      </c>
      <c r="J11" s="49"/>
      <c r="K11" s="49"/>
      <c r="L11" s="49"/>
      <c r="M11" s="49"/>
      <c r="N11" s="49"/>
      <c r="O11" s="49"/>
      <c r="P11" s="49"/>
    </row>
    <row r="12" spans="1:16" ht="23.25" customHeight="1" x14ac:dyDescent="0.25">
      <c r="A12" s="46" t="s">
        <v>3478</v>
      </c>
      <c r="B12" s="46" t="s">
        <v>7251</v>
      </c>
      <c r="C12" s="47" t="e">
        <f>VLOOKUP(D12,'Master Data'!A:F,6,FALSE)</f>
        <v>#N/A</v>
      </c>
      <c r="D12" s="30" t="s">
        <v>12108</v>
      </c>
      <c r="E12" s="46" t="s">
        <v>11942</v>
      </c>
      <c r="F12" s="46" t="s">
        <v>411</v>
      </c>
      <c r="G12" s="46" t="e">
        <f>VLOOKUP(D12,'Master Data'!A:F,5,FALSE)</f>
        <v>#N/A</v>
      </c>
      <c r="H12" s="110">
        <v>30</v>
      </c>
      <c r="I12" s="49" t="s">
        <v>11941</v>
      </c>
      <c r="J12" s="49"/>
      <c r="K12" s="49"/>
      <c r="L12" s="49"/>
      <c r="M12" s="49"/>
      <c r="N12" s="49"/>
      <c r="O12" s="49"/>
      <c r="P12" s="49"/>
    </row>
    <row r="13" spans="1:16" ht="23.25" customHeight="1" x14ac:dyDescent="0.25">
      <c r="A13" s="46" t="str">
        <f>VLOOKUP(D13,'Master Data'!A:F,2,FALSE)</f>
        <v>Kim</v>
      </c>
      <c r="B13" s="46" t="str">
        <f>VLOOKUP(D13,'Master Data'!A:F,3,FALSE)</f>
        <v>Grunder</v>
      </c>
      <c r="C13" s="47" t="str">
        <f>VLOOKUP(D13,'Master Data'!A:F,6,FALSE)</f>
        <v>k-grunder@bluewin.ch</v>
      </c>
      <c r="D13" s="30" t="s">
        <v>1595</v>
      </c>
      <c r="E13" s="46"/>
      <c r="F13" s="46" t="str">
        <f>VLOOKUP(D13,'Master Data'!A:F,4,FALSE)</f>
        <v>w</v>
      </c>
      <c r="G13" s="46" t="str">
        <f>VLOOKUP(D13,'Master Data'!A:F,5,FALSE)</f>
        <v>Normal</v>
      </c>
      <c r="H13" s="110">
        <v>30</v>
      </c>
      <c r="I13" s="49" t="s">
        <v>11941</v>
      </c>
      <c r="J13" s="49"/>
      <c r="K13" s="49"/>
      <c r="L13" s="49"/>
      <c r="M13" s="49"/>
      <c r="N13" s="49"/>
      <c r="O13" s="49"/>
      <c r="P13" s="49"/>
    </row>
    <row r="14" spans="1:16" ht="23.25" customHeight="1" x14ac:dyDescent="0.25">
      <c r="A14" s="46" t="e">
        <f>VLOOKUP(D14,'Master Data'!A:F,2,FALSE)</f>
        <v>#N/A</v>
      </c>
      <c r="B14" s="46" t="e">
        <f>VLOOKUP(D14,'Master Data'!A:F,3,FALSE)</f>
        <v>#N/A</v>
      </c>
      <c r="C14" s="47" t="e">
        <f>VLOOKUP(D14,'Master Data'!A:F,6,FALSE)</f>
        <v>#N/A</v>
      </c>
      <c r="D14" s="30" t="s">
        <v>12109</v>
      </c>
      <c r="E14" s="46"/>
      <c r="F14" s="46" t="s">
        <v>3163</v>
      </c>
      <c r="G14" s="46" t="e">
        <f>VLOOKUP(D14,'Master Data'!A:F,5,FALSE)</f>
        <v>#N/A</v>
      </c>
      <c r="H14" s="110">
        <v>30</v>
      </c>
      <c r="I14" s="49" t="s">
        <v>11941</v>
      </c>
      <c r="J14" s="49"/>
      <c r="K14" s="49"/>
      <c r="L14" s="49"/>
      <c r="M14" s="49"/>
      <c r="N14" s="49"/>
      <c r="O14" s="49"/>
      <c r="P14" s="49"/>
    </row>
    <row r="15" spans="1:16" ht="23.25" customHeight="1" x14ac:dyDescent="0.25">
      <c r="A15" s="46" t="str">
        <f>VLOOKUP(D15,'Master Data'!A:F,2,FALSE)</f>
        <v>Eva</v>
      </c>
      <c r="B15" s="46" t="str">
        <f>VLOOKUP(D15,'Master Data'!A:F,3,FALSE)</f>
        <v>Hammel</v>
      </c>
      <c r="C15" s="47" t="str">
        <f>VLOOKUP(D15,'Master Data'!A:F,6,FALSE)</f>
        <v>eva.hammel@protonmail.ch</v>
      </c>
      <c r="D15" s="19" t="s">
        <v>8417</v>
      </c>
      <c r="E15" s="46"/>
      <c r="F15" s="46" t="str">
        <f>VLOOKUP(D15,'Master Data'!A:F,4,FALSE)</f>
        <v>w</v>
      </c>
      <c r="G15" s="46" t="str">
        <f>VLOOKUP(D15,'Master Data'!A:F,5,FALSE)</f>
        <v>Normal</v>
      </c>
      <c r="H15" s="52">
        <v>30</v>
      </c>
      <c r="I15" s="49" t="s">
        <v>11941</v>
      </c>
      <c r="J15" s="49"/>
      <c r="K15" s="49"/>
      <c r="L15" s="49"/>
      <c r="M15" s="49"/>
      <c r="N15" s="49"/>
      <c r="O15" s="49"/>
      <c r="P15" s="49"/>
    </row>
    <row r="16" spans="1:16" ht="23.25" customHeight="1" x14ac:dyDescent="0.25">
      <c r="A16" s="46" t="str">
        <f>VLOOKUP(D16,'Master Data'!A:F,2,FALSE)</f>
        <v>Naomi</v>
      </c>
      <c r="B16" s="46" t="str">
        <f>VLOOKUP(D16,'Master Data'!A:F,3,FALSE)</f>
        <v>Cobo</v>
      </c>
      <c r="C16" s="47" t="str">
        <f>VLOOKUP(D16,'Master Data'!A:F,6,FALSE)</f>
        <v>naomi_cobo@bluewin.ch</v>
      </c>
      <c r="D16" s="19" t="s">
        <v>10493</v>
      </c>
      <c r="E16" s="46"/>
      <c r="F16" s="46" t="str">
        <f>VLOOKUP(D16,'Master Data'!A:F,4,FALSE)</f>
        <v>w</v>
      </c>
      <c r="G16" s="46" t="str">
        <f>VLOOKUP(D16,'Master Data'!A:F,5,FALSE)</f>
        <v>Normal</v>
      </c>
      <c r="H16" s="52">
        <v>25</v>
      </c>
      <c r="I16" s="49" t="s">
        <v>11941</v>
      </c>
      <c r="J16" s="49"/>
      <c r="K16" s="49"/>
      <c r="L16" s="49"/>
      <c r="M16" s="49"/>
      <c r="N16" s="49"/>
      <c r="O16" s="49"/>
      <c r="P16" s="49"/>
    </row>
    <row r="17" spans="1:16" ht="23.25" customHeight="1" x14ac:dyDescent="0.25">
      <c r="A17" s="46" t="str">
        <f>VLOOKUP(D17,'Master Data'!A:F,2,FALSE)</f>
        <v>Jacov</v>
      </c>
      <c r="B17" s="46" t="str">
        <f>VLOOKUP(D17,'Master Data'!A:F,3,FALSE)</f>
        <v>Bludnikov</v>
      </c>
      <c r="C17" s="47" t="str">
        <f>VLOOKUP(D17,'Master Data'!A:F,6,FALSE)</f>
        <v>04jakov.bludnikov@gmail.com</v>
      </c>
      <c r="D17" s="19" t="s">
        <v>10013</v>
      </c>
      <c r="E17" s="46"/>
      <c r="F17" s="46" t="str">
        <f>VLOOKUP(D17,'Master Data'!A:F,4,FALSE)</f>
        <v>m</v>
      </c>
      <c r="G17" s="46" t="str">
        <f>VLOOKUP(D17,'Master Data'!A:F,5,FALSE)</f>
        <v>Paar</v>
      </c>
      <c r="H17" s="110">
        <v>25</v>
      </c>
      <c r="I17" s="49" t="s">
        <v>11941</v>
      </c>
      <c r="J17" s="49"/>
      <c r="K17" s="49"/>
      <c r="L17" s="49"/>
      <c r="M17" s="49"/>
      <c r="N17" s="49"/>
      <c r="O17" s="49"/>
      <c r="P17" s="49"/>
    </row>
    <row r="18" spans="1:16" ht="23.25" customHeight="1" x14ac:dyDescent="0.25">
      <c r="A18" s="46" t="str">
        <f>VLOOKUP(D18,'Master Data'!A:F,2,FALSE)</f>
        <v>Oliver</v>
      </c>
      <c r="B18" s="46" t="str">
        <f>VLOOKUP(D18,'Master Data'!A:F,3,FALSE)</f>
        <v>Grimm</v>
      </c>
      <c r="C18" s="47" t="str">
        <f>VLOOKUP(D18,'Master Data'!A:F,6,FALSE)</f>
        <v>ogrimm5@gmail.com</v>
      </c>
      <c r="D18" s="30" t="s">
        <v>8294</v>
      </c>
      <c r="E18" s="46"/>
      <c r="F18" s="46" t="str">
        <f>VLOOKUP(D18,'Master Data'!A:F,4,FALSE)</f>
        <v>m</v>
      </c>
      <c r="G18" s="46" t="str">
        <f>VLOOKUP(D18,'Master Data'!A:F,5,FALSE)</f>
        <v>Normal</v>
      </c>
      <c r="H18" s="52">
        <v>30</v>
      </c>
      <c r="I18" s="49" t="s">
        <v>11941</v>
      </c>
      <c r="J18" s="49"/>
      <c r="K18" s="49"/>
      <c r="L18" s="49"/>
      <c r="M18" s="49"/>
      <c r="N18" s="49"/>
      <c r="O18" s="49"/>
      <c r="P18" s="49"/>
    </row>
    <row r="19" spans="1:16" ht="23.25" customHeight="1" x14ac:dyDescent="0.25">
      <c r="A19" s="46" t="str">
        <f>VLOOKUP(D19,'Master Data'!A:F,2,FALSE)</f>
        <v>Clara</v>
      </c>
      <c r="B19" s="46" t="str">
        <f>VLOOKUP(D19,'Master Data'!A:F,3,FALSE)</f>
        <v>Hernandez Vicedo</v>
      </c>
      <c r="C19" s="47" t="str">
        <f>VLOOKUP(D19,'Master Data'!A:F,6,FALSE)</f>
        <v>clara_2098@hotmail.com</v>
      </c>
      <c r="D19" s="34" t="s">
        <v>6359</v>
      </c>
      <c r="E19" s="46"/>
      <c r="F19" s="46" t="str">
        <f>VLOOKUP(D19,'Master Data'!A:F,4,FALSE)</f>
        <v>w</v>
      </c>
      <c r="G19" s="46" t="str">
        <f>VLOOKUP(D19,'Master Data'!A:F,5,FALSE)</f>
        <v xml:space="preserve">Normal </v>
      </c>
      <c r="H19" s="110">
        <v>30</v>
      </c>
      <c r="I19" s="49" t="s">
        <v>11941</v>
      </c>
      <c r="J19" s="49"/>
      <c r="K19" s="49"/>
      <c r="L19" s="49"/>
      <c r="M19" s="49"/>
      <c r="N19" s="49"/>
      <c r="O19" s="49"/>
      <c r="P19" s="49"/>
    </row>
    <row r="20" spans="1:16" ht="23.25" customHeight="1" x14ac:dyDescent="0.25">
      <c r="A20" s="46" t="str">
        <f>VLOOKUP(D20,'Master Data'!A:F,2,FALSE)</f>
        <v>Maria</v>
      </c>
      <c r="B20" s="46" t="str">
        <f>VLOOKUP(D20,'Master Data'!A:F,3,FALSE)</f>
        <v>Tapken</v>
      </c>
      <c r="C20" s="47" t="str">
        <f>VLOOKUP(D20,'Master Data'!A:F,6,FALSE)</f>
        <v>tapkenmj@gmail.com</v>
      </c>
      <c r="D20" s="30" t="s">
        <v>11405</v>
      </c>
      <c r="E20" s="46" t="s">
        <v>11942</v>
      </c>
      <c r="F20" s="46" t="str">
        <f>VLOOKUP(D20,'Master Data'!A:F,4,FALSE)</f>
        <v>w</v>
      </c>
      <c r="G20" s="46" t="str">
        <f>VLOOKUP(D20,'Master Data'!A:F,5,FALSE)</f>
        <v>Normal</v>
      </c>
      <c r="H20" s="110">
        <v>30</v>
      </c>
      <c r="I20" s="49" t="s">
        <v>11941</v>
      </c>
      <c r="J20" s="49"/>
      <c r="K20" s="49"/>
      <c r="L20" s="49"/>
      <c r="M20" s="49"/>
      <c r="N20" s="49"/>
      <c r="O20" s="49"/>
      <c r="P20" s="49"/>
    </row>
    <row r="21" spans="1:16" ht="23.25" customHeight="1" x14ac:dyDescent="0.25">
      <c r="A21" s="46" t="str">
        <f>VLOOKUP(D21,'Master Data'!A:F,2,FALSE)</f>
        <v>Marcelina</v>
      </c>
      <c r="B21" s="46" t="str">
        <f>VLOOKUP(D21,'Master Data'!A:F,3,FALSE)</f>
        <v>Karpowicz</v>
      </c>
      <c r="C21" s="47" t="str">
        <f>VLOOKUP(D21,'Master Data'!A:F,6,FALSE)</f>
        <v>kindermelodie@gmail.com</v>
      </c>
      <c r="D21" s="19" t="s">
        <v>6202</v>
      </c>
      <c r="E21" s="46"/>
      <c r="F21" s="46" t="str">
        <f>VLOOKUP(D21,'Master Data'!A:F,4,FALSE)</f>
        <v>w</v>
      </c>
      <c r="G21" s="46" t="str">
        <f>VLOOKUP(D21,'Master Data'!A:F,5,FALSE)</f>
        <v>Normal</v>
      </c>
      <c r="H21" s="52">
        <v>30</v>
      </c>
      <c r="I21" s="49" t="s">
        <v>11941</v>
      </c>
      <c r="J21" s="49"/>
      <c r="K21" s="49"/>
      <c r="L21" s="49"/>
      <c r="M21" s="49"/>
      <c r="N21" s="49"/>
      <c r="O21" s="49"/>
      <c r="P21" s="49"/>
    </row>
    <row r="22" spans="1:16" ht="23.25" customHeight="1" x14ac:dyDescent="0.25">
      <c r="A22" s="46" t="s">
        <v>2150</v>
      </c>
      <c r="B22" s="46" t="s">
        <v>12111</v>
      </c>
      <c r="C22" s="47" t="e">
        <f>VLOOKUP(D22,'Master Data'!A:F,6,FALSE)</f>
        <v>#N/A</v>
      </c>
      <c r="D22" s="30" t="s">
        <v>12110</v>
      </c>
      <c r="E22" s="46"/>
      <c r="F22" s="46" t="e">
        <f>VLOOKUP(D22,'Master Data'!A:F,4,FALSE)</f>
        <v>#N/A</v>
      </c>
      <c r="G22" s="46" t="e">
        <f>VLOOKUP(D22,'Master Data'!A:F,5,FALSE)</f>
        <v>#N/A</v>
      </c>
      <c r="H22" s="52">
        <v>30</v>
      </c>
      <c r="I22" s="49" t="s">
        <v>11941</v>
      </c>
      <c r="J22" s="49"/>
      <c r="K22" s="49"/>
      <c r="L22" s="49"/>
      <c r="M22" s="49"/>
      <c r="N22" s="49"/>
      <c r="O22" s="49"/>
      <c r="P22" s="49"/>
    </row>
    <row r="23" spans="1:16" ht="23.25" customHeight="1" x14ac:dyDescent="0.25">
      <c r="A23" s="46"/>
      <c r="B23" s="46" t="e">
        <f>VLOOKUP(D23,'Master Data'!A:F,3,FALSE)</f>
        <v>#N/A</v>
      </c>
      <c r="C23" s="47" t="e">
        <f>VLOOKUP(D23,'Master Data'!A:F,6,FALSE)</f>
        <v>#N/A</v>
      </c>
      <c r="D23" s="30"/>
      <c r="E23" s="46"/>
      <c r="F23" s="46" t="e">
        <f>VLOOKUP(D23,'Master Data'!A:F,4,FALSE)</f>
        <v>#N/A</v>
      </c>
      <c r="G23" s="46" t="e">
        <f>VLOOKUP(D23,'Master Data'!A:F,5,FALSE)</f>
        <v>#N/A</v>
      </c>
      <c r="H23" s="52"/>
      <c r="I23" s="49"/>
      <c r="J23" s="49"/>
      <c r="K23" s="49"/>
      <c r="L23" s="49"/>
      <c r="M23" s="49"/>
      <c r="N23" s="49"/>
      <c r="O23" s="49"/>
      <c r="P23" s="49"/>
    </row>
    <row r="24" spans="1:16" ht="23.25" customHeight="1" x14ac:dyDescent="0.25">
      <c r="A24" s="46"/>
      <c r="B24" s="46" t="e">
        <f>VLOOKUP(D24,'Master Data'!A:F,3,FALSE)</f>
        <v>#N/A</v>
      </c>
      <c r="C24" s="47" t="e">
        <f>VLOOKUP(D24,'Master Data'!A:F,6,FALSE)</f>
        <v>#N/A</v>
      </c>
      <c r="D24" s="30"/>
      <c r="E24" s="46"/>
      <c r="F24" s="46" t="e">
        <f>VLOOKUP(D24,'Master Data'!A:F,4,FALSE)</f>
        <v>#N/A</v>
      </c>
      <c r="G24" s="46" t="e">
        <f>VLOOKUP(D24,'Master Data'!A:F,5,FALSE)</f>
        <v>#N/A</v>
      </c>
      <c r="H24" s="52"/>
      <c r="I24" s="49"/>
      <c r="J24" s="49"/>
      <c r="K24" s="49"/>
      <c r="L24" s="49"/>
      <c r="M24" s="49"/>
      <c r="N24" s="49"/>
      <c r="O24" s="49"/>
      <c r="P24" s="49"/>
    </row>
    <row r="25" spans="1:16" ht="23.25" customHeight="1" x14ac:dyDescent="0.25">
      <c r="A25" s="46"/>
      <c r="B25" s="46" t="e">
        <f>VLOOKUP(D25,'Master Data'!A:F,3,FALSE)</f>
        <v>#N/A</v>
      </c>
      <c r="C25" s="47" t="e">
        <f>VLOOKUP(D25,'Master Data'!A:F,6,FALSE)</f>
        <v>#N/A</v>
      </c>
      <c r="D25" s="19"/>
      <c r="E25" s="46"/>
      <c r="F25" s="46" t="e">
        <f>VLOOKUP(D25,'Master Data'!A:F,4,FALSE)</f>
        <v>#N/A</v>
      </c>
      <c r="G25" s="46" t="e">
        <f>VLOOKUP(D25,'Master Data'!A:F,5,FALSE)</f>
        <v>#N/A</v>
      </c>
      <c r="H25" s="52"/>
      <c r="I25" s="49"/>
      <c r="J25" s="49"/>
      <c r="K25" s="49"/>
      <c r="L25" s="49"/>
      <c r="M25" s="49"/>
      <c r="N25" s="49"/>
      <c r="O25" s="49"/>
      <c r="P25" s="49"/>
    </row>
    <row r="26" spans="1:16" ht="23.25" customHeight="1" x14ac:dyDescent="0.25">
      <c r="A26" s="46" t="e">
        <f>VLOOKUP(D26,'Master Data'!A:F,2,FALSE)</f>
        <v>#N/A</v>
      </c>
      <c r="B26" s="46" t="e">
        <f>VLOOKUP(D26,'Master Data'!A:F,3,FALSE)</f>
        <v>#N/A</v>
      </c>
      <c r="C26" s="47" t="e">
        <f>VLOOKUP(D26,'Master Data'!A:F,5,FALSE)</f>
        <v>#N/A</v>
      </c>
      <c r="D26" s="19"/>
      <c r="E26" s="46"/>
      <c r="F26" s="46" t="e">
        <f>VLOOKUP(D26,'Master Data'!A:F,4,FALSE)</f>
        <v>#N/A</v>
      </c>
      <c r="G26" s="46" t="e">
        <f>VLOOKUP(D26,'Master Data'!A:F,5,FALSE)</f>
        <v>#N/A</v>
      </c>
      <c r="H26" s="52"/>
      <c r="I26" s="49"/>
      <c r="J26" s="49"/>
      <c r="K26" s="53"/>
      <c r="L26" s="49"/>
      <c r="M26" s="49"/>
      <c r="N26" s="49"/>
      <c r="O26" s="49"/>
      <c r="P26" s="49"/>
    </row>
    <row r="27" spans="1:16" ht="23.25" customHeight="1" x14ac:dyDescent="0.25">
      <c r="A27" s="46" t="e">
        <f>VLOOKUP(D27,'Master Data'!A:F,2,FALSE)</f>
        <v>#N/A</v>
      </c>
      <c r="B27" s="46" t="e">
        <f>VLOOKUP(D27,'Master Data'!A:F,3,FALSE)</f>
        <v>#N/A</v>
      </c>
      <c r="C27" s="47" t="e">
        <f>VLOOKUP(D27,'Master Data'!A:F,5,FALSE)</f>
        <v>#N/A</v>
      </c>
      <c r="D27" s="30"/>
      <c r="E27" s="46"/>
      <c r="F27" s="46" t="e">
        <f>VLOOKUP(D27,'Master Data'!A:F,4,FALSE)</f>
        <v>#N/A</v>
      </c>
      <c r="G27" s="46" t="e">
        <f>VLOOKUP(D27,'Master Data'!A:F,5,FALSE)</f>
        <v>#N/A</v>
      </c>
      <c r="H27" s="52"/>
      <c r="I27" s="49"/>
      <c r="J27" s="49"/>
      <c r="K27" s="49"/>
      <c r="L27" s="49"/>
      <c r="M27" s="49"/>
      <c r="N27" s="49"/>
      <c r="O27" s="49"/>
      <c r="P27" s="49"/>
    </row>
    <row r="28" spans="1:16" ht="23.25" customHeight="1" x14ac:dyDescent="0.25">
      <c r="A28" s="46" t="e">
        <f>VLOOKUP(D28,'Master Data'!A:F,2,FALSE)</f>
        <v>#N/A</v>
      </c>
      <c r="B28" s="46" t="e">
        <f>VLOOKUP(D28,'Master Data'!A:F,3,FALSE)</f>
        <v>#N/A</v>
      </c>
      <c r="C28" s="47" t="e">
        <f>VLOOKUP(D28,'Master Data'!A:F,5,FALSE)</f>
        <v>#N/A</v>
      </c>
      <c r="D28" s="30"/>
      <c r="E28" s="46"/>
      <c r="F28" s="46" t="e">
        <f>VLOOKUP(D28,'Master Data'!A:F,4,FALSE)</f>
        <v>#N/A</v>
      </c>
      <c r="G28" s="46" t="e">
        <f>VLOOKUP(D28,'Master Data'!A:F,5,FALSE)</f>
        <v>#N/A</v>
      </c>
      <c r="H28" s="52"/>
      <c r="I28" s="49"/>
      <c r="J28" s="49"/>
      <c r="K28" s="49"/>
      <c r="L28" s="49"/>
      <c r="M28" s="49"/>
      <c r="N28" s="49"/>
      <c r="O28" s="49"/>
      <c r="P28" s="49"/>
    </row>
    <row r="29" spans="1:16" ht="23.25" customHeight="1" x14ac:dyDescent="0.25">
      <c r="A29" s="46" t="e">
        <f>VLOOKUP(D29,'Master Data'!A:F,2,FALSE)</f>
        <v>#N/A</v>
      </c>
      <c r="B29" s="46" t="e">
        <f>VLOOKUP(D29,'Master Data'!A:F,3,FALSE)</f>
        <v>#N/A</v>
      </c>
      <c r="C29" s="47" t="e">
        <f>VLOOKUP(D29,'Master Data'!A:F,5,FALSE)</f>
        <v>#N/A</v>
      </c>
      <c r="D29" s="30"/>
      <c r="E29" s="46"/>
      <c r="F29" s="46" t="e">
        <f>VLOOKUP(D29,'Master Data'!A:F,4,FALSE)</f>
        <v>#N/A</v>
      </c>
      <c r="G29" s="46" t="e">
        <f>VLOOKUP(D29,'Master Data'!A:F,5,FALSE)</f>
        <v>#N/A</v>
      </c>
      <c r="H29" s="52"/>
      <c r="I29" s="49"/>
      <c r="J29" s="49"/>
      <c r="K29" s="49"/>
      <c r="L29" s="49"/>
      <c r="M29" s="49"/>
      <c r="N29" s="49"/>
      <c r="O29" s="49"/>
      <c r="P29" s="49"/>
    </row>
    <row r="30" spans="1:16" ht="23.25" customHeight="1" x14ac:dyDescent="0.25">
      <c r="A30" s="46" t="e">
        <f>VLOOKUP(D30,'Master Data'!A:F,2,FALSE)</f>
        <v>#N/A</v>
      </c>
      <c r="B30" s="46" t="e">
        <f>VLOOKUP(D30,'Master Data'!A:F,3,FALSE)</f>
        <v>#N/A</v>
      </c>
      <c r="C30" s="47" t="e">
        <f>VLOOKUP(D30,'Master Data'!A:F,5,FALSE)</f>
        <v>#N/A</v>
      </c>
      <c r="D30" s="30"/>
      <c r="E30" s="46"/>
      <c r="F30" s="46" t="e">
        <f>VLOOKUP(D30,'Master Data'!A:F,4,FALSE)</f>
        <v>#N/A</v>
      </c>
      <c r="G30" s="46" t="e">
        <f>VLOOKUP(D30,'Master Data'!A:F,5,FALSE)</f>
        <v>#N/A</v>
      </c>
      <c r="H30" s="52"/>
      <c r="I30" s="49"/>
      <c r="J30" s="49"/>
      <c r="K30" s="49"/>
      <c r="L30" s="49"/>
      <c r="M30" s="49"/>
      <c r="N30" s="49"/>
      <c r="O30" s="49"/>
      <c r="P30" s="49"/>
    </row>
    <row r="31" spans="1:16" ht="23.25" customHeight="1" x14ac:dyDescent="0.25">
      <c r="A31" s="46" t="e">
        <f>VLOOKUP(D31,'Master Data'!A:F,2,FALSE)</f>
        <v>#N/A</v>
      </c>
      <c r="B31" s="46" t="e">
        <f>VLOOKUP(D31,'Master Data'!A:F,3,FALSE)</f>
        <v>#N/A</v>
      </c>
      <c r="C31" s="47" t="e">
        <f>VLOOKUP(D31,'Master Data'!A:F,5,FALSE)</f>
        <v>#N/A</v>
      </c>
      <c r="D31" s="30"/>
      <c r="E31" s="46"/>
      <c r="F31" s="46" t="e">
        <f>VLOOKUP(D31,'Master Data'!A:F,4,FALSE)</f>
        <v>#N/A</v>
      </c>
      <c r="G31" s="46" t="e">
        <f>VLOOKUP(D31,'Master Data'!A:F,5,FALSE)</f>
        <v>#N/A</v>
      </c>
      <c r="H31" s="52"/>
      <c r="I31" s="49"/>
      <c r="J31" s="49"/>
      <c r="K31" s="49"/>
      <c r="L31" s="49"/>
      <c r="M31" s="49"/>
      <c r="N31" s="49"/>
      <c r="O31" s="49"/>
      <c r="P31" s="49"/>
    </row>
    <row r="32" spans="1:16" ht="20.25" customHeight="1" x14ac:dyDescent="0.25">
      <c r="A32" s="31" t="e">
        <f>VLOOKUP(D32,'Master Data'!A:F,2,FALSE)</f>
        <v>#N/A</v>
      </c>
      <c r="B32" s="31" t="e">
        <f>VLOOKUP(D32,'Master Data'!A:F,3,FALSE)</f>
        <v>#N/A</v>
      </c>
      <c r="C32" s="50" t="e">
        <f>VLOOKUP(D32,'Master Data'!A:F,5,FALSE)</f>
        <v>#N/A</v>
      </c>
      <c r="D32" s="31"/>
      <c r="E32" s="31"/>
      <c r="F32" s="31"/>
      <c r="G32" s="51" t="s">
        <v>11290</v>
      </c>
      <c r="H32" s="52">
        <f>SUM(H7:H31)</f>
        <v>380</v>
      </c>
      <c r="I32" s="31"/>
      <c r="J32" s="31"/>
      <c r="K32" s="31"/>
      <c r="L32" s="31"/>
      <c r="M32" s="31"/>
      <c r="N32" s="31"/>
      <c r="O32" s="31"/>
      <c r="P32" s="3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F7:G31 A7:C32">
    <cfRule type="cellIs" dxfId="5" priority="1" operator="equal">
      <formula>0</formula>
    </cfRule>
    <cfRule type="expression" dxfId="4" priority="2">
      <formula>ISERROR(A7)</formula>
    </cfRule>
  </conditionalFormatting>
  <pageMargins left="0.41666666666666669" right="0.41666666666666669" top="0.78740157499999996" bottom="0.78740157499999996" header="0" footer="0"/>
  <pageSetup paperSize="9" scale="76" orientation="landscape"/>
  <headerFooter>
    <oddFooter>&amp;LSalsaflow Dance Company KLG Aeschenvorstadt 67, 4051 Basel&amp;CSebastian - Tel. 076 218 21 98 Fabio - Tel. 076 478 84 11&amp;Rinfo@salsaflow-dc.com www.salsaflow-dc.com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CC99"/>
  </sheetPr>
  <dimension ref="A1:P1000"/>
  <sheetViews>
    <sheetView topLeftCell="A15" workbookViewId="0">
      <selection activeCell="I36" sqref="I36"/>
    </sheetView>
  </sheetViews>
  <sheetFormatPr baseColWidth="10" defaultColWidth="14.42578125" defaultRowHeight="15" customHeight="1" x14ac:dyDescent="0.25"/>
  <cols>
    <col min="1" max="1" width="14.42578125" customWidth="1"/>
    <col min="2" max="2" width="17.42578125" customWidth="1"/>
    <col min="3" max="3" width="27.42578125" customWidth="1"/>
    <col min="4" max="4" width="16.42578125" customWidth="1"/>
    <col min="5" max="5" width="26" customWidth="1"/>
    <col min="6" max="6" width="6.42578125" customWidth="1"/>
    <col min="7" max="7" width="10.42578125" customWidth="1"/>
    <col min="8" max="8" width="11.42578125" customWidth="1"/>
    <col min="9" max="16" width="3.42578125" customWidth="1"/>
    <col min="17" max="26" width="7" customWidth="1"/>
  </cols>
  <sheetData>
    <row r="1" spans="1:16" ht="23.25" customHeight="1" x14ac:dyDescent="0.25">
      <c r="A1" s="36" t="s">
        <v>11327</v>
      </c>
      <c r="B1" s="37"/>
      <c r="C1" s="37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38"/>
      <c r="P1" s="38"/>
    </row>
    <row r="2" spans="1:16" ht="9" customHeight="1" x14ac:dyDescent="0.25">
      <c r="A2" s="40"/>
      <c r="B2" s="40"/>
      <c r="C2" s="40"/>
      <c r="D2" s="38"/>
      <c r="E2" s="38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</row>
    <row r="3" spans="1:16" ht="23.25" customHeight="1" x14ac:dyDescent="0.25">
      <c r="A3" s="41" t="s">
        <v>11275</v>
      </c>
      <c r="B3" s="8" t="s">
        <v>11328</v>
      </c>
      <c r="C3" s="8"/>
      <c r="D3" s="41" t="s">
        <v>11276</v>
      </c>
      <c r="E3" s="8" t="s">
        <v>11329</v>
      </c>
      <c r="F3" s="8"/>
      <c r="G3" s="41" t="s">
        <v>11278</v>
      </c>
      <c r="H3" s="8" t="s">
        <v>11330</v>
      </c>
      <c r="I3" s="8"/>
      <c r="J3" s="8"/>
      <c r="K3" s="8"/>
      <c r="L3" s="8"/>
      <c r="M3" s="8"/>
      <c r="N3" s="8"/>
      <c r="O3" s="8"/>
      <c r="P3" s="8"/>
    </row>
    <row r="4" spans="1:16" ht="23.25" customHeight="1" x14ac:dyDescent="0.25">
      <c r="A4" s="41" t="s">
        <v>11280</v>
      </c>
      <c r="B4" s="8" t="s">
        <v>11331</v>
      </c>
      <c r="C4" s="8"/>
      <c r="D4" s="41" t="s">
        <v>11282</v>
      </c>
      <c r="E4" s="8" t="s">
        <v>11283</v>
      </c>
      <c r="F4" s="8"/>
      <c r="G4" s="41" t="s">
        <v>11284</v>
      </c>
      <c r="H4" s="8" t="s">
        <v>11332</v>
      </c>
      <c r="I4" s="8"/>
      <c r="J4" s="8"/>
      <c r="K4" s="8"/>
      <c r="L4" s="8"/>
      <c r="M4" s="8"/>
      <c r="N4" s="8"/>
      <c r="O4" s="8"/>
      <c r="P4" s="8"/>
    </row>
    <row r="5" spans="1:16" ht="9" customHeight="1" x14ac:dyDescent="0.25">
      <c r="A5" s="38"/>
      <c r="B5" s="38"/>
      <c r="C5" s="38"/>
      <c r="D5" s="38"/>
      <c r="E5" s="38"/>
      <c r="F5" s="38"/>
      <c r="G5" s="38"/>
      <c r="H5" s="39"/>
      <c r="I5" s="38"/>
      <c r="J5" s="38"/>
      <c r="K5" s="38"/>
      <c r="L5" s="38"/>
      <c r="M5" s="38"/>
      <c r="N5" s="38"/>
      <c r="O5" s="38"/>
      <c r="P5" s="38"/>
    </row>
    <row r="6" spans="1:16" ht="23.25" customHeight="1" x14ac:dyDescent="0.25">
      <c r="A6" s="43" t="s">
        <v>2</v>
      </c>
      <c r="B6" s="43" t="s">
        <v>3</v>
      </c>
      <c r="C6" s="43" t="s">
        <v>11286</v>
      </c>
      <c r="D6" s="44" t="s">
        <v>1</v>
      </c>
      <c r="E6" s="44" t="s">
        <v>11287</v>
      </c>
      <c r="F6" s="44" t="s">
        <v>4</v>
      </c>
      <c r="G6" s="44" t="s">
        <v>5</v>
      </c>
      <c r="H6" s="45" t="s">
        <v>11288</v>
      </c>
      <c r="I6" s="120" t="s">
        <v>11289</v>
      </c>
      <c r="J6" s="121"/>
      <c r="K6" s="121"/>
      <c r="L6" s="121"/>
      <c r="M6" s="121"/>
      <c r="N6" s="121"/>
      <c r="O6" s="121"/>
      <c r="P6" s="122"/>
    </row>
    <row r="7" spans="1:16" ht="23.25" customHeight="1" x14ac:dyDescent="0.25">
      <c r="A7" s="46" t="str">
        <f>VLOOKUP(D7,'Master Data'!A:F,2,FALSE)</f>
        <v>Aleksandra</v>
      </c>
      <c r="B7" s="46" t="str">
        <f>VLOOKUP(D7,'Master Data'!A:F,3,FALSE)</f>
        <v>Opacic</v>
      </c>
      <c r="C7" s="47" t="str">
        <f>VLOOKUP(D7,'Master Data'!A:F,6,FALSE)</f>
        <v>sandra.opacic@yahoo.de</v>
      </c>
      <c r="D7" s="34" t="s">
        <v>5112</v>
      </c>
      <c r="E7" s="46"/>
      <c r="F7" s="46" t="str">
        <f>VLOOKUP(D7,'Master Data'!A:F,4,FALSE)</f>
        <v>w</v>
      </c>
      <c r="G7" s="46" t="str">
        <f>VLOOKUP(D7,'Master Data'!A:F,5,FALSE)</f>
        <v>Pushflow</v>
      </c>
      <c r="H7" s="111"/>
      <c r="I7" s="53" t="s">
        <v>11941</v>
      </c>
      <c r="J7" s="53"/>
      <c r="K7" s="53"/>
      <c r="L7" s="53"/>
      <c r="M7" s="53"/>
      <c r="N7" s="53"/>
      <c r="O7" s="53"/>
      <c r="P7" s="53"/>
    </row>
    <row r="8" spans="1:16" ht="23.25" customHeight="1" x14ac:dyDescent="0.25">
      <c r="A8" s="46" t="str">
        <f>VLOOKUP(D8,'Master Data'!A:F,2,FALSE)</f>
        <v>Viviana</v>
      </c>
      <c r="B8" s="46" t="str">
        <f>VLOOKUP(D8,'Master Data'!A:F,3,FALSE)</f>
        <v xml:space="preserve">Russo </v>
      </c>
      <c r="C8" s="47" t="str">
        <f>VLOOKUP(D8,'Master Data'!A:F,6,FALSE)</f>
        <v>vivi.russo@gmx.ch</v>
      </c>
      <c r="D8" s="34" t="s">
        <v>4396</v>
      </c>
      <c r="E8" s="46"/>
      <c r="F8" s="46" t="str">
        <f>VLOOKUP(D8,'Master Data'!A:F,4,FALSE)</f>
        <v>w</v>
      </c>
      <c r="G8" s="46" t="str">
        <f>VLOOKUP(D8,'Master Data'!A:F,5,FALSE)</f>
        <v>Pushflow</v>
      </c>
      <c r="H8" s="111"/>
      <c r="I8" s="53" t="s">
        <v>11941</v>
      </c>
      <c r="J8" s="53"/>
      <c r="K8" s="53"/>
      <c r="L8" s="53"/>
      <c r="M8" s="53"/>
      <c r="N8" s="53"/>
      <c r="O8" s="53"/>
      <c r="P8" s="53"/>
    </row>
    <row r="9" spans="1:16" ht="23.25" customHeight="1" x14ac:dyDescent="0.25">
      <c r="A9" s="46" t="str">
        <f>VLOOKUP(D9,'Master Data'!A:F,2,FALSE)</f>
        <v xml:space="preserve">Tobias </v>
      </c>
      <c r="B9" s="46" t="str">
        <f>VLOOKUP(D9,'Master Data'!A:F,3,FALSE)</f>
        <v>Gysin</v>
      </c>
      <c r="C9" s="47" t="str">
        <f>VLOOKUP(D9,'Master Data'!A:F,6,FALSE)</f>
        <v>tobiasgysin@hotmail.com</v>
      </c>
      <c r="D9" s="34" t="s">
        <v>4422</v>
      </c>
      <c r="E9" s="46"/>
      <c r="F9" s="46" t="str">
        <f>VLOOKUP(D9,'Master Data'!A:F,4,FALSE)</f>
        <v>m</v>
      </c>
      <c r="G9" s="46" t="str">
        <f>VLOOKUP(D9,'Master Data'!A:F,5,FALSE)</f>
        <v>Pushflow</v>
      </c>
      <c r="H9" s="111"/>
      <c r="I9" s="53" t="s">
        <v>11941</v>
      </c>
      <c r="J9" s="53"/>
      <c r="K9" s="53"/>
      <c r="L9" s="53"/>
      <c r="M9" s="53"/>
      <c r="N9" s="53"/>
      <c r="O9" s="53"/>
      <c r="P9" s="53"/>
    </row>
    <row r="10" spans="1:16" ht="23.25" customHeight="1" x14ac:dyDescent="0.25">
      <c r="A10" s="46" t="str">
        <f>VLOOKUP(D10,'Master Data'!A:F,2,FALSE)</f>
        <v>Jelena</v>
      </c>
      <c r="B10" s="46" t="str">
        <f>VLOOKUP(D10,'Master Data'!A:F,3,FALSE)</f>
        <v>Steiger</v>
      </c>
      <c r="C10" s="47" t="str">
        <f>VLOOKUP(D10,'Master Data'!A:F,6,FALSE)</f>
        <v>jelenasteiger@web.de</v>
      </c>
      <c r="D10" s="34" t="s">
        <v>5833</v>
      </c>
      <c r="E10" s="46"/>
      <c r="F10" s="46" t="str">
        <f>VLOOKUP(D10,'Master Data'!A:F,4,FALSE)</f>
        <v>w</v>
      </c>
      <c r="G10" s="46" t="str">
        <f>VLOOKUP(D10,'Master Data'!A:F,5,FALSE)</f>
        <v>Pushflow</v>
      </c>
      <c r="H10" s="111"/>
      <c r="I10" s="53" t="s">
        <v>11941</v>
      </c>
      <c r="J10" s="53"/>
      <c r="K10" s="53"/>
      <c r="L10" s="53"/>
      <c r="M10" s="53"/>
      <c r="N10" s="53"/>
      <c r="O10" s="53"/>
      <c r="P10" s="53"/>
    </row>
    <row r="11" spans="1:16" ht="23.25" customHeight="1" x14ac:dyDescent="0.25">
      <c r="A11" s="46" t="str">
        <f>VLOOKUP(D11,'Master Data'!A:F,2,FALSE)</f>
        <v>Maarten</v>
      </c>
      <c r="B11" s="46" t="str">
        <f>VLOOKUP(D11,'Master Data'!A:F,3,FALSE)</f>
        <v>De Laat</v>
      </c>
      <c r="C11" s="47" t="str">
        <f>VLOOKUP(D11,'Master Data'!A:F,6,FALSE)</f>
        <v>smaaardy@gmail.com</v>
      </c>
      <c r="D11" s="33" t="s">
        <v>5181</v>
      </c>
      <c r="E11" s="46"/>
      <c r="F11" s="46" t="str">
        <f>VLOOKUP(D11,'Master Data'!A:F,4,FALSE)</f>
        <v>m</v>
      </c>
      <c r="G11" s="46" t="str">
        <f>VLOOKUP(D11,'Master Data'!A:F,5,FALSE)</f>
        <v>Pushflow</v>
      </c>
      <c r="H11" s="111"/>
      <c r="I11" s="53" t="s">
        <v>11941</v>
      </c>
      <c r="J11" s="53"/>
      <c r="K11" s="53"/>
      <c r="L11" s="53"/>
      <c r="M11" s="53"/>
      <c r="N11" s="53"/>
      <c r="O11" s="53"/>
      <c r="P11" s="53"/>
    </row>
    <row r="12" spans="1:16" ht="23.25" customHeight="1" x14ac:dyDescent="0.25">
      <c r="A12" s="46" t="s">
        <v>11333</v>
      </c>
      <c r="B12" s="46" t="s">
        <v>11334</v>
      </c>
      <c r="C12" s="47"/>
      <c r="D12" s="30"/>
      <c r="E12" s="46"/>
      <c r="F12" s="46" t="s">
        <v>3163</v>
      </c>
      <c r="G12" s="46"/>
      <c r="H12" s="111"/>
      <c r="I12" s="53" t="s">
        <v>11941</v>
      </c>
      <c r="J12" s="53"/>
      <c r="K12" s="53"/>
      <c r="L12" s="53"/>
      <c r="M12" s="53"/>
      <c r="N12" s="53"/>
      <c r="O12" s="53"/>
      <c r="P12" s="53"/>
    </row>
    <row r="13" spans="1:16" ht="23.25" customHeight="1" x14ac:dyDescent="0.25">
      <c r="A13" s="46" t="s">
        <v>11335</v>
      </c>
      <c r="B13" s="46" t="s">
        <v>4909</v>
      </c>
      <c r="C13" s="47"/>
      <c r="D13" s="30"/>
      <c r="E13" s="46"/>
      <c r="F13" s="46" t="s">
        <v>3163</v>
      </c>
      <c r="G13" s="46"/>
      <c r="H13" s="111"/>
      <c r="I13" s="53" t="s">
        <v>11941</v>
      </c>
      <c r="J13" s="53"/>
      <c r="K13" s="53"/>
      <c r="L13" s="53"/>
      <c r="M13" s="53"/>
      <c r="N13" s="53"/>
      <c r="O13" s="53"/>
      <c r="P13" s="53"/>
    </row>
    <row r="14" spans="1:16" ht="23.25" customHeight="1" x14ac:dyDescent="0.25">
      <c r="A14" s="46" t="s">
        <v>8821</v>
      </c>
      <c r="B14" s="46"/>
      <c r="C14" s="47"/>
      <c r="D14" s="30"/>
      <c r="E14" s="46"/>
      <c r="F14" s="46" t="s">
        <v>3163</v>
      </c>
      <c r="G14" s="46"/>
      <c r="H14" s="111"/>
      <c r="I14" s="53" t="s">
        <v>11754</v>
      </c>
      <c r="J14" s="53"/>
      <c r="K14" s="53"/>
      <c r="L14" s="53"/>
      <c r="M14" s="53"/>
      <c r="N14" s="53"/>
      <c r="O14" s="53"/>
      <c r="P14" s="53"/>
    </row>
    <row r="15" spans="1:16" ht="23.25" customHeight="1" x14ac:dyDescent="0.25">
      <c r="A15" s="46" t="s">
        <v>11336</v>
      </c>
      <c r="B15" s="46" t="s">
        <v>4410</v>
      </c>
      <c r="C15" s="47"/>
      <c r="D15" s="19" t="s">
        <v>4408</v>
      </c>
      <c r="E15" s="46"/>
      <c r="F15" s="46" t="s">
        <v>3163</v>
      </c>
      <c r="G15" s="46"/>
      <c r="H15" s="111"/>
      <c r="I15" s="53" t="s">
        <v>11754</v>
      </c>
      <c r="J15" s="53"/>
      <c r="K15" s="53"/>
      <c r="L15" s="53"/>
      <c r="M15" s="53"/>
      <c r="N15" s="53"/>
      <c r="O15" s="53"/>
      <c r="P15" s="53"/>
    </row>
    <row r="16" spans="1:16" ht="23.25" customHeight="1" x14ac:dyDescent="0.25">
      <c r="A16" s="46" t="s">
        <v>1352</v>
      </c>
      <c r="B16" s="46" t="s">
        <v>1358</v>
      </c>
      <c r="C16" s="47"/>
      <c r="D16" s="30"/>
      <c r="E16" s="46"/>
      <c r="F16" s="46" t="s">
        <v>411</v>
      </c>
      <c r="G16" s="46"/>
      <c r="H16" s="111"/>
      <c r="I16" s="53" t="s">
        <v>11754</v>
      </c>
      <c r="J16" s="53"/>
      <c r="K16" s="53"/>
      <c r="L16" s="53"/>
      <c r="M16" s="53"/>
      <c r="N16" s="53"/>
      <c r="O16" s="53"/>
      <c r="P16" s="53"/>
    </row>
    <row r="17" spans="1:16" ht="23.25" customHeight="1" x14ac:dyDescent="0.25">
      <c r="A17" s="46" t="s">
        <v>6371</v>
      </c>
      <c r="B17" s="46" t="s">
        <v>8032</v>
      </c>
      <c r="C17" s="47"/>
      <c r="D17" s="19"/>
      <c r="E17" s="46"/>
      <c r="F17" s="46" t="s">
        <v>3163</v>
      </c>
      <c r="G17" s="46"/>
      <c r="H17" s="111"/>
      <c r="I17" s="53" t="s">
        <v>11754</v>
      </c>
      <c r="J17" s="53"/>
      <c r="K17" s="53"/>
      <c r="L17" s="53"/>
      <c r="M17" s="53"/>
      <c r="N17" s="53"/>
      <c r="O17" s="53"/>
      <c r="P17" s="53"/>
    </row>
    <row r="18" spans="1:16" ht="23.25" customHeight="1" x14ac:dyDescent="0.25">
      <c r="A18" s="46" t="str">
        <f>VLOOKUP(D18,'Master Data'!A:F,2,FALSE)</f>
        <v>Anina</v>
      </c>
      <c r="B18" s="46" t="str">
        <f>VLOOKUP(D18,'Master Data'!A:F,3,FALSE)</f>
        <v>Lehner</v>
      </c>
      <c r="C18" s="47" t="str">
        <f>VLOOKUP(D18,'Master Data'!A:F,6,FALSE)</f>
        <v>anina.t.lehner@gmail.com</v>
      </c>
      <c r="D18" s="30" t="s">
        <v>4583</v>
      </c>
      <c r="E18" s="46"/>
      <c r="F18" s="46" t="str">
        <f>VLOOKUP(D18,'Master Data'!A:F,4,FALSE)</f>
        <v>w</v>
      </c>
      <c r="G18" s="46" t="str">
        <f>VLOOKUP(D18,'Master Data'!A:F,5,FALSE)</f>
        <v>Pushflow</v>
      </c>
      <c r="H18" s="111"/>
      <c r="I18" s="53" t="s">
        <v>11754</v>
      </c>
      <c r="J18" s="53"/>
      <c r="K18" s="53"/>
      <c r="L18" s="53"/>
      <c r="M18" s="53"/>
      <c r="N18" s="53"/>
      <c r="O18" s="53"/>
      <c r="P18" s="53"/>
    </row>
    <row r="19" spans="1:16" ht="23.25" customHeight="1" x14ac:dyDescent="0.25">
      <c r="A19" s="46" t="str">
        <f>VLOOKUP(D19,'Master Data'!A:F,2,FALSE)</f>
        <v xml:space="preserve">Laura </v>
      </c>
      <c r="B19" s="46" t="str">
        <f>VLOOKUP(D19,'Master Data'!A:F,3,FALSE)</f>
        <v>Probst</v>
      </c>
      <c r="C19" s="47" t="str">
        <f>VLOOKUP(D19,'Master Data'!A:F,6,FALSE)</f>
        <v>lauraalineprobst@gmail.com</v>
      </c>
      <c r="D19" s="53" t="s">
        <v>9370</v>
      </c>
      <c r="E19" s="46"/>
      <c r="F19" s="46" t="str">
        <f>VLOOKUP(D19,'Master Data'!A:F,4,FALSE)</f>
        <v>w</v>
      </c>
      <c r="G19" s="46" t="str">
        <f>VLOOKUP(D19,'Master Data'!A:F,5,FALSE)</f>
        <v>Pushflow</v>
      </c>
      <c r="H19" s="111"/>
      <c r="I19" s="53" t="s">
        <v>11754</v>
      </c>
      <c r="J19" s="53"/>
      <c r="K19" s="53"/>
      <c r="L19" s="53"/>
      <c r="M19" s="53"/>
      <c r="N19" s="53"/>
      <c r="O19" s="53"/>
      <c r="P19" s="53"/>
    </row>
    <row r="20" spans="1:16" ht="23.25" customHeight="1" x14ac:dyDescent="0.25">
      <c r="A20" s="46" t="str">
        <f>VLOOKUP(D20,'Master Data'!A:F,2,FALSE)</f>
        <v>Jenny</v>
      </c>
      <c r="B20" s="46" t="str">
        <f>VLOOKUP(D20,'Master Data'!A:F,3,FALSE)</f>
        <v>Castro</v>
      </c>
      <c r="C20" s="47" t="str">
        <f>VLOOKUP(D20,'Master Data'!A:F,6,FALSE)</f>
        <v>castro.jenny@hotmail.ch</v>
      </c>
      <c r="D20" s="30" t="s">
        <v>7183</v>
      </c>
      <c r="E20" s="46"/>
      <c r="F20" s="46" t="str">
        <f>VLOOKUP(D20,'Master Data'!A:F,4,FALSE)</f>
        <v>w</v>
      </c>
      <c r="G20" s="46" t="str">
        <f>VLOOKUP(D20,'Master Data'!A:F,5,FALSE)</f>
        <v>Pushflow</v>
      </c>
      <c r="H20" s="111"/>
      <c r="I20" s="53" t="s">
        <v>11754</v>
      </c>
      <c r="J20" s="53"/>
      <c r="K20" s="53"/>
      <c r="L20" s="53"/>
      <c r="M20" s="53"/>
      <c r="N20" s="53"/>
      <c r="O20" s="53"/>
      <c r="P20" s="53"/>
    </row>
    <row r="21" spans="1:16" ht="23.25" customHeight="1" x14ac:dyDescent="0.25">
      <c r="A21" s="46" t="str">
        <f>VLOOKUP(D21,'Master Data'!A:F,2,FALSE)</f>
        <v>Rena</v>
      </c>
      <c r="B21" s="46" t="str">
        <f>VLOOKUP(D21,'Master Data'!A:F,3,FALSE)</f>
        <v>Schenke</v>
      </c>
      <c r="C21" s="47" t="str">
        <f>VLOOKUP(D21,'Master Data'!A:F,6,FALSE)</f>
        <v>rena.schenke@gmail.com</v>
      </c>
      <c r="D21" s="30" t="s">
        <v>7098</v>
      </c>
      <c r="E21" s="46"/>
      <c r="F21" s="46" t="str">
        <f>VLOOKUP(D21,'Master Data'!A:F,4,FALSE)</f>
        <v>w</v>
      </c>
      <c r="G21" s="46" t="str">
        <f>VLOOKUP(D21,'Master Data'!A:F,5,FALSE)</f>
        <v>Pushflow</v>
      </c>
      <c r="H21" s="111"/>
      <c r="I21" s="53" t="s">
        <v>11941</v>
      </c>
      <c r="J21" s="53"/>
      <c r="K21" s="53"/>
      <c r="L21" s="53"/>
      <c r="M21" s="53"/>
      <c r="N21" s="53"/>
      <c r="O21" s="53"/>
      <c r="P21" s="53"/>
    </row>
    <row r="22" spans="1:16" ht="23.25" customHeight="1" x14ac:dyDescent="0.25">
      <c r="A22" s="46" t="str">
        <f>VLOOKUP(D22,'Master Data'!A:F,2,FALSE)</f>
        <v>Jasmine</v>
      </c>
      <c r="B22" s="46" t="str">
        <f>VLOOKUP(D22,'Master Data'!A:F,3,FALSE)</f>
        <v>Andenmatten</v>
      </c>
      <c r="C22" s="47" t="str">
        <f>VLOOKUP(D22,'Master Data'!A:F,6,FALSE)</f>
        <v>jasmine.andenmatten@gmail.com</v>
      </c>
      <c r="D22" s="19" t="s">
        <v>6148</v>
      </c>
      <c r="E22" s="46"/>
      <c r="F22" s="46" t="str">
        <f>VLOOKUP(D22,'Master Data'!A:F,4,FALSE)</f>
        <v>w</v>
      </c>
      <c r="G22" s="46" t="str">
        <f>VLOOKUP(D22,'Master Data'!A:F,5,FALSE)</f>
        <v>Pushflow</v>
      </c>
      <c r="H22" s="111"/>
      <c r="I22" s="53" t="s">
        <v>11754</v>
      </c>
      <c r="J22" s="53"/>
      <c r="K22" s="53"/>
      <c r="L22" s="53"/>
      <c r="M22" s="53"/>
      <c r="N22" s="53"/>
      <c r="O22" s="53"/>
      <c r="P22" s="53"/>
    </row>
    <row r="23" spans="1:16" ht="23.25" customHeight="1" x14ac:dyDescent="0.25">
      <c r="A23" s="46" t="str">
        <f>VLOOKUP(D23,'Master Data'!A:F,2,FALSE)</f>
        <v>Samuel</v>
      </c>
      <c r="B23" s="46" t="str">
        <f>VLOOKUP(D23,'Master Data'!A:F,3,FALSE)</f>
        <v>Hulliger</v>
      </c>
      <c r="C23" s="47" t="str">
        <f>VLOOKUP(D23,'Master Data'!A:F,6,FALSE)</f>
        <v>samuel.torres82@hotmail.com</v>
      </c>
      <c r="D23" s="30" t="s">
        <v>4292</v>
      </c>
      <c r="E23" s="46"/>
      <c r="F23" s="46" t="str">
        <f>VLOOKUP(D23,'Master Data'!A:F,4,FALSE)</f>
        <v>m</v>
      </c>
      <c r="G23" s="46" t="str">
        <f>VLOOKUP(D23,'Master Data'!A:F,5,FALSE)</f>
        <v>Pushflow</v>
      </c>
      <c r="H23" s="111">
        <v>240</v>
      </c>
      <c r="I23" s="53" t="s">
        <v>11754</v>
      </c>
      <c r="J23" s="53"/>
      <c r="K23" s="53"/>
      <c r="L23" s="53"/>
      <c r="M23" s="53"/>
      <c r="N23" s="53"/>
      <c r="O23" s="53"/>
      <c r="P23" s="53"/>
    </row>
    <row r="24" spans="1:16" ht="23.25" customHeight="1" x14ac:dyDescent="0.25">
      <c r="A24" s="46" t="str">
        <f>VLOOKUP(D24,'Master Data'!A:F,2,FALSE)</f>
        <v xml:space="preserve">Isabel </v>
      </c>
      <c r="B24" s="46" t="str">
        <f>VLOOKUP(D24,'Master Data'!A:F,3,FALSE)</f>
        <v>Garcia</v>
      </c>
      <c r="C24" s="47">
        <f>VLOOKUP(D24,'Master Data'!A:F,6,FALSE)</f>
        <v>0</v>
      </c>
      <c r="D24" s="19" t="s">
        <v>7392</v>
      </c>
      <c r="E24" s="46"/>
      <c r="F24" s="46" t="str">
        <f>VLOOKUP(D24,'Master Data'!A:F,4,FALSE)</f>
        <v>w</v>
      </c>
      <c r="G24" s="46" t="str">
        <f>VLOOKUP(D24,'Master Data'!A:F,5,FALSE)</f>
        <v>Pushflow</v>
      </c>
      <c r="H24" s="111">
        <v>240</v>
      </c>
      <c r="I24" s="53" t="s">
        <v>11941</v>
      </c>
      <c r="J24" s="53"/>
      <c r="K24" s="53"/>
      <c r="L24" s="53"/>
      <c r="M24" s="53"/>
      <c r="N24" s="53"/>
      <c r="O24" s="53"/>
      <c r="P24" s="53"/>
    </row>
    <row r="25" spans="1:16" ht="23.25" customHeight="1" x14ac:dyDescent="0.25">
      <c r="A25" s="46" t="str">
        <f>VLOOKUP(D25,'Master Data'!A:F,2,FALSE)</f>
        <v>Ilaria</v>
      </c>
      <c r="B25" s="46" t="str">
        <f>VLOOKUP(D25,'Master Data'!A:F,3,FALSE)</f>
        <v>Seminatore</v>
      </c>
      <c r="C25" s="47" t="str">
        <f>VLOOKUP(D25,'Master Data'!A:F,6,FALSE)</f>
        <v>ilaria.seminatore@gmail.com</v>
      </c>
      <c r="D25" s="19" t="s">
        <v>6710</v>
      </c>
      <c r="E25" s="46" t="s">
        <v>12041</v>
      </c>
      <c r="F25" s="46" t="str">
        <f>VLOOKUP(D25,'Master Data'!A:F,4,FALSE)</f>
        <v>w</v>
      </c>
      <c r="G25" s="46" t="str">
        <f>VLOOKUP(D25,'Master Data'!A:F,5,FALSE)</f>
        <v>Pushflow</v>
      </c>
      <c r="H25" s="111">
        <v>240</v>
      </c>
      <c r="I25" s="53" t="s">
        <v>11941</v>
      </c>
      <c r="J25" s="53"/>
      <c r="K25" s="53"/>
      <c r="L25" s="53"/>
      <c r="M25" s="53"/>
      <c r="N25" s="53"/>
      <c r="O25" s="53"/>
      <c r="P25" s="53"/>
    </row>
    <row r="26" spans="1:16" ht="23.25" customHeight="1" x14ac:dyDescent="0.25">
      <c r="A26" s="46" t="str">
        <f>VLOOKUP(D26,'Master Data'!A:F,2,FALSE)</f>
        <v>Raphael</v>
      </c>
      <c r="B26" s="46" t="str">
        <f>VLOOKUP(D26,'Master Data'!A:F,3,FALSE)</f>
        <v>Hubler</v>
      </c>
      <c r="C26" s="47" t="str">
        <f>VLOOKUP(D26,'Master Data'!A:F,6,FALSE)</f>
        <v>raphaelhubler@gmail.com</v>
      </c>
      <c r="D26" s="30" t="s">
        <v>6428</v>
      </c>
      <c r="E26" s="46"/>
      <c r="F26" s="46" t="str">
        <f>VLOOKUP(D26,'Master Data'!A:F,4,FALSE)</f>
        <v>m</v>
      </c>
      <c r="G26" s="46" t="str">
        <f>VLOOKUP(D26,'Master Data'!A:F,5,FALSE)</f>
        <v>Pushflow</v>
      </c>
      <c r="H26" s="111">
        <v>240</v>
      </c>
      <c r="I26" s="53" t="s">
        <v>11941</v>
      </c>
      <c r="J26" s="53"/>
      <c r="K26" s="53"/>
      <c r="L26" s="53"/>
      <c r="M26" s="53"/>
      <c r="N26" s="53"/>
      <c r="O26" s="53"/>
      <c r="P26" s="53"/>
    </row>
    <row r="27" spans="1:16" ht="23.25" customHeight="1" x14ac:dyDescent="0.25">
      <c r="A27" s="46" t="str">
        <f>VLOOKUP(D27,'Master Data'!A:F,2,FALSE)</f>
        <v>Sarah</v>
      </c>
      <c r="B27" s="46" t="str">
        <f>VLOOKUP(D27,'Master Data'!A:F,3,FALSE)</f>
        <v>Imhof</v>
      </c>
      <c r="C27" s="47" t="str">
        <f>VLOOKUP(D27,'Master Data'!A:F,6,FALSE)</f>
        <v>sarah.imhof60@gmail.com</v>
      </c>
      <c r="D27" s="30" t="s">
        <v>8507</v>
      </c>
      <c r="E27" s="46"/>
      <c r="F27" s="46" t="str">
        <f>VLOOKUP(D27,'Master Data'!A:F,4,FALSE)</f>
        <v>w</v>
      </c>
      <c r="G27" s="46" t="str">
        <f>VLOOKUP(D27,'Master Data'!A:F,5,FALSE)</f>
        <v>Paar</v>
      </c>
      <c r="H27" s="111">
        <v>240</v>
      </c>
      <c r="I27" s="53" t="s">
        <v>11941</v>
      </c>
      <c r="J27" s="53"/>
      <c r="K27" s="53"/>
      <c r="L27" s="53"/>
      <c r="M27" s="53"/>
      <c r="N27" s="53"/>
      <c r="O27" s="53"/>
      <c r="P27" s="53"/>
    </row>
    <row r="28" spans="1:16" ht="23.25" customHeight="1" x14ac:dyDescent="0.25">
      <c r="A28" s="46" t="str">
        <f>VLOOKUP(D28,'Master Data'!A:F,2,FALSE)</f>
        <v>Jo</v>
      </c>
      <c r="B28" s="46" t="str">
        <f>VLOOKUP(D28,'Master Data'!A:F,3,FALSE)</f>
        <v>Storrar</v>
      </c>
      <c r="C28" s="47" t="str">
        <f>VLOOKUP(D28,'Master Data'!A:F,6,FALSE)</f>
        <v>joanne_storrar@hotmail.com</v>
      </c>
      <c r="D28" s="30" t="s">
        <v>6679</v>
      </c>
      <c r="E28" s="46"/>
      <c r="F28" s="46" t="str">
        <f>VLOOKUP(D28,'Master Data'!A:F,4,FALSE)</f>
        <v>w</v>
      </c>
      <c r="G28" s="46" t="str">
        <f>VLOOKUP(D28,'Master Data'!A:F,5,FALSE)</f>
        <v>Pushflow</v>
      </c>
      <c r="H28" s="111">
        <v>240</v>
      </c>
      <c r="I28" s="53" t="s">
        <v>11941</v>
      </c>
      <c r="J28" s="53"/>
      <c r="K28" s="53"/>
      <c r="L28" s="53"/>
      <c r="M28" s="53"/>
      <c r="N28" s="53"/>
      <c r="O28" s="53"/>
      <c r="P28" s="53"/>
    </row>
    <row r="29" spans="1:16" ht="23.25" customHeight="1" x14ac:dyDescent="0.25">
      <c r="A29" s="46" t="str">
        <f>VLOOKUP(D29,'Master Data'!A:F,2,FALSE)</f>
        <v>Ali</v>
      </c>
      <c r="B29" s="46" t="str">
        <f>VLOOKUP(D29,'Master Data'!A:F,3,FALSE)</f>
        <v>Üstündag</v>
      </c>
      <c r="C29" s="47" t="str">
        <f>VLOOKUP(D29,'Master Data'!A:F,6,FALSE)</f>
        <v>ali.uestuendag@gmail.com</v>
      </c>
      <c r="D29" s="30" t="s">
        <v>8514</v>
      </c>
      <c r="E29" s="46"/>
      <c r="F29" s="46" t="str">
        <f>VLOOKUP(D29,'Master Data'!A:F,4,FALSE)</f>
        <v>m</v>
      </c>
      <c r="G29" s="46" t="str">
        <f>VLOOKUP(D29,'Master Data'!A:F,5,FALSE)</f>
        <v>Pushflow</v>
      </c>
      <c r="H29" s="111">
        <v>240</v>
      </c>
      <c r="I29" s="53" t="s">
        <v>11941</v>
      </c>
      <c r="J29" s="53"/>
      <c r="K29" s="53"/>
      <c r="L29" s="53"/>
      <c r="M29" s="53"/>
      <c r="N29" s="53"/>
      <c r="O29" s="53"/>
      <c r="P29" s="53"/>
    </row>
    <row r="30" spans="1:16" ht="23.25" customHeight="1" x14ac:dyDescent="0.25">
      <c r="A30" s="46" t="str">
        <f>VLOOKUP(D30,'Master Data'!A:F,2,FALSE)</f>
        <v>Lena</v>
      </c>
      <c r="B30" s="46" t="str">
        <f>VLOOKUP(D30,'Master Data'!A:F,3,FALSE)</f>
        <v>Bremer</v>
      </c>
      <c r="C30" s="47" t="str">
        <f>VLOOKUP(D30,'Master Data'!A:F,6,FALSE)</f>
        <v>lena_bremer96@web.de</v>
      </c>
      <c r="D30" s="30" t="s">
        <v>8409</v>
      </c>
      <c r="E30" s="46"/>
      <c r="F30" s="46" t="str">
        <f>VLOOKUP(D30,'Master Data'!A:F,4,FALSE)</f>
        <v>w</v>
      </c>
      <c r="G30" s="46" t="str">
        <f>VLOOKUP(D30,'Master Data'!A:F,5,FALSE)</f>
        <v>Pushflow</v>
      </c>
      <c r="H30" s="111">
        <v>240</v>
      </c>
      <c r="I30" s="53" t="s">
        <v>11754</v>
      </c>
      <c r="J30" s="53"/>
      <c r="K30" s="53"/>
      <c r="L30" s="53"/>
      <c r="M30" s="53"/>
      <c r="N30" s="53"/>
      <c r="O30" s="53"/>
      <c r="P30" s="53"/>
    </row>
    <row r="31" spans="1:16" ht="23.25" customHeight="1" x14ac:dyDescent="0.25">
      <c r="A31" s="46" t="str">
        <f>VLOOKUP(D31,'Master Data'!A:F,2,FALSE)</f>
        <v>Rita</v>
      </c>
      <c r="B31" s="46" t="str">
        <f>VLOOKUP(D31,'Master Data'!A:F,3,FALSE)</f>
        <v>Gonzalez</v>
      </c>
      <c r="C31" s="47" t="str">
        <f>VLOOKUP(D31,'Master Data'!A:F,6,FALSE)</f>
        <v>ritamaria.gd@gmail.com</v>
      </c>
      <c r="D31" s="30" t="s">
        <v>8759</v>
      </c>
      <c r="E31" s="46"/>
      <c r="F31" s="46" t="str">
        <f>VLOOKUP(D31,'Master Data'!A:F,4,FALSE)</f>
        <v>w</v>
      </c>
      <c r="G31" s="46" t="str">
        <f>VLOOKUP(D31,'Master Data'!A:F,5,FALSE)</f>
        <v>Pushflow</v>
      </c>
      <c r="H31" s="111">
        <v>240</v>
      </c>
      <c r="I31" s="53" t="s">
        <v>11754</v>
      </c>
      <c r="J31" s="53"/>
      <c r="K31" s="53"/>
      <c r="L31" s="53"/>
      <c r="M31" s="53"/>
      <c r="N31" s="53"/>
      <c r="O31" s="53"/>
      <c r="P31" s="53"/>
    </row>
    <row r="32" spans="1:16" ht="23.25" customHeight="1" x14ac:dyDescent="0.25">
      <c r="A32" s="55" t="str">
        <f>VLOOKUP(D32,'Master Data'!A:F,2,FALSE)</f>
        <v xml:space="preserve">Rabea </v>
      </c>
      <c r="B32" s="55" t="str">
        <f>VLOOKUP(D32,'Master Data'!A:F,3,FALSE)</f>
        <v>Widmer</v>
      </c>
      <c r="C32" s="56" t="str">
        <f>VLOOKUP(D32,'Master Data'!A:F,6,FALSE)</f>
        <v>widmerrabea@gmail.com</v>
      </c>
      <c r="D32" s="55" t="s">
        <v>6531</v>
      </c>
      <c r="E32" s="55"/>
      <c r="F32" s="55" t="str">
        <f>VLOOKUP(D32,'Master Data'!A:F,4,FALSE)</f>
        <v>w</v>
      </c>
      <c r="G32" s="71" t="str">
        <f>VLOOKUP(D32,'Master Data'!A:F,5,FALSE)</f>
        <v>Pushflow</v>
      </c>
      <c r="H32" s="111">
        <v>240</v>
      </c>
      <c r="I32" s="53" t="s">
        <v>11941</v>
      </c>
      <c r="J32" s="53"/>
      <c r="K32" s="53"/>
      <c r="L32" s="53"/>
      <c r="M32" s="53"/>
      <c r="N32" s="53"/>
      <c r="O32" s="53"/>
      <c r="P32" s="53"/>
    </row>
    <row r="33" spans="1:16" ht="23.25" customHeight="1" x14ac:dyDescent="0.25">
      <c r="A33" s="55" t="str">
        <f>VLOOKUP(D33,'Master Data'!A:F,2,FALSE)</f>
        <v>Marco</v>
      </c>
      <c r="B33" s="55" t="str">
        <f>VLOOKUP(D33,'Master Data'!A:F,3,FALSE)</f>
        <v>Krummenacher</v>
      </c>
      <c r="C33" s="56" t="str">
        <f>VLOOKUP(D33,'Master Data'!A:F,6,FALSE)</f>
        <v>marco.krummenacher@unibas.ch</v>
      </c>
      <c r="D33" s="55" t="s">
        <v>6805</v>
      </c>
      <c r="E33" s="55"/>
      <c r="F33" s="55" t="str">
        <f>VLOOKUP(D33,'Master Data'!A:F,4,FALSE)</f>
        <v>m</v>
      </c>
      <c r="G33" s="71" t="str">
        <f>VLOOKUP(D33,'Master Data'!A:F,5,FALSE)</f>
        <v>Pushflow</v>
      </c>
      <c r="H33" s="111">
        <v>240</v>
      </c>
      <c r="I33" s="53" t="s">
        <v>11941</v>
      </c>
      <c r="J33" s="53"/>
      <c r="K33" s="53"/>
      <c r="L33" s="53"/>
      <c r="M33" s="53"/>
      <c r="N33" s="53"/>
      <c r="O33" s="53"/>
      <c r="P33" s="53"/>
    </row>
    <row r="34" spans="1:16" ht="23.25" customHeight="1" x14ac:dyDescent="0.25">
      <c r="A34" s="55" t="str">
        <f>VLOOKUP(D34,'Master Data'!A:F,2,FALSE)</f>
        <v>Ruben</v>
      </c>
      <c r="B34" s="55" t="str">
        <f>VLOOKUP(D34,'Master Data'!A:F,3,FALSE)</f>
        <v>Castillo</v>
      </c>
      <c r="C34" s="56" t="str">
        <f>VLOOKUP(D34,'Master Data'!A:F,6,FALSE)</f>
        <v>rubencastillo@hotmail.ch</v>
      </c>
      <c r="D34" s="53" t="s">
        <v>7045</v>
      </c>
      <c r="E34" s="53"/>
      <c r="F34" s="53" t="str">
        <f>VLOOKUP(D34,'Master Data'!A:F,4,FALSE)</f>
        <v>m</v>
      </c>
      <c r="G34" s="53" t="str">
        <f>VLOOKUP(D34,'Master Data'!A:F,5,FALSE)</f>
        <v>Pushflow</v>
      </c>
      <c r="H34" s="111">
        <v>240</v>
      </c>
      <c r="I34" s="53" t="s">
        <v>11941</v>
      </c>
      <c r="J34" s="53"/>
      <c r="K34" s="53"/>
      <c r="L34" s="53"/>
      <c r="M34" s="53"/>
      <c r="N34" s="53"/>
      <c r="O34" s="53"/>
      <c r="P34" s="53"/>
    </row>
    <row r="35" spans="1:16" ht="23.25" customHeight="1" x14ac:dyDescent="0.25">
      <c r="A35" s="55" t="str">
        <f>VLOOKUP(D35,'Master Data'!A:F,2,FALSE)</f>
        <v>Stephanie</v>
      </c>
      <c r="B35" s="55" t="str">
        <f>VLOOKUP(D35,'Master Data'!A:F,3,FALSE)</f>
        <v>Csendes</v>
      </c>
      <c r="C35" s="56" t="str">
        <f>VLOOKUP(D35,'Master Data'!A:F,6,FALSE)</f>
        <v>stephanie.csendes@gmail.com</v>
      </c>
      <c r="D35" s="30" t="s">
        <v>9476</v>
      </c>
      <c r="E35" s="53"/>
      <c r="F35" s="53" t="str">
        <f>VLOOKUP(D35,'Master Data'!A:F,4,FALSE)</f>
        <v>w</v>
      </c>
      <c r="G35" s="53" t="str">
        <f>VLOOKUP(D35,'Master Data'!A:F,5,FALSE)</f>
        <v>Normal</v>
      </c>
      <c r="H35" s="111">
        <v>240</v>
      </c>
      <c r="I35" s="53" t="s">
        <v>11941</v>
      </c>
      <c r="J35" s="53"/>
      <c r="K35" s="53"/>
      <c r="L35" s="53"/>
      <c r="M35" s="53"/>
      <c r="N35" s="53"/>
      <c r="O35" s="53"/>
      <c r="P35" s="53"/>
    </row>
    <row r="36" spans="1:16" ht="18" customHeight="1" x14ac:dyDescent="0.25">
      <c r="A36" s="53"/>
      <c r="B36" s="53"/>
      <c r="C36" s="53"/>
      <c r="D36" s="53"/>
      <c r="E36" s="53"/>
      <c r="F36" s="53"/>
      <c r="G36" s="72" t="s">
        <v>11290</v>
      </c>
      <c r="H36" s="73">
        <f>SUM(H7:H35)</f>
        <v>3120</v>
      </c>
      <c r="I36" s="53"/>
      <c r="J36" s="53"/>
      <c r="K36" s="53"/>
      <c r="L36" s="53"/>
      <c r="M36" s="53"/>
      <c r="N36" s="53"/>
      <c r="O36" s="53"/>
      <c r="P36" s="53"/>
    </row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P6"/>
  </mergeCells>
  <conditionalFormatting sqref="A7:C35">
    <cfRule type="cellIs" dxfId="3" priority="1" operator="equal">
      <formula>0</formula>
    </cfRule>
    <cfRule type="expression" dxfId="2" priority="2">
      <formula>ISERROR(A7)</formula>
    </cfRule>
  </conditionalFormatting>
  <conditionalFormatting sqref="F7:G31">
    <cfRule type="cellIs" dxfId="1" priority="3" operator="equal">
      <formula>0</formula>
    </cfRule>
    <cfRule type="expression" dxfId="0" priority="4">
      <formula>ISERROR(F7)</formula>
    </cfRule>
  </conditionalFormatting>
  <pageMargins left="0.41666666666666669" right="0.41666666666666669" top="0.78740157499999996" bottom="0.78740157499999996" header="0" footer="0"/>
  <pageSetup paperSize="9" scale="62" orientation="landscape"/>
  <headerFooter>
    <oddFooter>&amp;LSalsaflow Dance Company GmbH Elisabethenanlage 7, 4051 Basel&amp;CSebastian - Tel. 076 218 21 98 Fabio - Tel. 076 478 84 11&amp;Rinfo@salsaflow-dc.com www.salsaflow-dc.com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0000"/>
  </sheetPr>
  <dimension ref="A1:Z61"/>
  <sheetViews>
    <sheetView topLeftCell="A16" workbookViewId="0">
      <selection activeCell="A55" sqref="A55"/>
    </sheetView>
  </sheetViews>
  <sheetFormatPr baseColWidth="10" defaultColWidth="14.42578125" defaultRowHeight="15" customHeight="1" outlineLevelRow="1" x14ac:dyDescent="0.25"/>
  <cols>
    <col min="1" max="1" width="81.42578125" customWidth="1"/>
    <col min="2" max="2" width="20.42578125" customWidth="1"/>
    <col min="3" max="3" width="33.42578125" customWidth="1"/>
    <col min="4" max="6" width="11.42578125" customWidth="1"/>
  </cols>
  <sheetData>
    <row r="1" spans="1:26" ht="21.75" customHeight="1" x14ac:dyDescent="0.25">
      <c r="A1" s="36" t="s">
        <v>11337</v>
      </c>
      <c r="B1" s="37"/>
      <c r="C1" s="37"/>
    </row>
    <row r="2" spans="1:26" ht="6.75" customHeight="1" x14ac:dyDescent="0.25">
      <c r="A2" s="74"/>
      <c r="B2" s="75"/>
      <c r="C2" s="76"/>
    </row>
    <row r="3" spans="1:26" ht="17.25" customHeight="1" x14ac:dyDescent="0.25">
      <c r="A3" s="77" t="s">
        <v>11655</v>
      </c>
      <c r="B3" s="78"/>
      <c r="C3" s="78"/>
    </row>
    <row r="4" spans="1:26" ht="17.25" customHeight="1" x14ac:dyDescent="0.25">
      <c r="A4" s="77" t="s">
        <v>11338</v>
      </c>
      <c r="B4" s="78"/>
      <c r="C4" s="78"/>
    </row>
    <row r="5" spans="1:26" ht="6.75" customHeight="1" x14ac:dyDescent="0.25">
      <c r="A5" s="79"/>
      <c r="B5" s="80"/>
      <c r="C5" s="81"/>
    </row>
    <row r="6" spans="1:26" ht="21.75" customHeight="1" x14ac:dyDescent="0.25">
      <c r="A6" s="43" t="s">
        <v>11339</v>
      </c>
      <c r="B6" s="43" t="s">
        <v>11290</v>
      </c>
      <c r="C6" s="43" t="s">
        <v>11340</v>
      </c>
    </row>
    <row r="7" spans="1:26" ht="15" customHeight="1" x14ac:dyDescent="0.25">
      <c r="A7" s="82" t="s">
        <v>11277</v>
      </c>
      <c r="B7" s="57"/>
      <c r="C7" s="83"/>
    </row>
    <row r="8" spans="1:26" ht="15" customHeight="1" x14ac:dyDescent="0.25">
      <c r="A8" s="84" t="str">
        <f>CONCATENATE(MID('Mo_Salsa Intermediate Stufe 11'!A1,15,50)," ","/"," ",'Mo_Salsa Intermediate Stufe 11'!B3," ","/"," ",'Mo_Salsa Intermediate Stufe 11'!B4)</f>
        <v>Salsa Intermediate Stufe 11 / 05.01.2026 - 02.03.2026 / 18:30 - 19:30</v>
      </c>
      <c r="B8" s="85">
        <f>'Mo_Salsa Intermediate Stufe 11'!H32</f>
        <v>5055</v>
      </c>
      <c r="C8" s="85"/>
    </row>
    <row r="9" spans="1:26" ht="15" customHeight="1" x14ac:dyDescent="0.25">
      <c r="A9" s="84" t="str">
        <f>CONCATENATE(MID('Mo_Salsa Intermediate Stufe 8'!A1,15,50)," ","/"," ",'Mo_Salsa Intermediate Stufe 8'!B3," ","/"," ",'Mo_Salsa Intermediate Stufe 8'!B4)</f>
        <v>Salsa Intermediate 8 / 05.01.2026 - 02.03.2026 / 18:30 - 19:30</v>
      </c>
      <c r="B9" s="85">
        <f>'Mo_Salsa Intermediate Stufe 8'!H32</f>
        <v>3675</v>
      </c>
      <c r="C9" s="86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5" customHeight="1" x14ac:dyDescent="0.25">
      <c r="A10" s="84" t="str">
        <f>CONCATENATE(MID('Mo_Salsa Beginner Stufe 3'!A1,15,50)," ","/"," ",'Mo_Salsa Beginner Stufe 3'!B3," ","/"," ",'Mo_Salsa Beginner Stufe 3'!B4)</f>
        <v>Salsa Beginner Stufe 3 / 05.01.2026 - 02.03.2026 / 18:30 - 19:30</v>
      </c>
      <c r="B10" s="85">
        <f>'Mo_Salsa Beginner Stufe 3'!H32</f>
        <v>3316</v>
      </c>
      <c r="C10" s="86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5" customHeight="1" outlineLevel="1" x14ac:dyDescent="0.25">
      <c r="A11" s="84" t="str">
        <f>CONCATENATE(MID('Mo_Salsa Advanced Stufe 17'!$A$1,15,50)," ","/"," ",'Mo_Salsa Advanced Stufe 17'!$B$3," ","/"," ",'Mo_Salsa Advanced Stufe 17'!$B$4)</f>
        <v>Salsa Advanced Stufe 17 / 05.01.2026 - 02.03.2026 / 19:30 - 20:30</v>
      </c>
      <c r="B11" s="85">
        <f>'Mo_Salsa Advanced Stufe 17'!H32</f>
        <v>1265</v>
      </c>
      <c r="C11" s="85"/>
    </row>
    <row r="12" spans="1:26" ht="15" customHeight="1" x14ac:dyDescent="0.25">
      <c r="A12" s="84" t="str">
        <f>CONCATENATE(MID('Mo_Salsa Intermediate Flow'!$A$1,15,50)," ","/"," ",'Mo_Salsa Intermediate Flow'!$B$3," ","/"," ",'Mo_Salsa Intermediate Flow'!$B$4)</f>
        <v>Salsa Intermediate Flow / 05.01.2026 - 02.03.2026 / 19:30 - 20:30</v>
      </c>
      <c r="B12" s="85">
        <f>'Mo_Salsa Intermediate Flow'!H34</f>
        <v>2948</v>
      </c>
      <c r="C12" s="85"/>
    </row>
    <row r="13" spans="1:26" ht="15" customHeight="1" x14ac:dyDescent="0.25">
      <c r="A13" s="84" t="str">
        <f>CONCATENATE(MID('Mo_Salsa Beginner Stufe 2'!$A$1,15,50)," ","/"," ",'Mo_Salsa Beginner Stufe 2'!$B$3," ","/"," ",'Mo_Salsa Beginner Stufe 2'!$B$4)</f>
        <v>Salsa Beginner Stufe 2 / 05.01.2026 - 02.03.2026 / 19:30 - 20:30</v>
      </c>
      <c r="B13" s="85">
        <f>'Mo_Salsa Beginner Stufe 2'!H32</f>
        <v>2040</v>
      </c>
      <c r="C13" s="85"/>
    </row>
    <row r="14" spans="1:26" ht="15" customHeight="1" x14ac:dyDescent="0.25">
      <c r="A14" s="84" t="str">
        <f>CONCATENATE(MID('Mo_Salsa Advanced 15'!$A$1,15,50)," ","/"," ",'Mo_Salsa Advanced 15'!$B$3," ","/"," ",'Mo_Salsa Advanced 15'!$B$4)</f>
        <v>Salsa Advanced Stufe 15 / 05.01.2026 - 02.03.2026 / 20:30 - 21:30</v>
      </c>
      <c r="B14" s="85">
        <f>'Mo_Salsa Advanced 15'!H32</f>
        <v>2535</v>
      </c>
      <c r="C14" s="85"/>
    </row>
    <row r="15" spans="1:26" ht="15" customHeight="1" x14ac:dyDescent="0.25">
      <c r="A15" s="84" t="str">
        <f>CONCATENATE(MID('Mo_Salsa Intermediate Stufe 10'!$A$1,15,50)," ","/"," ",'Mo_Salsa Intermediate Stufe 10'!$B$3," ","/"," ",'Mo_Salsa Intermediate Stufe 10'!$B$4)</f>
        <v>Salsa Intermediate Stufe 10 / 05.01.2026 - 02.03.2026 / 20:30 - 21:30</v>
      </c>
      <c r="B15" s="85">
        <f>'Mo_Salsa Intermediate Stufe 10'!H32</f>
        <v>2410</v>
      </c>
      <c r="C15" s="85"/>
    </row>
    <row r="16" spans="1:26" ht="15" customHeight="1" x14ac:dyDescent="0.25">
      <c r="A16" s="84" t="str">
        <f>CONCATENATE(MID('Mo_Salsa Beginner Stufe 1'!$A$1,15,50)," ","/"," ",'Mo_Salsa Beginner Stufe 1'!$B$3," ","/"," ",'Mo_Salsa Beginner Stufe 1'!$B$4)</f>
        <v>Salsa Beginner Stufe 1 / 05.01.2026 - 02.03.2026 / 20:30 - 21:30</v>
      </c>
      <c r="B16" s="85">
        <f>'Mo_Salsa Beginner Stufe 1'!H32</f>
        <v>2130</v>
      </c>
      <c r="C16" s="85"/>
    </row>
    <row r="17" spans="1:3" ht="15" customHeight="1" x14ac:dyDescent="0.25">
      <c r="A17" s="88" t="s">
        <v>11341</v>
      </c>
      <c r="B17" s="89">
        <f>SUM((B8:B16))</f>
        <v>25374</v>
      </c>
      <c r="C17" s="90"/>
    </row>
    <row r="18" spans="1:3" ht="6.75" customHeight="1" x14ac:dyDescent="0.25">
      <c r="A18" s="55"/>
      <c r="B18" s="91"/>
      <c r="C18" s="69"/>
    </row>
    <row r="19" spans="1:3" ht="15" customHeight="1" x14ac:dyDescent="0.25">
      <c r="A19" s="82" t="s">
        <v>11297</v>
      </c>
      <c r="B19" s="57"/>
      <c r="C19" s="83"/>
    </row>
    <row r="20" spans="1:3" ht="15" customHeight="1" x14ac:dyDescent="0.25">
      <c r="A20" s="84" t="str">
        <f>CONCATENATE(MID('Di_Salsa Beginner Stufe 2'!A1,15,50)," ","/"," ",'Di_Salsa Beginner Stufe 2'!B3," ","/"," ",'Di_Salsa Beginner Stufe 2'!B4)</f>
        <v>Salsa Beginner Stufe 2 / 06.01.2026 - 03.03.2026 / 18:30 - 19:30</v>
      </c>
      <c r="B20" s="85">
        <f>'Di_Salsa Beginner Stufe 2'!H32</f>
        <v>2685</v>
      </c>
      <c r="C20" s="90"/>
    </row>
    <row r="21" spans="1:3" ht="15" customHeight="1" outlineLevel="1" x14ac:dyDescent="0.25">
      <c r="A21" s="84" t="str">
        <f>CONCATENATE(MID('Di_Salsa Intermediate Stufe 9'!$A$1,15,50)," ","/"," ",'Di_Salsa Intermediate Stufe 9'!$B$3," ","/"," ",'Di_Salsa Intermediate Stufe 9'!$B$4)</f>
        <v>Salsa Intermediate Stufe 9 / 06.01.2026 - 03.03.2026 / 18:30 - 19:30</v>
      </c>
      <c r="B21" s="85">
        <f>'Di_Salsa Intermediate Stufe 9'!H32</f>
        <v>2415</v>
      </c>
      <c r="C21" s="90"/>
    </row>
    <row r="22" spans="1:3" ht="15" customHeight="1" x14ac:dyDescent="0.25">
      <c r="A22" s="84" t="str">
        <f>CONCATENATE(MID('Di_Basics &amp; Fundamentals'!A1,15,50)," ","/"," ",'Di_Basics &amp; Fundamentals'!B3," ","/"," ",'Di_Basics &amp; Fundamentals'!B4)</f>
        <v>Basics &amp; Fundamentals / 06.01.2026 - 03.03.2026 / 19:30 - 20:30</v>
      </c>
      <c r="B22" s="85">
        <f>'Di_Basics &amp; Fundamentals'!H32</f>
        <v>380</v>
      </c>
      <c r="C22" s="90"/>
    </row>
    <row r="23" spans="1:3" ht="15" customHeight="1" x14ac:dyDescent="0.25">
      <c r="A23" s="84" t="str">
        <f>CONCATENATE(MID('Di_Salsa Advanced Stufe 16'!A1,15,50)," ","/"," ",'Di_Salsa Advanced Stufe 16'!B3," ","/"," ",'Di_Salsa Advanced Stufe 16'!B4)</f>
        <v>Salsa Advanced Stufe 16 / 06.01.2026 - 03.03.2026 / 19:30 - 20:30</v>
      </c>
      <c r="B23" s="85">
        <f>'Di_Salsa Advanced Stufe 16'!H32</f>
        <v>2200</v>
      </c>
      <c r="C23" s="90"/>
    </row>
    <row r="24" spans="1:3" ht="15" customHeight="1" x14ac:dyDescent="0.25">
      <c r="A24" s="84" t="str">
        <f>CONCATENATE(MID('Di_Salsa Beginner Stufe 3'!A1,15,50)," ","/"," ",'Di_Salsa Beginner Stufe 3'!B3," ","/"," ",'Di_Salsa Beginner Stufe 3'!B4)</f>
        <v>Salsa Beginner Stufe 3 / 06.01.2026 - 03.03.2026 / 19:30 - 20:30</v>
      </c>
      <c r="B24" s="85">
        <f>'Di_Salsa Beginner Stufe 3'!H32</f>
        <v>1700</v>
      </c>
      <c r="C24" s="90"/>
    </row>
    <row r="25" spans="1:3" ht="15" customHeight="1" x14ac:dyDescent="0.25">
      <c r="A25" s="84" t="str">
        <f>CONCATENATE(MID('Di_Cha cha cha'!A1,15,50)," ","/"," ",'Di_Cha cha cha'!B3," ","/"," ",'Di_Cha cha cha'!B4)</f>
        <v>Cha cha cha / 06.01.2026 - 03.03.2026 / 20:30 - 21:30</v>
      </c>
      <c r="B25" s="85">
        <f>'Di_Cha cha cha'!H32</f>
        <v>410</v>
      </c>
      <c r="C25" s="90"/>
    </row>
    <row r="26" spans="1:3" ht="15" customHeight="1" x14ac:dyDescent="0.25">
      <c r="A26" s="84" t="str">
        <f>CONCATENATE(MID('Di_Salsa Advanced Stufe 13'!A1,15,50)," ","/"," ",'Di_Salsa Advanced Stufe 13'!B3," ","/"," ",'Di_Salsa Advanced Stufe 13'!B4)</f>
        <v>Salsa Advanced Stufe 13 / 06.01.2026 - 03.03.2026 / 20:30 - 21:30</v>
      </c>
      <c r="B26" s="85">
        <f>'Di_Salsa Advanced Stufe 13'!H32</f>
        <v>2350</v>
      </c>
      <c r="C26" s="90"/>
    </row>
    <row r="27" spans="1:3" ht="15" customHeight="1" x14ac:dyDescent="0.25">
      <c r="A27" s="84" t="str">
        <f>CONCATENATE(MID('Di_Salsa Beginner Stufe 1'!A1,15,50)," ","/"," ",'Di_Salsa Beginner Stufe 1'!B3," ","/"," ",'Di_Salsa Beginner Stufe 1'!B4)</f>
        <v>Salsa Beginner Stufe 1 / 06.01.2026 - 03.03.2026 / 20:30 - 21:30</v>
      </c>
      <c r="B27" s="85">
        <f>'Di_Salsa Beginner Stufe 1'!H32</f>
        <v>0</v>
      </c>
      <c r="C27" s="90"/>
    </row>
    <row r="28" spans="1:3" ht="15" customHeight="1" x14ac:dyDescent="0.25">
      <c r="A28" s="88" t="s">
        <v>11342</v>
      </c>
      <c r="B28" s="89">
        <f>SUM((B20:B27))</f>
        <v>12140</v>
      </c>
      <c r="C28" s="90"/>
    </row>
    <row r="29" spans="1:3" ht="6.75" customHeight="1" x14ac:dyDescent="0.25">
      <c r="A29" s="82"/>
      <c r="B29" s="57"/>
    </row>
    <row r="30" spans="1:3" ht="15" customHeight="1" x14ac:dyDescent="0.25">
      <c r="A30" s="82" t="s">
        <v>11303</v>
      </c>
      <c r="B30" s="57"/>
      <c r="C30" s="90"/>
    </row>
    <row r="31" spans="1:3" ht="15" customHeight="1" x14ac:dyDescent="0.25">
      <c r="A31" s="84" t="str">
        <f>CONCATENATE(MID('Mi_Salsa Beginner Stufe 1'!A1,15,50)," ","/"," ",'Mi_Salsa Beginner Stufe 1'!B3," ","/"," ",'Mi_Salsa Beginner Stufe 1'!B4)</f>
        <v>Salsa Beginner Stufe 1 / 07.01.2026 - 04.03.2026 / 18:30 - 19:30</v>
      </c>
      <c r="B31" s="85">
        <f>'Mi_Salsa Beginner Stufe 1'!H33</f>
        <v>3115</v>
      </c>
      <c r="C31" s="90"/>
    </row>
    <row r="32" spans="1:3" ht="15" customHeight="1" x14ac:dyDescent="0.25">
      <c r="A32" s="84" t="str">
        <f>CONCATENATE(MID('Mi_Bodymovement &amp; Ladystyle'!A1,15,50)," ","/"," ",'Mi_Bodymovement &amp; Ladystyle'!B3," ","/"," ",'Mi_Bodymovement &amp; Ladystyle'!B4)</f>
        <v>Bodymovement &amp; Ladystyle / 07.01.2026 - 04.03.2026 / 18:30 - 19:30</v>
      </c>
      <c r="B32" s="85">
        <f>'Mi_Bodymovement &amp; Ladystyle'!H32</f>
        <v>270</v>
      </c>
      <c r="C32" s="90"/>
    </row>
    <row r="33" spans="1:3" ht="15" customHeight="1" x14ac:dyDescent="0.25">
      <c r="A33" s="84" t="str">
        <f>CONCATENATE(MID('Mi_Bachata Beginner Stufe 4'!A1,15,50)," ","/"," ",'Mi_Bachata Beginner Stufe 4'!B3," ","/"," ",'Mi_Bachata Beginner Stufe 4'!B4)</f>
        <v>Bachata Beginner Stufe 4 / 07.01.2026 - 04.03.2026 / 18:30 - 19:30</v>
      </c>
      <c r="B33" s="85">
        <f>'Mi_Bachata Beginner Stufe 4'!H32</f>
        <v>1655</v>
      </c>
      <c r="C33" s="90"/>
    </row>
    <row r="34" spans="1:3" ht="15" customHeight="1" x14ac:dyDescent="0.25">
      <c r="A34" s="84" t="str">
        <f>CONCATENATE(MID('Mi_Salsa Advanced On2 Flow'!A1,15,50)," ","/"," ",'Mi_Salsa Advanced On2 Flow'!B3," ","/"," ",'Mi_Salsa Advanced On2 Flow'!B4)</f>
        <v>Salsa Advanced On2 Flow / 07.01.2026 - 04.03.2026 / 19:30 - 20:30</v>
      </c>
      <c r="B34" s="85">
        <f>'Mi_Salsa Advanced On2 Flow'!H32</f>
        <v>410</v>
      </c>
      <c r="C34" s="90"/>
    </row>
    <row r="35" spans="1:3" ht="15" customHeight="1" x14ac:dyDescent="0.25">
      <c r="A35" s="84" t="str">
        <f>CONCATENATE(MID('Mi_Bachata Beginner Stufe 1'!A1,15,50)," ","/"," ",'Mi_Bachata Beginner Stufe 1'!B3," ","/"," ",'Mi_Bachata Beginner Stufe 1'!B4)</f>
        <v>Bachata Beginner Stufe 1 / 07.01.2026 - 04.03.2026 / 19:30 - 20:30</v>
      </c>
      <c r="B35" s="85">
        <f>'Mi_Bachata Beginner Stufe 1'!H32</f>
        <v>1275</v>
      </c>
      <c r="C35" s="90"/>
    </row>
    <row r="36" spans="1:3" ht="15" customHeight="1" x14ac:dyDescent="0.25">
      <c r="A36" s="84" t="str">
        <f>CONCATENATE(MID('Mi_Salsa Beginner Stufe 5'!A1,15,50)," ","/"," ",'Mi_Salsa Beginner Stufe 5'!B3," ","/"," ",'Mi_Salsa Beginner Stufe 5'!B4)</f>
        <v>Salsa Beginner Stufe 5 / 07.01.2026 - 04.03.2026 / 20:30 - 21:30</v>
      </c>
      <c r="B36" s="85">
        <f>'Mi_Salsa Beginner Stufe 5'!H32</f>
        <v>3035</v>
      </c>
      <c r="C36" s="90"/>
    </row>
    <row r="37" spans="1:3" ht="15" customHeight="1" x14ac:dyDescent="0.25">
      <c r="A37" s="84" t="str">
        <f>CONCATENATE(MID('Mi_Salsa Intermediate Stufe 8'!A1,15,50)," ","/"," ",'Mi_Salsa Intermediate Stufe 8'!B3," ","/"," ",'Mi_Salsa Intermediate Stufe 8'!B4)</f>
        <v>Salsa Intermediate Stufe 8 / 07.01.2026 - 04.03.2026 / 20:30 - 21:30</v>
      </c>
      <c r="B37" s="85">
        <f>'Mi_Salsa Intermediate Stufe 8'!H32</f>
        <v>1120</v>
      </c>
      <c r="C37" s="90"/>
    </row>
    <row r="38" spans="1:3" ht="15" customHeight="1" x14ac:dyDescent="0.25">
      <c r="A38" s="88" t="s">
        <v>11343</v>
      </c>
      <c r="B38" s="89">
        <f>SUM(B31:B37)</f>
        <v>10880</v>
      </c>
      <c r="C38" s="90"/>
    </row>
    <row r="39" spans="1:3" ht="6.75" customHeight="1" x14ac:dyDescent="0.25">
      <c r="A39" s="55"/>
      <c r="B39" s="91"/>
      <c r="C39" s="90"/>
    </row>
    <row r="40" spans="1:3" ht="15" customHeight="1" x14ac:dyDescent="0.25">
      <c r="A40" s="82" t="s">
        <v>11310</v>
      </c>
      <c r="B40" s="57"/>
      <c r="C40" s="90"/>
    </row>
    <row r="41" spans="1:3" ht="15" customHeight="1" x14ac:dyDescent="0.25">
      <c r="A41" s="84" t="str">
        <f>CONCATENATE(MID('Do_Heels Class Intermediate'!A1,15,50)," ","/"," ",'Do_Heels Class Intermediate'!B3," ","/"," ",'Do_Heels Class Intermediate'!B4)</f>
        <v>Heels Class Intermediate / 08.01.2026 - 05.03.2026 / 18:30 - 19:30</v>
      </c>
      <c r="B41" s="85">
        <f>'Do_Heels Class Intermediate'!H32</f>
        <v>1565</v>
      </c>
      <c r="C41" s="90"/>
    </row>
    <row r="42" spans="1:3" ht="15" customHeight="1" x14ac:dyDescent="0.25">
      <c r="A42" s="84" t="str">
        <f>CONCATENATE(MID('Do_Salsa Advanced Stufe 16'!A1,15,50)," ","/"," ",'Do_Salsa Advanced Stufe 16'!B3," ","/"," ",'Do_Salsa Advanced Stufe 16'!B4)</f>
        <v>Salsa Advanced Stufe 16 / 08.01.2026 - 05.03.2026 / 18:30 - 19:30</v>
      </c>
      <c r="B42" s="85">
        <f>'Do_Salsa Advanced Stufe 16'!H32</f>
        <v>1405</v>
      </c>
      <c r="C42" s="90"/>
    </row>
    <row r="43" spans="1:3" ht="15" customHeight="1" x14ac:dyDescent="0.25">
      <c r="A43" s="84" t="str">
        <f>CONCATENATE(MID('Do_Bachata Beginner Stufe 5'!A1,15,50)," ","/"," ",'Do_Bachata Beginner Stufe 5'!B3," ","/"," ",'Do_Bachata Beginner Stufe 5'!B4)</f>
        <v>Bachata Beginner Stufe 5 / 08.01.2026 - 05.03.2026 / 18:30 - 19:30</v>
      </c>
      <c r="B43" s="85">
        <f>'Do_Bachata Beginner Stufe 5'!H33</f>
        <v>430</v>
      </c>
      <c r="C43" s="90"/>
    </row>
    <row r="44" spans="1:3" ht="15" customHeight="1" x14ac:dyDescent="0.25">
      <c r="A44" s="84" t="str">
        <f>CONCATENATE(MID('Do_Heels Class Beginner'!A1,15,50)," ","/"," ",'Do_Heels Class Beginner'!B3," ","/"," ",'Do_Heels Class Beginner'!B4)</f>
        <v>Heels Class Beginner / 08.01.2026 - 05.03.2026 / 19:30 - 20:30</v>
      </c>
      <c r="B44" s="85">
        <f>'Do_Heels Class Beginner'!H32</f>
        <v>1530</v>
      </c>
      <c r="C44" s="90"/>
    </row>
    <row r="45" spans="1:3" ht="15" customHeight="1" x14ac:dyDescent="0.25">
      <c r="A45" s="84" t="str">
        <f>CONCATENATE(MID('Do_Salsa Advanced On2 Flow'!A1,15,50)," ","/"," ",'Do_Salsa Advanced On2 Flow'!B3," ","/"," ",'Do_Salsa Advanced On2 Flow'!B4)</f>
        <v>Salsa Advanced On2 Flow / 08.01.2026 - 05.03.2026 / 19:30 - 20:30</v>
      </c>
      <c r="B45" s="85">
        <f>'Do_Salsa Advanced On2 Flow'!H32</f>
        <v>1120</v>
      </c>
      <c r="C45" s="90"/>
    </row>
    <row r="46" spans="1:3" ht="15" customHeight="1" x14ac:dyDescent="0.25">
      <c r="A46" s="84" t="str">
        <f>CONCATENATE(MID('Do_Bachata Beginner Stufe 2'!A1,15,50)," ","/"," ",'Do_Bachata Beginner Stufe 2'!B3," ","/"," ",'Do_Bachata Beginner Stufe 2'!B4)</f>
        <v>Bachata Beginner Stufe 2 / 08.01.2026 - 05.03.2026 / 19:30 - 20:30</v>
      </c>
      <c r="B46" s="85">
        <f>'Do_Bachata Beginner Stufe 2'!H32</f>
        <v>1115</v>
      </c>
      <c r="C46" s="90"/>
    </row>
    <row r="47" spans="1:3" ht="15" customHeight="1" x14ac:dyDescent="0.25">
      <c r="A47" s="84" t="str">
        <f>CONCATENATE(MID('Do_Bodymovement &amp; Ladystyle Int'!A1,15,50)," ","/"," ",'Do_Bodymovement &amp; Ladystyle Int'!B3," ","/"," ",'Do_Bodymovement &amp; Ladystyle Int'!B4)</f>
        <v>Bodymovement &amp; Ladystyle Int / 08.01.2026 - 05.03.2026 / 20:30 - 21:30</v>
      </c>
      <c r="B47" s="85">
        <f>'Do_Bodymovement &amp; Ladystyle Int'!H32</f>
        <v>690</v>
      </c>
      <c r="C47" s="90"/>
    </row>
    <row r="48" spans="1:3" ht="15" customHeight="1" x14ac:dyDescent="0.25">
      <c r="A48" s="84" t="str">
        <f>CONCATENATE(MID('Do_Salsa Beginner Stufe 3'!A1,15,50)," ","/"," ",'Do_Salsa Beginner Stufe 3'!B3," ","/"," ",'Do_Salsa Beginner Stufe 3'!B4)</f>
        <v>Salsa Beginner Stufe 3 / 08.01.2026 - 05.03.2026 / 20:30 - 21:30</v>
      </c>
      <c r="B48" s="85">
        <f>'Do_Salsa Beginner Stufe 3'!H32</f>
        <v>1300</v>
      </c>
      <c r="C48" s="90"/>
    </row>
    <row r="49" spans="1:3" ht="15" customHeight="1" x14ac:dyDescent="0.25">
      <c r="A49" s="84" t="str">
        <f>CONCATENATE(MID(Do_Contemporary!A1,15,50)," ","/"," ",Do_Contemporary!B3," ","/"," ",Do_Contemporary!B4)</f>
        <v>Contemporary / 08.01.2026 - 05.03.2026 / 20:30 - 21:30</v>
      </c>
      <c r="B49" s="85">
        <f>Do_Contemporary!H32</f>
        <v>0</v>
      </c>
      <c r="C49" s="90"/>
    </row>
    <row r="50" spans="1:3" ht="15" customHeight="1" x14ac:dyDescent="0.25">
      <c r="A50" s="88" t="s">
        <v>11344</v>
      </c>
      <c r="B50" s="89">
        <f>SUM(B41:B49)</f>
        <v>9155</v>
      </c>
      <c r="C50" s="90"/>
    </row>
    <row r="51" spans="1:3" ht="6.75" customHeight="1" x14ac:dyDescent="0.25">
      <c r="A51" s="55"/>
      <c r="B51" s="91"/>
      <c r="C51" s="90"/>
    </row>
    <row r="52" spans="1:3" ht="15" customHeight="1" x14ac:dyDescent="0.25">
      <c r="A52" s="82" t="s">
        <v>11317</v>
      </c>
      <c r="B52" s="89"/>
      <c r="C52" s="90"/>
    </row>
    <row r="53" spans="1:3" ht="15" customHeight="1" x14ac:dyDescent="0.25">
      <c r="A53" s="84" t="str">
        <f>CONCATENATE(MID('Fr_Salsa Beginner Stufe 1'!A1,15,50)," ","/"," ",'Fr_Salsa Beginner Stufe 1'!B3," ","/"," ",'Fr_Salsa Beginner Stufe 1'!B4)</f>
        <v>Salsa Beginner Stufe 1 / 09.01.2026 - 06.03.2026 / 18:30 - 19:30</v>
      </c>
      <c r="B53" s="85">
        <f>'Fr_Salsa Beginner Stufe 1'!H32</f>
        <v>2340</v>
      </c>
      <c r="C53" s="90"/>
    </row>
    <row r="54" spans="1:3" ht="15" customHeight="1" x14ac:dyDescent="0.25">
      <c r="A54" s="84" t="str">
        <f>CONCATENATE(MID('Fr_Salsa Beginner Flow'!A1,15,50)," ","/"," ",'Fr_Salsa Beginner Flow'!B3," ","/"," ",'Fr_Salsa Beginner Flow'!B4)</f>
        <v>Salsa Beginner Flow / 09.01.2026 - 06.03.2026 / 18:30 - 19:30</v>
      </c>
      <c r="B54" s="85">
        <f>'Fr_Salsa Beginner Flow'!H32</f>
        <v>0</v>
      </c>
      <c r="C54" s="90"/>
    </row>
    <row r="55" spans="1:3" ht="15" customHeight="1" x14ac:dyDescent="0.25">
      <c r="A55" s="84" t="str">
        <f>CONCATENATE(MID('Fr_Salsa Beginner Stufe 5'!A1,15,50)," ","/"," ",'Fr_Salsa Beginner Stufe 5'!B3," ","/"," ",'Fr_Salsa Beginner Stufe 5'!B4)</f>
        <v>Salsa Beginner Stufe 5 / 09.01.2026 - 06.03.2026 / 19:30 - 20:30</v>
      </c>
      <c r="B55" s="85">
        <f>'Fr_Salsa Beginner Stufe 5'!H32</f>
        <v>2540</v>
      </c>
      <c r="C55" s="90"/>
    </row>
    <row r="56" spans="1:3" ht="15" customHeight="1" x14ac:dyDescent="0.25">
      <c r="A56" s="88" t="s">
        <v>11345</v>
      </c>
      <c r="B56" s="89">
        <f>SUM(B53:B55)</f>
        <v>4880</v>
      </c>
      <c r="C56" s="90"/>
    </row>
    <row r="57" spans="1:3" ht="6.75" customHeight="1" x14ac:dyDescent="0.25">
      <c r="A57" s="55"/>
      <c r="B57" s="91"/>
      <c r="C57" s="90"/>
    </row>
    <row r="58" spans="1:3" ht="15" customHeight="1" x14ac:dyDescent="0.25">
      <c r="A58" s="82" t="s">
        <v>11329</v>
      </c>
      <c r="B58" s="89"/>
      <c r="C58" s="90"/>
    </row>
    <row r="59" spans="1:3" ht="15" customHeight="1" x14ac:dyDescent="0.25">
      <c r="A59" s="84" t="str">
        <f>CONCATENATE(MID(Sa_SFIT!A1,15,50)," ","/"," ",Sa_SFIT!B3," ","/"," ",Sa_SFIT!B4)</f>
        <v>SFIT / Jeden zweiten Samstag / 11:00 - 13:00</v>
      </c>
      <c r="B59" s="85">
        <f>Sa_SFIT!H36</f>
        <v>3120</v>
      </c>
      <c r="C59" s="90"/>
    </row>
    <row r="60" spans="1:3" ht="15" customHeight="1" x14ac:dyDescent="0.25">
      <c r="A60" s="88" t="s">
        <v>11345</v>
      </c>
      <c r="B60" s="89">
        <f>SUM(B59)</f>
        <v>3120</v>
      </c>
      <c r="C60" s="90"/>
    </row>
    <row r="61" spans="1:3" ht="18" customHeight="1" x14ac:dyDescent="0.25">
      <c r="A61" s="82" t="s">
        <v>11346</v>
      </c>
      <c r="B61" s="57">
        <f>B17+B38+B50+B28+B56+B60</f>
        <v>65549</v>
      </c>
      <c r="C61" s="90"/>
    </row>
  </sheetData>
  <pageMargins left="0.41666666666666669" right="0.41666666666666669" top="0.35416666666666669" bottom="0.78740157499999996" header="0" footer="0"/>
  <pageSetup paperSize="9" scale="94" orientation="landscape"/>
  <headerFooter>
    <oddFooter>&amp;LSalsaflow Dance Company GmbH Elisabethenanlage 7, 4051 Basel&amp;CSebastian - Tel. 076 218 21 98 Fabio - Tel. 076 478 84 11&amp;R info@salsaflow-dc.com www.salsaflow-dc.com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43</vt:i4>
      </vt:variant>
      <vt:variant>
        <vt:lpstr>Benannte Bereiche</vt:lpstr>
      </vt:variant>
      <vt:variant>
        <vt:i4>34</vt:i4>
      </vt:variant>
    </vt:vector>
  </HeadingPairs>
  <TitlesOfParts>
    <vt:vector size="77" baseType="lpstr">
      <vt:lpstr>Master Data</vt:lpstr>
      <vt:lpstr>Mo_Salsa Intermediate Stufe 11</vt:lpstr>
      <vt:lpstr>Mo_Salsa Intermediate Stufe 8</vt:lpstr>
      <vt:lpstr>Mo_Salsa Beginner Stufe 3</vt:lpstr>
      <vt:lpstr>Mo_Salsa Advanced Stufe 17</vt:lpstr>
      <vt:lpstr>Mo_Salsa Intermediate Flow</vt:lpstr>
      <vt:lpstr>Mo_Salsa Beginner Stufe 2</vt:lpstr>
      <vt:lpstr>Mo_Salsa Advanced 15</vt:lpstr>
      <vt:lpstr>Mo_Salsa Intermediate Stufe 10</vt:lpstr>
      <vt:lpstr>Mo_Salsa Beginner Stufe 1</vt:lpstr>
      <vt:lpstr>Di_Salsa Beginner Stufe 2</vt:lpstr>
      <vt:lpstr>Di_Salsa Intermediate Stufe 9</vt:lpstr>
      <vt:lpstr>Di_Basics &amp; Fundamentals</vt:lpstr>
      <vt:lpstr>Di_Salsa Advanced Stufe 16</vt:lpstr>
      <vt:lpstr>Di_Salsa Beginner Stufe 3</vt:lpstr>
      <vt:lpstr>Di_Cha cha cha</vt:lpstr>
      <vt:lpstr>Di_Salsa Advanced Stufe 13</vt:lpstr>
      <vt:lpstr>Di_Salsa Beginner Stufe 1</vt:lpstr>
      <vt:lpstr>Mi_Salsa Beginner Stufe 1</vt:lpstr>
      <vt:lpstr>Mi_Bodymovement &amp; Ladystyle</vt:lpstr>
      <vt:lpstr>Mi_Bachata Beginner Stufe 4</vt:lpstr>
      <vt:lpstr>Mi_Salsa Advanced On2 Flow</vt:lpstr>
      <vt:lpstr>Mi_Bachata Beginner Stufe 1</vt:lpstr>
      <vt:lpstr>Mi_Salsa Beginner Stufe 5</vt:lpstr>
      <vt:lpstr>Mi_Salsa Intermediate Stufe 8</vt:lpstr>
      <vt:lpstr>Do_Heels Class Intermediate</vt:lpstr>
      <vt:lpstr>Do_Salsa Advanced Stufe 16</vt:lpstr>
      <vt:lpstr>Do_Bachata Beginner Stufe 5</vt:lpstr>
      <vt:lpstr>Do_Heels Class Beginner</vt:lpstr>
      <vt:lpstr>Do_Salsa Advanced On2 Flow</vt:lpstr>
      <vt:lpstr>Do_Bachata Beginner Stufe 2</vt:lpstr>
      <vt:lpstr>Do_Bodymovement &amp; Ladystyle Int</vt:lpstr>
      <vt:lpstr>Do_Salsa Beginner Stufe 3</vt:lpstr>
      <vt:lpstr>Do_Contemporary</vt:lpstr>
      <vt:lpstr>20.10. Workshop</vt:lpstr>
      <vt:lpstr>Fr_Salsa Beginner Stufe 1</vt:lpstr>
      <vt:lpstr>Fr_Salsa Beginner Flow</vt:lpstr>
      <vt:lpstr>Fr_Salsa Beginner Stufe 5</vt:lpstr>
      <vt:lpstr>16.01. Workshop</vt:lpstr>
      <vt:lpstr>06.02. Workshop</vt:lpstr>
      <vt:lpstr>20.02. Workshop</vt:lpstr>
      <vt:lpstr>Sa_SFIT</vt:lpstr>
      <vt:lpstr>Einnahmen Kurse</vt:lpstr>
      <vt:lpstr>'Di_Basics &amp; Fundamentals'!Druckbereich</vt:lpstr>
      <vt:lpstr>'Di_Cha cha cha'!Druckbereich</vt:lpstr>
      <vt:lpstr>'Di_Salsa Advanced Stufe 13'!Druckbereich</vt:lpstr>
      <vt:lpstr>'Di_Salsa Advanced Stufe 16'!Druckbereich</vt:lpstr>
      <vt:lpstr>'Di_Salsa Beginner Stufe 1'!Druckbereich</vt:lpstr>
      <vt:lpstr>'Di_Salsa Beginner Stufe 2'!Druckbereich</vt:lpstr>
      <vt:lpstr>'Di_Salsa Beginner Stufe 3'!Druckbereich</vt:lpstr>
      <vt:lpstr>'Di_Salsa Intermediate Stufe 9'!Druckbereich</vt:lpstr>
      <vt:lpstr>'Do_Bachata Beginner Stufe 5'!Druckbereich</vt:lpstr>
      <vt:lpstr>'Do_Bodymovement &amp; Ladystyle Int'!Druckbereich</vt:lpstr>
      <vt:lpstr>'Do_Heels Class Beginner'!Druckbereich</vt:lpstr>
      <vt:lpstr>'Do_Heels Class Intermediate'!Druckbereich</vt:lpstr>
      <vt:lpstr>'Do_Salsa Advanced On2 Flow'!Druckbereich</vt:lpstr>
      <vt:lpstr>'Do_Salsa Advanced Stufe 16'!Druckbereich</vt:lpstr>
      <vt:lpstr>'Do_Salsa Beginner Stufe 3'!Druckbereich</vt:lpstr>
      <vt:lpstr>'Fr_Salsa Beginner Stufe 1'!Druckbereich</vt:lpstr>
      <vt:lpstr>'Fr_Salsa Beginner Stufe 5'!Druckbereich</vt:lpstr>
      <vt:lpstr>'Mi_Bachata Beginner Stufe 1'!Druckbereich</vt:lpstr>
      <vt:lpstr>'Mi_Bachata Beginner Stufe 4'!Druckbereich</vt:lpstr>
      <vt:lpstr>'Mi_Bodymovement &amp; Ladystyle'!Druckbereich</vt:lpstr>
      <vt:lpstr>'Mi_Salsa Advanced On2 Flow'!Druckbereich</vt:lpstr>
      <vt:lpstr>'Mi_Salsa Beginner Stufe 1'!Druckbereich</vt:lpstr>
      <vt:lpstr>'Mi_Salsa Beginner Stufe 5'!Druckbereich</vt:lpstr>
      <vt:lpstr>'Mo_Salsa Advanced 15'!Druckbereich</vt:lpstr>
      <vt:lpstr>'Mo_Salsa Advanced Stufe 17'!Druckbereich</vt:lpstr>
      <vt:lpstr>'Mo_Salsa Beginner Stufe 1'!Druckbereich</vt:lpstr>
      <vt:lpstr>'Mo_Salsa Beginner Stufe 2'!Druckbereich</vt:lpstr>
      <vt:lpstr>'Mo_Salsa Beginner Stufe 3'!Druckbereich</vt:lpstr>
      <vt:lpstr>'Mo_Salsa Intermediate Flow'!Druckbereich</vt:lpstr>
      <vt:lpstr>'Mo_Salsa Intermediate Stufe 10'!Druckbereich</vt:lpstr>
      <vt:lpstr>'Mo_Salsa Intermediate Stufe 11'!Druckbereich</vt:lpstr>
      <vt:lpstr>'Mo_Salsa Intermediate Stufe 8'!Druckbereich</vt:lpstr>
      <vt:lpstr>nilan</vt:lpstr>
      <vt:lpstr>nolan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</dc:creator>
  <cp:lastModifiedBy>Branco, Fabio {FCSR~BASEL}</cp:lastModifiedBy>
  <cp:lastPrinted>2026-02-05T15:06:45Z</cp:lastPrinted>
  <dcterms:created xsi:type="dcterms:W3CDTF">2018-03-10T08:20:57Z</dcterms:created>
  <dcterms:modified xsi:type="dcterms:W3CDTF">2026-03-12T09:05:14Z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Kursstaffel Sep 2024 - Salsaflow DC.xlsx</vt:lpwstr>
  </property>
</Properties>
</file>